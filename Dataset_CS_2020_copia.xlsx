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3468CB62-EBB3-1848-BDEB-7C374E78D3FD}" xr6:coauthVersionLast="47" xr6:coauthVersionMax="47" xr10:uidLastSave="{00000000-0000-0000-0000-000000000000}"/>
  <bookViews>
    <workbookView xWindow="-280" yWindow="880" windowWidth="28300" windowHeight="15620" xr2:uid="{00000000-000D-0000-FFFF-FFFF00000000}"/>
  </bookViews>
  <sheets>
    <sheet name="2020" sheetId="1" r:id="rId1"/>
  </sheets>
  <externalReferences>
    <externalReference r:id="rId2"/>
    <externalReference r:id="rId3"/>
  </externalReferences>
  <definedNames>
    <definedName name="_xlnm._FilterDatabase" localSheetId="0" hidden="1">'2020'!$A$1:$U$1603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M2" i="1"/>
  <c r="L2" i="1"/>
  <c r="G3" i="1"/>
  <c r="G2" i="1" l="1"/>
  <c r="G4" i="1"/>
  <c r="H2" i="1"/>
  <c r="G907" i="1"/>
  <c r="H907" i="1"/>
  <c r="I907" i="1"/>
  <c r="G671" i="1"/>
  <c r="H671" i="1"/>
  <c r="I671" i="1"/>
  <c r="G1461" i="1"/>
  <c r="H1461" i="1"/>
  <c r="I1461" i="1"/>
  <c r="G511" i="1"/>
  <c r="H511" i="1"/>
  <c r="I511" i="1"/>
  <c r="G552" i="1"/>
  <c r="H552" i="1"/>
  <c r="I552" i="1"/>
  <c r="G822" i="1"/>
  <c r="H822" i="1"/>
  <c r="I822" i="1"/>
  <c r="G341" i="1"/>
  <c r="H341" i="1"/>
  <c r="I341" i="1"/>
  <c r="G1589" i="1"/>
  <c r="H1589" i="1"/>
  <c r="I1589" i="1"/>
  <c r="G1237" i="1"/>
  <c r="H1237" i="1"/>
  <c r="I1237" i="1"/>
  <c r="G253" i="1"/>
  <c r="H253" i="1"/>
  <c r="I253" i="1"/>
  <c r="G749" i="1"/>
  <c r="H749" i="1"/>
  <c r="I749" i="1"/>
  <c r="G1578" i="1"/>
  <c r="H1578" i="1"/>
  <c r="I1578" i="1"/>
  <c r="G1010" i="1"/>
  <c r="H1010" i="1"/>
  <c r="I1010" i="1"/>
  <c r="G1527" i="1"/>
  <c r="H1527" i="1"/>
  <c r="I1527" i="1"/>
  <c r="G1257" i="1"/>
  <c r="H1257" i="1"/>
  <c r="I1257" i="1"/>
  <c r="G951" i="1"/>
  <c r="H951" i="1"/>
  <c r="I951" i="1"/>
  <c r="G722" i="1"/>
  <c r="H722" i="1"/>
  <c r="I722" i="1"/>
  <c r="G342" i="1"/>
  <c r="H342" i="1"/>
  <c r="I342" i="1"/>
  <c r="G343" i="1"/>
  <c r="H343" i="1"/>
  <c r="I343" i="1"/>
  <c r="G1574" i="1"/>
  <c r="H1574" i="1"/>
  <c r="I1574" i="1"/>
  <c r="G500" i="1"/>
  <c r="H500" i="1"/>
  <c r="I500" i="1"/>
  <c r="G1136" i="1"/>
  <c r="H1136" i="1"/>
  <c r="I1136" i="1"/>
  <c r="G1362" i="1"/>
  <c r="H1362" i="1"/>
  <c r="I1362" i="1"/>
  <c r="G1418" i="1"/>
  <c r="H1418" i="1"/>
  <c r="I1418" i="1"/>
  <c r="G217" i="1"/>
  <c r="H217" i="1"/>
  <c r="I217" i="1"/>
  <c r="G379" i="1"/>
  <c r="H379" i="1"/>
  <c r="I379" i="1"/>
  <c r="G444" i="1"/>
  <c r="H444" i="1"/>
  <c r="I444" i="1"/>
  <c r="G918" i="1"/>
  <c r="H918" i="1"/>
  <c r="I918" i="1"/>
  <c r="G39" i="1"/>
  <c r="H39" i="1"/>
  <c r="I39" i="1"/>
  <c r="G119" i="1"/>
  <c r="H119" i="1"/>
  <c r="I119" i="1"/>
  <c r="G1478" i="1"/>
  <c r="H1478" i="1"/>
  <c r="I1478" i="1"/>
  <c r="G908" i="1"/>
  <c r="H908" i="1"/>
  <c r="I908" i="1"/>
  <c r="G1137" i="1"/>
  <c r="H1137" i="1"/>
  <c r="I1137" i="1"/>
  <c r="G548" i="1"/>
  <c r="H548" i="1"/>
  <c r="I548" i="1"/>
  <c r="G1233" i="1"/>
  <c r="H1233" i="1"/>
  <c r="I1233" i="1"/>
  <c r="G972" i="1"/>
  <c r="H972" i="1"/>
  <c r="I972" i="1"/>
  <c r="G980" i="1"/>
  <c r="H980" i="1"/>
  <c r="I980" i="1"/>
  <c r="G187" i="1"/>
  <c r="H187" i="1"/>
  <c r="I187" i="1"/>
  <c r="G1423" i="1"/>
  <c r="H1423" i="1"/>
  <c r="I1423" i="1"/>
  <c r="G629" i="1"/>
  <c r="H629" i="1"/>
  <c r="I629" i="1"/>
  <c r="G829" i="1"/>
  <c r="H829" i="1"/>
  <c r="I829" i="1"/>
  <c r="G783" i="1"/>
  <c r="H783" i="1"/>
  <c r="I783" i="1"/>
  <c r="G1011" i="1"/>
  <c r="H1011" i="1"/>
  <c r="I1011" i="1"/>
  <c r="G1553" i="1"/>
  <c r="H1553" i="1"/>
  <c r="I1553" i="1"/>
  <c r="G1424" i="1"/>
  <c r="H1424" i="1"/>
  <c r="I1424" i="1"/>
  <c r="G120" i="1"/>
  <c r="H120" i="1"/>
  <c r="I120" i="1"/>
  <c r="G795" i="1"/>
  <c r="H795" i="1"/>
  <c r="I795" i="1"/>
  <c r="G879" i="1"/>
  <c r="H879" i="1"/>
  <c r="I879" i="1"/>
  <c r="G143" i="1"/>
  <c r="H143" i="1"/>
  <c r="I143" i="1"/>
  <c r="G785" i="1"/>
  <c r="H785" i="1"/>
  <c r="I785" i="1"/>
  <c r="G995" i="1"/>
  <c r="H995" i="1"/>
  <c r="I995" i="1"/>
  <c r="G1124" i="1"/>
  <c r="H1124" i="1"/>
  <c r="I1124" i="1"/>
  <c r="G1165" i="1"/>
  <c r="H1165" i="1"/>
  <c r="I1165" i="1"/>
  <c r="G553" i="1"/>
  <c r="H553" i="1"/>
  <c r="I553" i="1"/>
  <c r="G1270" i="1"/>
  <c r="H1270" i="1"/>
  <c r="I1270" i="1"/>
  <c r="G212" i="1"/>
  <c r="H212" i="1"/>
  <c r="I212" i="1"/>
  <c r="G830" i="1"/>
  <c r="H830" i="1"/>
  <c r="I830" i="1"/>
  <c r="G1138" i="1"/>
  <c r="H1138" i="1"/>
  <c r="I1138" i="1"/>
  <c r="G849" i="1"/>
  <c r="H849" i="1"/>
  <c r="I849" i="1"/>
  <c r="G676" i="1"/>
  <c r="H676" i="1"/>
  <c r="I676" i="1"/>
  <c r="G1390" i="1"/>
  <c r="H1390" i="1"/>
  <c r="I1390" i="1"/>
  <c r="G1220" i="1"/>
  <c r="H1220" i="1"/>
  <c r="I1220" i="1"/>
  <c r="G787" i="1"/>
  <c r="H787" i="1"/>
  <c r="I787" i="1"/>
  <c r="G171" i="1"/>
  <c r="H171" i="1"/>
  <c r="I171" i="1"/>
  <c r="G563" i="1"/>
  <c r="H563" i="1"/>
  <c r="I563" i="1"/>
  <c r="G404" i="1"/>
  <c r="H404" i="1"/>
  <c r="I404" i="1"/>
  <c r="G750" i="1"/>
  <c r="H750" i="1"/>
  <c r="I750" i="1"/>
  <c r="G144" i="1"/>
  <c r="H144" i="1"/>
  <c r="I144" i="1"/>
  <c r="G1238" i="1"/>
  <c r="H1238" i="1"/>
  <c r="I1238" i="1"/>
  <c r="G880" i="1"/>
  <c r="H880" i="1"/>
  <c r="I880" i="1"/>
  <c r="G842" i="1"/>
  <c r="H842" i="1"/>
  <c r="I842" i="1"/>
  <c r="G1286" i="1"/>
  <c r="H1286" i="1"/>
  <c r="I1286" i="1"/>
  <c r="G114" i="1"/>
  <c r="H114" i="1"/>
  <c r="I114" i="1"/>
  <c r="G415" i="1"/>
  <c r="H415" i="1"/>
  <c r="I415" i="1"/>
  <c r="G1035" i="1"/>
  <c r="H1035" i="1"/>
  <c r="I1035" i="1"/>
  <c r="G934" i="1"/>
  <c r="H934" i="1"/>
  <c r="I934" i="1"/>
  <c r="G27" i="1"/>
  <c r="H27" i="1"/>
  <c r="I27" i="1"/>
  <c r="G778" i="1"/>
  <c r="H778" i="1"/>
  <c r="I778" i="1"/>
  <c r="G209" i="1"/>
  <c r="H209" i="1"/>
  <c r="I209" i="1"/>
  <c r="G115" i="1"/>
  <c r="H115" i="1"/>
  <c r="I115" i="1"/>
  <c r="G1357" i="1"/>
  <c r="H1357" i="1"/>
  <c r="I1357" i="1"/>
  <c r="G716" i="1"/>
  <c r="H716" i="1"/>
  <c r="I716" i="1"/>
  <c r="G455" i="1"/>
  <c r="H455" i="1"/>
  <c r="I455" i="1"/>
  <c r="G432" i="1"/>
  <c r="H432" i="1"/>
  <c r="I432" i="1"/>
  <c r="G1265" i="1"/>
  <c r="H1265" i="1"/>
  <c r="I1265" i="1"/>
  <c r="G88" i="1"/>
  <c r="H88" i="1"/>
  <c r="I88" i="1"/>
  <c r="G756" i="1"/>
  <c r="H756" i="1"/>
  <c r="I756" i="1"/>
  <c r="G928" i="1"/>
  <c r="H928" i="1"/>
  <c r="I928" i="1"/>
  <c r="G650" i="1"/>
  <c r="H650" i="1"/>
  <c r="I650" i="1"/>
  <c r="G1575" i="1"/>
  <c r="H1575" i="1"/>
  <c r="I1575" i="1"/>
  <c r="G646" i="1"/>
  <c r="H646" i="1"/>
  <c r="I646" i="1"/>
  <c r="G518" i="1"/>
  <c r="H518" i="1"/>
  <c r="I518" i="1"/>
  <c r="G1425" i="1"/>
  <c r="H1425" i="1"/>
  <c r="I1425" i="1"/>
  <c r="G1139" i="1"/>
  <c r="H1139" i="1"/>
  <c r="I1139" i="1"/>
  <c r="G1004" i="1"/>
  <c r="H1004" i="1"/>
  <c r="I1004" i="1"/>
  <c r="G136" i="1"/>
  <c r="H136" i="1"/>
  <c r="I136" i="1"/>
  <c r="G670" i="1"/>
  <c r="H670" i="1"/>
  <c r="I670" i="1"/>
  <c r="G338" i="1"/>
  <c r="H338" i="1"/>
  <c r="I338" i="1"/>
  <c r="G1315" i="1"/>
  <c r="H1315" i="1"/>
  <c r="I1315" i="1"/>
  <c r="G54" i="1"/>
  <c r="H54" i="1"/>
  <c r="I54" i="1"/>
  <c r="G1440" i="1"/>
  <c r="H1440" i="1"/>
  <c r="I1440" i="1"/>
  <c r="G159" i="1"/>
  <c r="H159" i="1"/>
  <c r="I159" i="1"/>
  <c r="G360" i="1"/>
  <c r="H360" i="1"/>
  <c r="I360" i="1"/>
  <c r="G1241" i="1"/>
  <c r="H1241" i="1"/>
  <c r="I1241" i="1"/>
  <c r="G1192" i="1"/>
  <c r="H1192" i="1"/>
  <c r="I1192" i="1"/>
  <c r="G445" i="1"/>
  <c r="H445" i="1"/>
  <c r="I445" i="1"/>
  <c r="G792" i="1"/>
  <c r="H792" i="1"/>
  <c r="I792" i="1"/>
  <c r="G559" i="1"/>
  <c r="H559" i="1"/>
  <c r="I559" i="1"/>
  <c r="I2" i="1"/>
  <c r="G1579" i="1"/>
  <c r="H1579" i="1"/>
  <c r="I1579" i="1"/>
  <c r="G278" i="1"/>
  <c r="H278" i="1"/>
  <c r="I278" i="1"/>
  <c r="G188" i="1"/>
  <c r="H188" i="1"/>
  <c r="I188" i="1"/>
  <c r="G1456" i="1"/>
  <c r="H1456" i="1"/>
  <c r="I1456" i="1"/>
  <c r="G1439" i="1"/>
  <c r="H1439" i="1"/>
  <c r="I1439" i="1"/>
  <c r="G1032" i="1"/>
  <c r="H1032" i="1"/>
  <c r="I1032" i="1"/>
  <c r="G273" i="1"/>
  <c r="H273" i="1"/>
  <c r="I273" i="1"/>
  <c r="G946" i="1"/>
  <c r="H946" i="1"/>
  <c r="I946" i="1"/>
  <c r="G1561" i="1"/>
  <c r="H1561" i="1"/>
  <c r="I1561" i="1"/>
  <c r="G1298" i="1"/>
  <c r="H1298" i="1"/>
  <c r="I1298" i="1"/>
  <c r="G1580" i="1"/>
  <c r="H1580" i="1"/>
  <c r="I1580" i="1"/>
  <c r="G1121" i="1"/>
  <c r="H1121" i="1"/>
  <c r="I1121" i="1"/>
  <c r="G146" i="1"/>
  <c r="H146" i="1"/>
  <c r="I146" i="1"/>
  <c r="G78" i="1"/>
  <c r="H78" i="1"/>
  <c r="I78" i="1"/>
  <c r="G1324" i="1"/>
  <c r="H1324" i="1"/>
  <c r="I1324" i="1"/>
  <c r="G602" i="1"/>
  <c r="H602" i="1"/>
  <c r="I602" i="1"/>
  <c r="G1565" i="1"/>
  <c r="H1565" i="1"/>
  <c r="I1565" i="1"/>
  <c r="G1581" i="1"/>
  <c r="H1581" i="1"/>
  <c r="I1581" i="1"/>
  <c r="G1582" i="1"/>
  <c r="H1582" i="1"/>
  <c r="I1582" i="1"/>
  <c r="G624" i="1"/>
  <c r="H624" i="1"/>
  <c r="I624" i="1"/>
  <c r="G1462" i="1"/>
  <c r="H1462" i="1"/>
  <c r="I1462" i="1"/>
  <c r="G1231" i="1"/>
  <c r="H1231" i="1"/>
  <c r="I1231" i="1"/>
  <c r="G446" i="1"/>
  <c r="H446" i="1"/>
  <c r="I446" i="1"/>
  <c r="G784" i="1"/>
  <c r="H784" i="1"/>
  <c r="I784" i="1"/>
  <c r="G1277" i="1"/>
  <c r="H1277" i="1"/>
  <c r="I1277" i="1"/>
  <c r="G242" i="1"/>
  <c r="H242" i="1"/>
  <c r="I242" i="1"/>
  <c r="G657" i="1"/>
  <c r="H657" i="1"/>
  <c r="I657" i="1"/>
  <c r="G230" i="1"/>
  <c r="H230" i="1"/>
  <c r="I230" i="1"/>
  <c r="G853" i="1"/>
  <c r="H853" i="1"/>
  <c r="I853" i="1"/>
  <c r="G1441" i="1"/>
  <c r="H1441" i="1"/>
  <c r="I1441" i="1"/>
  <c r="G231" i="1"/>
  <c r="H231" i="1"/>
  <c r="I231" i="1"/>
  <c r="G50" i="1"/>
  <c r="H50" i="1"/>
  <c r="I50" i="1"/>
  <c r="G1248" i="1"/>
  <c r="H1248" i="1"/>
  <c r="I1248" i="1"/>
  <c r="G1271" i="1"/>
  <c r="H1271" i="1"/>
  <c r="I1271" i="1"/>
  <c r="G1451" i="1"/>
  <c r="H1451" i="1"/>
  <c r="I1451" i="1"/>
  <c r="G1132" i="1"/>
  <c r="H1132" i="1"/>
  <c r="I1132" i="1"/>
  <c r="G149" i="1"/>
  <c r="H149" i="1"/>
  <c r="I149" i="1"/>
  <c r="G243" i="1"/>
  <c r="H243" i="1"/>
  <c r="I243" i="1"/>
  <c r="G955" i="1"/>
  <c r="H955" i="1"/>
  <c r="I955" i="1"/>
  <c r="G751" i="1"/>
  <c r="H751" i="1"/>
  <c r="I751" i="1"/>
  <c r="G160" i="1"/>
  <c r="H160" i="1"/>
  <c r="I160" i="1"/>
  <c r="G591" i="1"/>
  <c r="H591" i="1"/>
  <c r="I591" i="1"/>
  <c r="G598" i="1"/>
  <c r="H598" i="1"/>
  <c r="I598" i="1"/>
  <c r="G130" i="1"/>
  <c r="H130" i="1"/>
  <c r="I130" i="1"/>
  <c r="G1177" i="1"/>
  <c r="H1177" i="1"/>
  <c r="I1177" i="1"/>
  <c r="G1091" i="1"/>
  <c r="H1091" i="1"/>
  <c r="I1091" i="1"/>
  <c r="G611" i="1"/>
  <c r="H611" i="1"/>
  <c r="I611" i="1"/>
  <c r="G472" i="1"/>
  <c r="H472" i="1"/>
  <c r="I472" i="1"/>
  <c r="G304" i="1"/>
  <c r="H304" i="1"/>
  <c r="I304" i="1"/>
  <c r="G1215" i="1"/>
  <c r="H1215" i="1"/>
  <c r="I1215" i="1"/>
  <c r="G101" i="1"/>
  <c r="H101" i="1"/>
  <c r="I101" i="1"/>
  <c r="G1125" i="1"/>
  <c r="H1125" i="1"/>
  <c r="I1125" i="1"/>
  <c r="G210" i="1"/>
  <c r="H210" i="1"/>
  <c r="I210" i="1"/>
  <c r="G1077" i="1"/>
  <c r="H1077" i="1"/>
  <c r="I1077" i="1"/>
  <c r="G161" i="1"/>
  <c r="H161" i="1"/>
  <c r="I161" i="1"/>
  <c r="G424" i="1"/>
  <c r="H424" i="1"/>
  <c r="I424" i="1"/>
  <c r="G981" i="1"/>
  <c r="H981" i="1"/>
  <c r="I981" i="1"/>
  <c r="G305" i="1"/>
  <c r="H305" i="1"/>
  <c r="I305" i="1"/>
  <c r="G1452" i="1"/>
  <c r="H1452" i="1"/>
  <c r="I1452" i="1"/>
  <c r="G1479" i="1"/>
  <c r="H1479" i="1"/>
  <c r="I1479" i="1"/>
  <c r="G891" i="1"/>
  <c r="H891" i="1"/>
  <c r="I891" i="1"/>
  <c r="G617" i="1"/>
  <c r="H617" i="1"/>
  <c r="I617" i="1"/>
  <c r="G1471" i="1"/>
  <c r="H1471" i="1"/>
  <c r="I1471" i="1"/>
  <c r="G28" i="1"/>
  <c r="H28" i="1"/>
  <c r="I28" i="1"/>
  <c r="G1070" i="1"/>
  <c r="H1070" i="1"/>
  <c r="I1070" i="1"/>
  <c r="G512" i="1"/>
  <c r="H512" i="1"/>
  <c r="I512" i="1"/>
  <c r="G333" i="1"/>
  <c r="H333" i="1"/>
  <c r="I333" i="1"/>
  <c r="G63" i="1"/>
  <c r="H63" i="1"/>
  <c r="I63" i="1"/>
  <c r="G1242" i="1"/>
  <c r="H1242" i="1"/>
  <c r="I1242" i="1"/>
  <c r="G433" i="1"/>
  <c r="H433" i="1"/>
  <c r="I433" i="1"/>
  <c r="G1221" i="1"/>
  <c r="H1221" i="1"/>
  <c r="I1221" i="1"/>
  <c r="G892" i="1"/>
  <c r="H892" i="1"/>
  <c r="I892" i="1"/>
  <c r="G886" i="1"/>
  <c r="H886" i="1"/>
  <c r="I886" i="1"/>
  <c r="G1294" i="1"/>
  <c r="H1294" i="1"/>
  <c r="I1294" i="1"/>
  <c r="G1232" i="1"/>
  <c r="H1232" i="1"/>
  <c r="I1232" i="1"/>
  <c r="G1253" i="1"/>
  <c r="H1253" i="1"/>
  <c r="I1253" i="1"/>
  <c r="G1193" i="1"/>
  <c r="H1193" i="1"/>
  <c r="I1193" i="1"/>
  <c r="G1081" i="1"/>
  <c r="H1081" i="1"/>
  <c r="I1081" i="1"/>
  <c r="G1387" i="1"/>
  <c r="H1387" i="1"/>
  <c r="I1387" i="1"/>
  <c r="G1310" i="1"/>
  <c r="H1310" i="1"/>
  <c r="I1310" i="1"/>
  <c r="G312" i="1"/>
  <c r="H312" i="1"/>
  <c r="I312" i="1"/>
  <c r="G549" i="1"/>
  <c r="H549" i="1"/>
  <c r="I549" i="1"/>
  <c r="G935" i="1"/>
  <c r="H935" i="1"/>
  <c r="I935" i="1"/>
  <c r="G522" i="1"/>
  <c r="H522" i="1"/>
  <c r="I522" i="1"/>
  <c r="G1042" i="1"/>
  <c r="H1042" i="1"/>
  <c r="I1042" i="1"/>
  <c r="G1486" i="1"/>
  <c r="H1486" i="1"/>
  <c r="I1486" i="1"/>
  <c r="G901" i="1"/>
  <c r="H901" i="1"/>
  <c r="I901" i="1"/>
  <c r="G630" i="1"/>
  <c r="H630" i="1"/>
  <c r="I630" i="1"/>
  <c r="G1140" i="1"/>
  <c r="H1140" i="1"/>
  <c r="I1140" i="1"/>
  <c r="G545" i="1"/>
  <c r="H545" i="1"/>
  <c r="I545" i="1"/>
  <c r="G1341" i="1"/>
  <c r="H1341" i="1"/>
  <c r="I1341" i="1"/>
  <c r="G334" i="1"/>
  <c r="H334" i="1"/>
  <c r="I334" i="1"/>
  <c r="G1290" i="1"/>
  <c r="H1290" i="1"/>
  <c r="I1290" i="1"/>
  <c r="G761" i="1"/>
  <c r="H761" i="1"/>
  <c r="I761" i="1"/>
  <c r="G592" i="1"/>
  <c r="H592" i="1"/>
  <c r="I592" i="1"/>
  <c r="G1549" i="1"/>
  <c r="H1549" i="1"/>
  <c r="I1549" i="1"/>
  <c r="G1583" i="1"/>
  <c r="H1583" i="1"/>
  <c r="I1583" i="1"/>
  <c r="G224" i="1"/>
  <c r="H224" i="1"/>
  <c r="I224" i="1"/>
  <c r="G696" i="1"/>
  <c r="H696" i="1"/>
  <c r="I696" i="1"/>
  <c r="G1498" i="1"/>
  <c r="H1498" i="1"/>
  <c r="I1498" i="1"/>
  <c r="G1134" i="1"/>
  <c r="H1134" i="1"/>
  <c r="I1134" i="1"/>
  <c r="G177" i="1"/>
  <c r="H177" i="1"/>
  <c r="I177" i="1"/>
  <c r="G1174" i="1"/>
  <c r="H1174" i="1"/>
  <c r="I1174" i="1"/>
  <c r="G71" i="1"/>
  <c r="H71" i="1"/>
  <c r="I71" i="1"/>
  <c r="G434" i="1"/>
  <c r="H434" i="1"/>
  <c r="I434" i="1"/>
  <c r="G232" i="1"/>
  <c r="H232" i="1"/>
  <c r="I232" i="1"/>
  <c r="G1082" i="1"/>
  <c r="H1082" i="1"/>
  <c r="I1082" i="1"/>
  <c r="G564" i="1"/>
  <c r="H564" i="1"/>
  <c r="I564" i="1"/>
  <c r="G156" i="1"/>
  <c r="H156" i="1"/>
  <c r="I156" i="1"/>
  <c r="G1432" i="1"/>
  <c r="H1432" i="1"/>
  <c r="I1432" i="1"/>
  <c r="G1453" i="1"/>
  <c r="H1453" i="1"/>
  <c r="I1453" i="1"/>
  <c r="G191" i="1"/>
  <c r="H191" i="1"/>
  <c r="I191" i="1"/>
  <c r="G349" i="1"/>
  <c r="H349" i="1"/>
  <c r="I349" i="1"/>
  <c r="G1437" i="1"/>
  <c r="H1437" i="1"/>
  <c r="I1437" i="1"/>
  <c r="G102" i="1"/>
  <c r="H102" i="1"/>
  <c r="I102" i="1"/>
  <c r="G1037" i="1"/>
  <c r="H1037" i="1"/>
  <c r="I1037" i="1"/>
  <c r="G1358" i="1"/>
  <c r="H1358" i="1"/>
  <c r="I1358" i="1"/>
  <c r="G1254" i="1"/>
  <c r="H1254" i="1"/>
  <c r="I1254" i="1"/>
  <c r="G1550" i="1"/>
  <c r="H1550" i="1"/>
  <c r="I1550" i="1"/>
  <c r="G663" i="1"/>
  <c r="H663" i="1"/>
  <c r="I663" i="1"/>
  <c r="G1466" i="1"/>
  <c r="H1466" i="1"/>
  <c r="I1466" i="1"/>
  <c r="G1316" i="1"/>
  <c r="H1316" i="1"/>
  <c r="I1316" i="1"/>
  <c r="G1541" i="1"/>
  <c r="H1541" i="1"/>
  <c r="I1541" i="1"/>
  <c r="G1297" i="1"/>
  <c r="H1297" i="1"/>
  <c r="I1297" i="1"/>
  <c r="G456" i="1"/>
  <c r="H456" i="1"/>
  <c r="I456" i="1"/>
  <c r="G1287" i="1"/>
  <c r="H1287" i="1"/>
  <c r="I1287" i="1"/>
  <c r="G313" i="1"/>
  <c r="H313" i="1"/>
  <c r="I313" i="1"/>
  <c r="G1518" i="1"/>
  <c r="H1518" i="1"/>
  <c r="I1518" i="1"/>
  <c r="G18" i="1"/>
  <c r="H18" i="1"/>
  <c r="I18" i="1"/>
  <c r="G647" i="1"/>
  <c r="H647" i="1"/>
  <c r="I647" i="1"/>
  <c r="G1211" i="1"/>
  <c r="H1211" i="1"/>
  <c r="I1211" i="1"/>
  <c r="G1033" i="1"/>
  <c r="H1033" i="1"/>
  <c r="I1033" i="1"/>
  <c r="G483" i="1"/>
  <c r="H483" i="1"/>
  <c r="I483" i="1"/>
  <c r="G405" i="1"/>
  <c r="H405" i="1"/>
  <c r="I405" i="1"/>
  <c r="G1110" i="1"/>
  <c r="H1110" i="1"/>
  <c r="I1110" i="1"/>
  <c r="G813" i="1"/>
  <c r="H813" i="1"/>
  <c r="I813" i="1"/>
  <c r="G831" i="1"/>
  <c r="H831" i="1"/>
  <c r="I831" i="1"/>
  <c r="G1542" i="1"/>
  <c r="H1542" i="1"/>
  <c r="I1542" i="1"/>
  <c r="G803" i="1"/>
  <c r="H803" i="1"/>
  <c r="I803" i="1"/>
  <c r="G573" i="1"/>
  <c r="H573" i="1"/>
  <c r="I573" i="1"/>
  <c r="G1043" i="1"/>
  <c r="H1043" i="1"/>
  <c r="I1043" i="1"/>
  <c r="G823" i="1"/>
  <c r="H823" i="1"/>
  <c r="I823" i="1"/>
  <c r="G687" i="1"/>
  <c r="H687" i="1"/>
  <c r="I687" i="1"/>
  <c r="G1584" i="1"/>
  <c r="H1584" i="1"/>
  <c r="I1584" i="1"/>
  <c r="G730" i="1"/>
  <c r="H730" i="1"/>
  <c r="I730" i="1"/>
  <c r="G1352" i="1"/>
  <c r="H1352" i="1"/>
  <c r="I1352" i="1"/>
  <c r="G1295" i="1"/>
  <c r="H1295" i="1"/>
  <c r="I1295" i="1"/>
  <c r="G268" i="1"/>
  <c r="H268" i="1"/>
  <c r="I268" i="1"/>
  <c r="G285" i="1"/>
  <c r="H285" i="1"/>
  <c r="I285" i="1"/>
  <c r="G178" i="1"/>
  <c r="H178" i="1"/>
  <c r="I178" i="1"/>
  <c r="G1299" i="1"/>
  <c r="H1299" i="1"/>
  <c r="I1299" i="1"/>
  <c r="G922" i="1"/>
  <c r="H922" i="1"/>
  <c r="I922" i="1"/>
  <c r="G546" i="1"/>
  <c r="H546" i="1"/>
  <c r="I546" i="1"/>
  <c r="G395" i="1"/>
  <c r="H395" i="1"/>
  <c r="I395" i="1"/>
  <c r="G1126" i="1"/>
  <c r="H1126" i="1"/>
  <c r="I1126" i="1"/>
  <c r="G58" i="1"/>
  <c r="H58" i="1"/>
  <c r="I58" i="1"/>
  <c r="G157" i="1"/>
  <c r="H157" i="1"/>
  <c r="I157" i="1"/>
  <c r="G297" i="1"/>
  <c r="H297" i="1"/>
  <c r="I297" i="1"/>
  <c r="G1457" i="1"/>
  <c r="H1457" i="1"/>
  <c r="I1457" i="1"/>
  <c r="G765" i="1"/>
  <c r="H765" i="1"/>
  <c r="I765" i="1"/>
  <c r="G1480" i="1"/>
  <c r="H1480" i="1"/>
  <c r="I1480" i="1"/>
  <c r="G339" i="1"/>
  <c r="H339" i="1"/>
  <c r="I339" i="1"/>
  <c r="G1317" i="1"/>
  <c r="H1317" i="1"/>
  <c r="I1317" i="1"/>
  <c r="G860" i="1"/>
  <c r="H860" i="1"/>
  <c r="I860" i="1"/>
  <c r="G368" i="1"/>
  <c r="H368" i="1"/>
  <c r="I368" i="1"/>
  <c r="G745" i="1"/>
  <c r="H745" i="1"/>
  <c r="I745" i="1"/>
  <c r="G406" i="1"/>
  <c r="H406" i="1"/>
  <c r="I406" i="1"/>
  <c r="H3" i="1"/>
  <c r="I3" i="1"/>
  <c r="G1481" i="1"/>
  <c r="H1481" i="1"/>
  <c r="I1481" i="1"/>
  <c r="G582" i="1"/>
  <c r="H582" i="1"/>
  <c r="I582" i="1"/>
  <c r="G1005" i="1"/>
  <c r="H1005" i="1"/>
  <c r="I1005" i="1"/>
  <c r="G1368" i="1"/>
  <c r="H1368" i="1"/>
  <c r="I1368" i="1"/>
  <c r="G179" i="1"/>
  <c r="H179" i="1"/>
  <c r="I179" i="1"/>
  <c r="G1311" i="1"/>
  <c r="H1311" i="1"/>
  <c r="I1311" i="1"/>
  <c r="G1391" i="1"/>
  <c r="H1391" i="1"/>
  <c r="I1391" i="1"/>
  <c r="G724" i="1"/>
  <c r="H724" i="1"/>
  <c r="I724" i="1"/>
  <c r="G519" i="1"/>
  <c r="H519" i="1"/>
  <c r="I519" i="1"/>
  <c r="G1012" i="1"/>
  <c r="H1012" i="1"/>
  <c r="I1012" i="1"/>
  <c r="G207" i="1"/>
  <c r="H207" i="1"/>
  <c r="I207" i="1"/>
  <c r="G688" i="1"/>
  <c r="H688" i="1"/>
  <c r="I688" i="1"/>
  <c r="G651" i="1"/>
  <c r="H651" i="1"/>
  <c r="I651" i="1"/>
  <c r="G506" i="1"/>
  <c r="H506" i="1"/>
  <c r="I506" i="1"/>
  <c r="G1401" i="1"/>
  <c r="H1401" i="1"/>
  <c r="I1401" i="1"/>
  <c r="G1027" i="1"/>
  <c r="H1027" i="1"/>
  <c r="I1027" i="1"/>
  <c r="G523" i="1"/>
  <c r="H523" i="1"/>
  <c r="I523" i="1"/>
  <c r="G1061" i="1"/>
  <c r="H1061" i="1"/>
  <c r="I1061" i="1"/>
  <c r="G731" i="1"/>
  <c r="H731" i="1"/>
  <c r="I731" i="1"/>
  <c r="G859" i="1"/>
  <c r="H859" i="1"/>
  <c r="I859" i="1"/>
  <c r="G919" i="1"/>
  <c r="H919" i="1"/>
  <c r="I919" i="1"/>
  <c r="G535" i="1"/>
  <c r="H535" i="1"/>
  <c r="I535" i="1"/>
  <c r="G435" i="1"/>
  <c r="H435" i="1"/>
  <c r="I435" i="1"/>
  <c r="G1183" i="1"/>
  <c r="H1183" i="1"/>
  <c r="I1183" i="1"/>
  <c r="G1369" i="1"/>
  <c r="H1369" i="1"/>
  <c r="I1369" i="1"/>
  <c r="G488" i="1"/>
  <c r="H488" i="1"/>
  <c r="I488" i="1"/>
  <c r="G1370" i="1"/>
  <c r="H1370" i="1"/>
  <c r="I1370" i="1"/>
  <c r="G1426" i="1"/>
  <c r="H1426" i="1"/>
  <c r="I1426" i="1"/>
  <c r="G1278" i="1"/>
  <c r="H1278" i="1"/>
  <c r="I1278" i="1"/>
  <c r="G1062" i="1"/>
  <c r="H1062" i="1"/>
  <c r="I1062" i="1"/>
  <c r="G1383" i="1"/>
  <c r="H1383" i="1"/>
  <c r="I1383" i="1"/>
  <c r="G438" i="1"/>
  <c r="H438" i="1"/>
  <c r="I438" i="1"/>
  <c r="G1302" i="1"/>
  <c r="H1302" i="1"/>
  <c r="I1302" i="1"/>
  <c r="G1243" i="1"/>
  <c r="H1243" i="1"/>
  <c r="I1243" i="1"/>
  <c r="G464" i="1"/>
  <c r="H464" i="1"/>
  <c r="I464" i="1"/>
  <c r="G619" i="1"/>
  <c r="H619" i="1"/>
  <c r="I619" i="1"/>
  <c r="G1178" i="1"/>
  <c r="H1178" i="1"/>
  <c r="I1178" i="1"/>
  <c r="G1408" i="1"/>
  <c r="H1408" i="1"/>
  <c r="I1408" i="1"/>
  <c r="G172" i="1"/>
  <c r="H172" i="1"/>
  <c r="I172" i="1"/>
  <c r="G574" i="1"/>
  <c r="H574" i="1"/>
  <c r="I574" i="1"/>
  <c r="G1409" i="1"/>
  <c r="H1409" i="1"/>
  <c r="I1409" i="1"/>
  <c r="G407" i="1"/>
  <c r="H407" i="1"/>
  <c r="I407" i="1"/>
  <c r="G1261" i="1"/>
  <c r="H1261" i="1"/>
  <c r="I1261" i="1"/>
  <c r="G1194" i="1"/>
  <c r="H1194" i="1"/>
  <c r="I1194" i="1"/>
  <c r="G807" i="1"/>
  <c r="H807" i="1"/>
  <c r="I807" i="1"/>
  <c r="G1249" i="1"/>
  <c r="H1249" i="1"/>
  <c r="I1249" i="1"/>
  <c r="G1212" i="1"/>
  <c r="H1212" i="1"/>
  <c r="I1212" i="1"/>
  <c r="H4" i="1"/>
  <c r="I4" i="1"/>
  <c r="G565" i="1"/>
  <c r="H565" i="1"/>
  <c r="I565" i="1"/>
  <c r="G1365" i="1"/>
  <c r="H1365" i="1"/>
  <c r="I1365" i="1"/>
  <c r="G1166" i="1"/>
  <c r="H1166" i="1"/>
  <c r="I1166" i="1"/>
  <c r="G321" i="1"/>
  <c r="H321" i="1"/>
  <c r="I321" i="1"/>
  <c r="G447" i="1"/>
  <c r="H447" i="1"/>
  <c r="I447" i="1"/>
  <c r="G1328" i="1"/>
  <c r="H1328" i="1"/>
  <c r="I1328" i="1"/>
  <c r="G33" i="1"/>
  <c r="H33" i="1"/>
  <c r="I33" i="1"/>
  <c r="G737" i="1"/>
  <c r="H737" i="1"/>
  <c r="I737" i="1"/>
  <c r="G213" i="1"/>
  <c r="H213" i="1"/>
  <c r="I213" i="1"/>
  <c r="G631" i="1"/>
  <c r="H631" i="1"/>
  <c r="I631" i="1"/>
  <c r="G1562" i="1"/>
  <c r="H1562" i="1"/>
  <c r="I1562" i="1"/>
  <c r="G1503" i="1"/>
  <c r="H1503" i="1"/>
  <c r="I1503" i="1"/>
  <c r="G923" i="1"/>
  <c r="H923" i="1"/>
  <c r="I923" i="1"/>
  <c r="G1325" i="1"/>
  <c r="H1325" i="1"/>
  <c r="I1325" i="1"/>
  <c r="G583" i="1"/>
  <c r="H583" i="1"/>
  <c r="I583" i="1"/>
  <c r="G501" i="1"/>
  <c r="H501" i="1"/>
  <c r="I501" i="1"/>
  <c r="G369" i="1"/>
  <c r="H369" i="1"/>
  <c r="I369" i="1"/>
  <c r="G328" i="1"/>
  <c r="H328" i="1"/>
  <c r="I328" i="1"/>
  <c r="G1180" i="1"/>
  <c r="H1180" i="1"/>
  <c r="I1180" i="1"/>
  <c r="G254" i="1"/>
  <c r="H254" i="1"/>
  <c r="I254" i="1"/>
  <c r="G1071" i="1"/>
  <c r="H1071" i="1"/>
  <c r="I1071" i="1"/>
  <c r="G1272" i="1"/>
  <c r="H1272" i="1"/>
  <c r="I1272" i="1"/>
  <c r="G244" i="1"/>
  <c r="H244" i="1"/>
  <c r="I244" i="1"/>
  <c r="G364" i="1"/>
  <c r="H364" i="1"/>
  <c r="I364" i="1"/>
  <c r="G793" i="1"/>
  <c r="H793" i="1"/>
  <c r="I793" i="1"/>
  <c r="G448" i="1"/>
  <c r="H448" i="1"/>
  <c r="I448" i="1"/>
  <c r="G752" i="1"/>
  <c r="H752" i="1"/>
  <c r="I752" i="1"/>
  <c r="G707" i="1"/>
  <c r="H707" i="1"/>
  <c r="I707" i="1"/>
  <c r="G920" i="1"/>
  <c r="H920" i="1"/>
  <c r="I920" i="1"/>
  <c r="G710" i="1"/>
  <c r="H710" i="1"/>
  <c r="I710" i="1"/>
  <c r="G314" i="1"/>
  <c r="H314" i="1"/>
  <c r="I314" i="1"/>
  <c r="G245" i="1"/>
  <c r="H245" i="1"/>
  <c r="I245" i="1"/>
  <c r="G1463" i="1"/>
  <c r="H1463" i="1"/>
  <c r="I1463" i="1"/>
  <c r="G1536" i="1"/>
  <c r="H1536" i="1"/>
  <c r="I1536" i="1"/>
  <c r="G408" i="1"/>
  <c r="H408" i="1"/>
  <c r="I408" i="1"/>
  <c r="G1063" i="1"/>
  <c r="H1063" i="1"/>
  <c r="I1063" i="1"/>
  <c r="G269" i="1"/>
  <c r="H269" i="1"/>
  <c r="I269" i="1"/>
  <c r="G884" i="1"/>
  <c r="H884" i="1"/>
  <c r="I884" i="1"/>
  <c r="G473" i="1"/>
  <c r="H473" i="1"/>
  <c r="I473" i="1"/>
  <c r="G877" i="1"/>
  <c r="H877" i="1"/>
  <c r="I877" i="1"/>
  <c r="G774" i="1"/>
  <c r="H774" i="1"/>
  <c r="I774" i="1"/>
  <c r="G64" i="1"/>
  <c r="H64" i="1"/>
  <c r="I64" i="1"/>
  <c r="G1102" i="1"/>
  <c r="H1102" i="1"/>
  <c r="I1102" i="1"/>
  <c r="G796" i="1"/>
  <c r="H796" i="1"/>
  <c r="I796" i="1"/>
  <c r="G493" i="1"/>
  <c r="H493" i="1"/>
  <c r="I493" i="1"/>
  <c r="G274" i="1"/>
  <c r="H274" i="1"/>
  <c r="I274" i="1"/>
  <c r="G1244" i="1"/>
  <c r="H1244" i="1"/>
  <c r="I1244" i="1"/>
  <c r="G620" i="1"/>
  <c r="H620" i="1"/>
  <c r="I620" i="1"/>
  <c r="G346" i="1"/>
  <c r="H346" i="1"/>
  <c r="I346" i="1"/>
  <c r="G370" i="1"/>
  <c r="H370" i="1"/>
  <c r="I370" i="1"/>
  <c r="G192" i="1"/>
  <c r="H192" i="1"/>
  <c r="I192" i="1"/>
  <c r="G439" i="1"/>
  <c r="H439" i="1"/>
  <c r="I439" i="1"/>
  <c r="G887" i="1"/>
  <c r="H887" i="1"/>
  <c r="I887" i="1"/>
  <c r="G51" i="1"/>
  <c r="H51" i="1"/>
  <c r="I51" i="1"/>
  <c r="G738" i="1"/>
  <c r="H738" i="1"/>
  <c r="I738" i="1"/>
  <c r="G121" i="1"/>
  <c r="H121" i="1"/>
  <c r="I121" i="1"/>
  <c r="G1433" i="1"/>
  <c r="H1433" i="1"/>
  <c r="I1433" i="1"/>
  <c r="G1023" i="1"/>
  <c r="H1023" i="1"/>
  <c r="I1023" i="1"/>
  <c r="G131" i="1"/>
  <c r="H131" i="1"/>
  <c r="I131" i="1"/>
  <c r="G960" i="1"/>
  <c r="H960" i="1"/>
  <c r="I960" i="1"/>
  <c r="G961" i="1"/>
  <c r="H961" i="1"/>
  <c r="I961" i="1"/>
  <c r="G1566" i="1"/>
  <c r="H1566" i="1"/>
  <c r="I1566" i="1"/>
  <c r="G1551" i="1"/>
  <c r="H1551" i="1"/>
  <c r="I1551" i="1"/>
  <c r="G818" i="1"/>
  <c r="H818" i="1"/>
  <c r="I818" i="1"/>
  <c r="G672" i="1"/>
  <c r="H672" i="1"/>
  <c r="I672" i="1"/>
  <c r="G1078" i="1"/>
  <c r="H1078" i="1"/>
  <c r="I1078" i="1"/>
  <c r="G909" i="1"/>
  <c r="H909" i="1"/>
  <c r="I909" i="1"/>
  <c r="G1312" i="1"/>
  <c r="H1312" i="1"/>
  <c r="I1312" i="1"/>
  <c r="G621" i="1"/>
  <c r="H621" i="1"/>
  <c r="I621" i="1"/>
  <c r="G380" i="1"/>
  <c r="H380" i="1"/>
  <c r="I380" i="1"/>
  <c r="G122" i="1"/>
  <c r="H122" i="1"/>
  <c r="I122" i="1"/>
  <c r="G1493" i="1"/>
  <c r="H1493" i="1"/>
  <c r="I1493" i="1"/>
  <c r="G1167" i="1"/>
  <c r="H1167" i="1"/>
  <c r="I1167" i="1"/>
  <c r="G162" i="1"/>
  <c r="H162" i="1"/>
  <c r="I162" i="1"/>
  <c r="G1333" i="1"/>
  <c r="H1333" i="1"/>
  <c r="I1333" i="1"/>
  <c r="G150" i="1"/>
  <c r="H150" i="1"/>
  <c r="I150" i="1"/>
  <c r="G55" i="1"/>
  <c r="H55" i="1"/>
  <c r="I55" i="1"/>
  <c r="G1006" i="1"/>
  <c r="H1006" i="1"/>
  <c r="I1006" i="1"/>
  <c r="G888" i="1"/>
  <c r="H888" i="1"/>
  <c r="I888" i="1"/>
  <c r="G1204" i="1"/>
  <c r="H1204" i="1"/>
  <c r="I1204" i="1"/>
  <c r="G163" i="1"/>
  <c r="H163" i="1"/>
  <c r="I163" i="1"/>
  <c r="G956" i="1"/>
  <c r="H956" i="1"/>
  <c r="I956" i="1"/>
  <c r="G361" i="1"/>
  <c r="H361" i="1"/>
  <c r="I361" i="1"/>
  <c r="G484" i="1"/>
  <c r="H484" i="1"/>
  <c r="I484" i="1"/>
  <c r="G5" i="1"/>
  <c r="H5" i="1"/>
  <c r="I5" i="1"/>
  <c r="G255" i="1"/>
  <c r="H255" i="1"/>
  <c r="I255" i="1"/>
  <c r="G347" i="1"/>
  <c r="H347" i="1"/>
  <c r="I347" i="1"/>
  <c r="G797" i="1"/>
  <c r="H797" i="1"/>
  <c r="I797" i="1"/>
  <c r="G1430" i="1"/>
  <c r="H1430" i="1"/>
  <c r="I1430" i="1"/>
  <c r="G489" i="1"/>
  <c r="H489" i="1"/>
  <c r="I489" i="1"/>
  <c r="G658" i="1"/>
  <c r="H658" i="1"/>
  <c r="I658" i="1"/>
  <c r="G854" i="1"/>
  <c r="H854" i="1"/>
  <c r="I854" i="1"/>
  <c r="G717" i="1"/>
  <c r="H717" i="1"/>
  <c r="I717" i="1"/>
  <c r="G1590" i="1"/>
  <c r="H1590" i="1"/>
  <c r="I1590" i="1"/>
  <c r="G409" i="1"/>
  <c r="H409" i="1"/>
  <c r="I409" i="1"/>
  <c r="G260" i="1"/>
  <c r="H260" i="1"/>
  <c r="I260" i="1"/>
  <c r="G1487" i="1"/>
  <c r="H1487" i="1"/>
  <c r="I1487" i="1"/>
  <c r="G1016" i="1"/>
  <c r="H1016" i="1"/>
  <c r="I1016" i="1"/>
  <c r="G40" i="1"/>
  <c r="H40" i="1"/>
  <c r="I40" i="1"/>
  <c r="G485" i="1"/>
  <c r="H485" i="1"/>
  <c r="I485" i="1"/>
  <c r="G1084" i="1"/>
  <c r="H1084" i="1"/>
  <c r="I1084" i="1"/>
  <c r="G1528" i="1"/>
  <c r="H1528" i="1"/>
  <c r="I1528" i="1"/>
  <c r="G1045" i="1"/>
  <c r="H1045" i="1"/>
  <c r="I1045" i="1"/>
  <c r="G584" i="1"/>
  <c r="H584" i="1"/>
  <c r="I584" i="1"/>
  <c r="G44" i="1"/>
  <c r="H44" i="1"/>
  <c r="I44" i="1"/>
  <c r="G982" i="1"/>
  <c r="H982" i="1"/>
  <c r="I982" i="1"/>
  <c r="G381" i="1"/>
  <c r="H381" i="1"/>
  <c r="I381" i="1"/>
  <c r="G1245" i="1"/>
  <c r="H1245" i="1"/>
  <c r="I1245" i="1"/>
  <c r="G197" i="1"/>
  <c r="H197" i="1"/>
  <c r="I197" i="1"/>
  <c r="G1017" i="1"/>
  <c r="H1017" i="1"/>
  <c r="I1017" i="1"/>
  <c r="G249" i="1"/>
  <c r="H249" i="1"/>
  <c r="I249" i="1"/>
  <c r="G1108" i="1"/>
  <c r="H1108" i="1"/>
  <c r="I1108" i="1"/>
  <c r="G1111" i="1"/>
  <c r="H1111" i="1"/>
  <c r="I1111" i="1"/>
  <c r="G762" i="1"/>
  <c r="H762" i="1"/>
  <c r="I762" i="1"/>
  <c r="G279" i="1"/>
  <c r="H279" i="1"/>
  <c r="I279" i="1"/>
  <c r="G725" i="1"/>
  <c r="H725" i="1"/>
  <c r="I725" i="1"/>
  <c r="G34" i="1"/>
  <c r="H34" i="1"/>
  <c r="I34" i="1"/>
  <c r="G697" i="1"/>
  <c r="H697" i="1"/>
  <c r="I697" i="1"/>
  <c r="G692" i="1"/>
  <c r="H692" i="1"/>
  <c r="I692" i="1"/>
  <c r="G1472" i="1"/>
  <c r="H1472" i="1"/>
  <c r="I1472" i="1"/>
  <c r="G746" i="1"/>
  <c r="H746" i="1"/>
  <c r="I746" i="1"/>
  <c r="G425" i="1"/>
  <c r="H425" i="1"/>
  <c r="I425" i="1"/>
  <c r="G1103" i="1"/>
  <c r="H1103" i="1"/>
  <c r="I1103" i="1"/>
  <c r="G329" i="1"/>
  <c r="H329" i="1"/>
  <c r="I329" i="1"/>
  <c r="G19" i="1"/>
  <c r="H19" i="1"/>
  <c r="I19" i="1"/>
  <c r="G502" i="1"/>
  <c r="H502" i="1"/>
  <c r="I502" i="1"/>
  <c r="G410" i="1"/>
  <c r="H410" i="1"/>
  <c r="I410" i="1"/>
  <c r="G711" i="1"/>
  <c r="H711" i="1"/>
  <c r="I711" i="1"/>
  <c r="G20" i="1"/>
  <c r="H20" i="1"/>
  <c r="I20" i="1"/>
  <c r="G1096" i="1"/>
  <c r="H1096" i="1"/>
  <c r="I1096" i="1"/>
  <c r="G1072" i="1"/>
  <c r="H1072" i="1"/>
  <c r="I1072" i="1"/>
  <c r="G371" i="1"/>
  <c r="H371" i="1"/>
  <c r="I371" i="1"/>
  <c r="G607" i="1"/>
  <c r="H607" i="1"/>
  <c r="I607" i="1"/>
  <c r="G575" i="1"/>
  <c r="H575" i="1"/>
  <c r="I575" i="1"/>
  <c r="G354" i="1"/>
  <c r="H354" i="1"/>
  <c r="I354" i="1"/>
  <c r="G983" i="1"/>
  <c r="H983" i="1"/>
  <c r="I983" i="1"/>
  <c r="G962" i="1"/>
  <c r="H962" i="1"/>
  <c r="I962" i="1"/>
  <c r="G1467" i="1"/>
  <c r="H1467" i="1"/>
  <c r="I1467" i="1"/>
  <c r="G322" i="1"/>
  <c r="H322" i="1"/>
  <c r="I322" i="1"/>
  <c r="G612" i="1"/>
  <c r="H612" i="1"/>
  <c r="I612" i="1"/>
  <c r="G382" i="1"/>
  <c r="H382" i="1"/>
  <c r="I382" i="1"/>
  <c r="G975" i="1"/>
  <c r="H975" i="1"/>
  <c r="I975" i="1"/>
  <c r="G1234" i="1"/>
  <c r="H1234" i="1"/>
  <c r="I1234" i="1"/>
  <c r="G193" i="1"/>
  <c r="H193" i="1"/>
  <c r="I193" i="1"/>
  <c r="G798" i="1"/>
  <c r="H798" i="1"/>
  <c r="I798" i="1"/>
  <c r="G1104" i="1"/>
  <c r="H1104" i="1"/>
  <c r="I1104" i="1"/>
  <c r="G1079" i="1"/>
  <c r="H1079" i="1"/>
  <c r="I1079" i="1"/>
  <c r="G799" i="1"/>
  <c r="H799" i="1"/>
  <c r="I799" i="1"/>
  <c r="G79" i="1"/>
  <c r="H79" i="1"/>
  <c r="I79" i="1"/>
  <c r="G1273" i="1"/>
  <c r="H1273" i="1"/>
  <c r="I1273" i="1"/>
  <c r="G1334" i="1"/>
  <c r="H1334" i="1"/>
  <c r="I1334" i="1"/>
  <c r="G225" i="1"/>
  <c r="H225" i="1"/>
  <c r="I225" i="1"/>
  <c r="G872" i="1"/>
  <c r="H872" i="1"/>
  <c r="I872" i="1"/>
  <c r="G1482" i="1"/>
  <c r="H1482" i="1"/>
  <c r="I1482" i="1"/>
  <c r="G718" i="1"/>
  <c r="H718" i="1"/>
  <c r="I718" i="1"/>
  <c r="G1419" i="1"/>
  <c r="H1419" i="1"/>
  <c r="I1419" i="1"/>
  <c r="G449" i="1"/>
  <c r="H449" i="1"/>
  <c r="I449" i="1"/>
  <c r="G726" i="1"/>
  <c r="H726" i="1"/>
  <c r="I726" i="1"/>
  <c r="G1054" i="1"/>
  <c r="H1054" i="1"/>
  <c r="I1054" i="1"/>
  <c r="G168" i="1"/>
  <c r="H168" i="1"/>
  <c r="I168" i="1"/>
  <c r="G1235" i="1"/>
  <c r="H1235" i="1"/>
  <c r="I1235" i="1"/>
  <c r="G529" i="1"/>
  <c r="H529" i="1"/>
  <c r="I529" i="1"/>
  <c r="G593" i="1"/>
  <c r="H593" i="1"/>
  <c r="I593" i="1"/>
  <c r="G1040" i="1"/>
  <c r="H1040" i="1"/>
  <c r="I1040" i="1"/>
  <c r="G450" i="1"/>
  <c r="H450" i="1"/>
  <c r="I450" i="1"/>
  <c r="G638" i="1"/>
  <c r="H638" i="1"/>
  <c r="I638" i="1"/>
  <c r="G1046" i="1"/>
  <c r="H1046" i="1"/>
  <c r="I1046" i="1"/>
  <c r="G45" i="1"/>
  <c r="H45" i="1"/>
  <c r="I45" i="1"/>
  <c r="G411" i="1"/>
  <c r="H411" i="1"/>
  <c r="I411" i="1"/>
  <c r="G817" i="1"/>
  <c r="H817" i="1"/>
  <c r="I817" i="1"/>
  <c r="G1179" i="1"/>
  <c r="H1179" i="1"/>
  <c r="I1179" i="1"/>
  <c r="G189" i="1"/>
  <c r="H189" i="1"/>
  <c r="I189" i="1"/>
  <c r="G1554" i="1"/>
  <c r="H1554" i="1"/>
  <c r="I1554" i="1"/>
  <c r="G603" i="1"/>
  <c r="H603" i="1"/>
  <c r="I603" i="1"/>
  <c r="G1546" i="1"/>
  <c r="H1546" i="1"/>
  <c r="I1546" i="1"/>
  <c r="G198" i="1"/>
  <c r="H198" i="1"/>
  <c r="I198" i="1"/>
  <c r="G719" i="1"/>
  <c r="H719" i="1"/>
  <c r="I719" i="1"/>
  <c r="G741" i="1"/>
  <c r="H741" i="1"/>
  <c r="I741" i="1"/>
  <c r="G1047" i="1"/>
  <c r="H1047" i="1"/>
  <c r="I1047" i="1"/>
  <c r="G1073" i="1"/>
  <c r="H1073" i="1"/>
  <c r="I1073" i="1"/>
  <c r="G1024" i="1"/>
  <c r="H1024" i="1"/>
  <c r="I1024" i="1"/>
  <c r="G1537" i="1"/>
  <c r="H1537" i="1"/>
  <c r="I1537" i="1"/>
  <c r="G21" i="1"/>
  <c r="H21" i="1"/>
  <c r="I21" i="1"/>
  <c r="G22" i="1"/>
  <c r="H22" i="1"/>
  <c r="I22" i="1"/>
  <c r="G1184" i="1"/>
  <c r="H1184" i="1"/>
  <c r="I1184" i="1"/>
  <c r="G1576" i="1"/>
  <c r="H1576" i="1"/>
  <c r="I1576" i="1"/>
  <c r="G910" i="1"/>
  <c r="H910" i="1"/>
  <c r="I910" i="1"/>
  <c r="G29" i="1"/>
  <c r="H29" i="1"/>
  <c r="I29" i="1"/>
  <c r="G513" i="1"/>
  <c r="H513" i="1"/>
  <c r="I513" i="1"/>
  <c r="G288" i="1"/>
  <c r="H288" i="1"/>
  <c r="I288" i="1"/>
  <c r="G753" i="1"/>
  <c r="H753" i="1"/>
  <c r="I753" i="1"/>
  <c r="G585" i="1"/>
  <c r="H585" i="1"/>
  <c r="I585" i="1"/>
  <c r="G412" i="1"/>
  <c r="H412" i="1"/>
  <c r="I412" i="1"/>
  <c r="G173" i="1"/>
  <c r="H173" i="1"/>
  <c r="I173" i="1"/>
  <c r="G1555" i="1"/>
  <c r="H1555" i="1"/>
  <c r="I1555" i="1"/>
  <c r="G754" i="1"/>
  <c r="H754" i="1"/>
  <c r="I754" i="1"/>
  <c r="G6" i="1"/>
  <c r="H6" i="1"/>
  <c r="I6" i="1"/>
  <c r="G1377" i="1"/>
  <c r="H1377" i="1"/>
  <c r="I1377" i="1"/>
  <c r="G1197" i="1"/>
  <c r="H1197" i="1"/>
  <c r="I1197" i="1"/>
  <c r="G1403" i="1"/>
  <c r="H1403" i="1"/>
  <c r="I1403" i="1"/>
  <c r="G174" i="1"/>
  <c r="H174" i="1"/>
  <c r="I174" i="1"/>
  <c r="G566" i="1"/>
  <c r="H566" i="1"/>
  <c r="I566" i="1"/>
  <c r="G180" i="1"/>
  <c r="H180" i="1"/>
  <c r="I180" i="1"/>
  <c r="G850" i="1"/>
  <c r="H850" i="1"/>
  <c r="I850" i="1"/>
  <c r="G1262" i="1"/>
  <c r="H1262" i="1"/>
  <c r="I1262" i="1"/>
  <c r="G1376" i="1"/>
  <c r="H1376" i="1"/>
  <c r="I1376" i="1"/>
  <c r="G1074" i="1"/>
  <c r="H1074" i="1"/>
  <c r="I1074" i="1"/>
  <c r="G1225" i="1"/>
  <c r="H1225" i="1"/>
  <c r="I1225" i="1"/>
  <c r="G470" i="1"/>
  <c r="H470" i="1"/>
  <c r="I470" i="1"/>
  <c r="G1064" i="1"/>
  <c r="H1064" i="1"/>
  <c r="I1064" i="1"/>
  <c r="G976" i="1"/>
  <c r="H976" i="1"/>
  <c r="I976" i="1"/>
  <c r="G757" i="1"/>
  <c r="H757" i="1"/>
  <c r="I757" i="1"/>
  <c r="G52" i="1"/>
  <c r="H52" i="1"/>
  <c r="I52" i="1"/>
  <c r="G1291" i="1"/>
  <c r="H1291" i="1"/>
  <c r="I1291" i="1"/>
  <c r="G1547" i="1"/>
  <c r="H1547" i="1"/>
  <c r="I1547" i="1"/>
  <c r="G270" i="1"/>
  <c r="H270" i="1"/>
  <c r="I270" i="1"/>
  <c r="G1112" i="1"/>
  <c r="H1112" i="1"/>
  <c r="I1112" i="1"/>
  <c r="G701" i="1"/>
  <c r="H701" i="1"/>
  <c r="I701" i="1"/>
  <c r="G413" i="1"/>
  <c r="H413" i="1"/>
  <c r="I413" i="1"/>
  <c r="G451" i="1"/>
  <c r="H451" i="1"/>
  <c r="I451" i="1"/>
  <c r="G924" i="1"/>
  <c r="H924" i="1"/>
  <c r="I924" i="1"/>
  <c r="G770" i="1"/>
  <c r="H770" i="1"/>
  <c r="I770" i="1"/>
  <c r="G298" i="1"/>
  <c r="H298" i="1"/>
  <c r="I298" i="1"/>
  <c r="G365" i="1"/>
  <c r="H365" i="1"/>
  <c r="I365" i="1"/>
  <c r="G56" i="1"/>
  <c r="H56" i="1"/>
  <c r="I56" i="1"/>
  <c r="G984" i="1"/>
  <c r="H984" i="1"/>
  <c r="I984" i="1"/>
  <c r="G1577" i="1"/>
  <c r="H1577" i="1"/>
  <c r="I1577" i="1"/>
  <c r="G1529" i="1"/>
  <c r="H1529" i="1"/>
  <c r="I1529" i="1"/>
  <c r="G652" i="1"/>
  <c r="H652" i="1"/>
  <c r="I652" i="1"/>
  <c r="G702" i="1"/>
  <c r="H702" i="1"/>
  <c r="I702" i="1"/>
  <c r="G788" i="1"/>
  <c r="H788" i="1"/>
  <c r="I788" i="1"/>
  <c r="G137" i="1"/>
  <c r="H137" i="1"/>
  <c r="I137" i="1"/>
  <c r="G881" i="1"/>
  <c r="H881" i="1"/>
  <c r="I881" i="1"/>
  <c r="G490" i="1"/>
  <c r="H490" i="1"/>
  <c r="I490" i="1"/>
  <c r="G804" i="1"/>
  <c r="H804" i="1"/>
  <c r="I804" i="1"/>
  <c r="G1050" i="1"/>
  <c r="H1050" i="1"/>
  <c r="I1050" i="1"/>
  <c r="G1543" i="1"/>
  <c r="H1543" i="1"/>
  <c r="I1543" i="1"/>
  <c r="G988" i="1"/>
  <c r="H988" i="1"/>
  <c r="I988" i="1"/>
  <c r="G576" i="1"/>
  <c r="H576" i="1"/>
  <c r="I576" i="1"/>
  <c r="G1250" i="1"/>
  <c r="H1250" i="1"/>
  <c r="I1250" i="1"/>
  <c r="G1420" i="1"/>
  <c r="H1420" i="1"/>
  <c r="I1420" i="1"/>
  <c r="G457" i="1"/>
  <c r="H457" i="1"/>
  <c r="I457" i="1"/>
  <c r="G218" i="1"/>
  <c r="H218" i="1"/>
  <c r="I218" i="1"/>
  <c r="G309" i="1"/>
  <c r="H309" i="1"/>
  <c r="I309" i="1"/>
  <c r="G465" i="1"/>
  <c r="H465" i="1"/>
  <c r="I465" i="1"/>
  <c r="G1353" i="1"/>
  <c r="H1353" i="1"/>
  <c r="I1353" i="1"/>
  <c r="G69" i="1"/>
  <c r="H69" i="1"/>
  <c r="I69" i="1"/>
  <c r="G7" i="1"/>
  <c r="H7" i="1"/>
  <c r="I7" i="1"/>
  <c r="G91" i="1"/>
  <c r="H91" i="1"/>
  <c r="I91" i="1"/>
  <c r="G1404" i="1"/>
  <c r="H1404" i="1"/>
  <c r="I1404" i="1"/>
  <c r="G1007" i="1"/>
  <c r="H1007" i="1"/>
  <c r="I1007" i="1"/>
  <c r="G684" i="1"/>
  <c r="H684" i="1"/>
  <c r="I684" i="1"/>
  <c r="G250" i="1"/>
  <c r="H250" i="1"/>
  <c r="I250" i="1"/>
  <c r="G1326" i="1"/>
  <c r="H1326" i="1"/>
  <c r="I1326" i="1"/>
  <c r="G659" i="1"/>
  <c r="H659" i="1"/>
  <c r="I659" i="1"/>
  <c r="G1313" i="1"/>
  <c r="H1313" i="1"/>
  <c r="I1313" i="1"/>
  <c r="G1395" i="1"/>
  <c r="H1395" i="1"/>
  <c r="I1395" i="1"/>
  <c r="G863" i="1"/>
  <c r="H863" i="1"/>
  <c r="I863" i="1"/>
  <c r="G1342" i="1"/>
  <c r="H1342" i="1"/>
  <c r="I1342" i="1"/>
  <c r="G1025" i="1"/>
  <c r="H1025" i="1"/>
  <c r="I1025" i="1"/>
  <c r="G689" i="1"/>
  <c r="H689" i="1"/>
  <c r="I689" i="1"/>
  <c r="G1239" i="1"/>
  <c r="H1239" i="1"/>
  <c r="I1239" i="1"/>
  <c r="G1318" i="1"/>
  <c r="H1318" i="1"/>
  <c r="I1318" i="1"/>
  <c r="G625" i="1"/>
  <c r="H625" i="1"/>
  <c r="I625" i="1"/>
  <c r="G1505" i="1"/>
  <c r="H1505" i="1"/>
  <c r="I1505" i="1"/>
  <c r="G885" i="1"/>
  <c r="H885" i="1"/>
  <c r="I885" i="1"/>
  <c r="G94" i="1"/>
  <c r="H94" i="1"/>
  <c r="I94" i="1"/>
  <c r="G1000" i="1"/>
  <c r="H1000" i="1"/>
  <c r="I1000" i="1"/>
  <c r="G103" i="1"/>
  <c r="H103" i="1"/>
  <c r="I103" i="1"/>
  <c r="G1488" i="1"/>
  <c r="H1488" i="1"/>
  <c r="I1488" i="1"/>
  <c r="G95" i="1"/>
  <c r="H95" i="1"/>
  <c r="I95" i="1"/>
  <c r="G977" i="1"/>
  <c r="H977" i="1"/>
  <c r="I977" i="1"/>
  <c r="G1510" i="1"/>
  <c r="H1510" i="1"/>
  <c r="I1510" i="1"/>
  <c r="G1421" i="1"/>
  <c r="H1421" i="1"/>
  <c r="I1421" i="1"/>
  <c r="G486" i="1"/>
  <c r="H486" i="1"/>
  <c r="I486" i="1"/>
  <c r="G1113" i="1"/>
  <c r="H1113" i="1"/>
  <c r="I1113" i="1"/>
  <c r="G941" i="1"/>
  <c r="H941" i="1"/>
  <c r="I941" i="1"/>
  <c r="G261" i="1"/>
  <c r="H261" i="1"/>
  <c r="I261" i="1"/>
  <c r="G893" i="1"/>
  <c r="H893" i="1"/>
  <c r="I893" i="1"/>
  <c r="G902" i="1"/>
  <c r="H902" i="1"/>
  <c r="I902" i="1"/>
  <c r="G868" i="1"/>
  <c r="H868" i="1"/>
  <c r="I868" i="1"/>
  <c r="G8" i="1"/>
  <c r="H8" i="1"/>
  <c r="I8" i="1"/>
  <c r="G1335" i="1"/>
  <c r="H1335" i="1"/>
  <c r="I1335" i="1"/>
  <c r="G1308" i="1"/>
  <c r="H1308" i="1"/>
  <c r="I1308" i="1"/>
  <c r="G873" i="1"/>
  <c r="H873" i="1"/>
  <c r="I873" i="1"/>
  <c r="G323" i="1"/>
  <c r="H323" i="1"/>
  <c r="I323" i="1"/>
  <c r="G440" i="1"/>
  <c r="H440" i="1"/>
  <c r="I440" i="1"/>
  <c r="G1041" i="1"/>
  <c r="H1041" i="1"/>
  <c r="I1041" i="1"/>
  <c r="G1152" i="1"/>
  <c r="H1152" i="1"/>
  <c r="I1152" i="1"/>
  <c r="G214" i="1"/>
  <c r="H214" i="1"/>
  <c r="I214" i="1"/>
  <c r="G911" i="1"/>
  <c r="H911" i="1"/>
  <c r="I911" i="1"/>
  <c r="G869" i="1"/>
  <c r="H869" i="1"/>
  <c r="I869" i="1"/>
  <c r="G104" i="1"/>
  <c r="H104" i="1"/>
  <c r="I104" i="1"/>
  <c r="G1343" i="1"/>
  <c r="H1343" i="1"/>
  <c r="I1343" i="1"/>
  <c r="G524" i="1"/>
  <c r="H524" i="1"/>
  <c r="I524" i="1"/>
  <c r="G344" i="1"/>
  <c r="H344" i="1"/>
  <c r="I344" i="1"/>
  <c r="G1344" i="1"/>
  <c r="H1344" i="1"/>
  <c r="I1344" i="1"/>
  <c r="G525" i="1"/>
  <c r="H525" i="1"/>
  <c r="I525" i="1"/>
  <c r="G1205" i="1"/>
  <c r="H1205" i="1"/>
  <c r="I1205" i="1"/>
  <c r="G1279" i="1"/>
  <c r="H1279" i="1"/>
  <c r="I1279" i="1"/>
  <c r="G1153" i="1"/>
  <c r="H1153" i="1"/>
  <c r="I1153" i="1"/>
  <c r="G1483" i="1"/>
  <c r="H1483" i="1"/>
  <c r="I1483" i="1"/>
  <c r="G985" i="1"/>
  <c r="H985" i="1"/>
  <c r="I985" i="1"/>
  <c r="G1414" i="1"/>
  <c r="H1414" i="1"/>
  <c r="I1414" i="1"/>
  <c r="G567" i="1"/>
  <c r="H567" i="1"/>
  <c r="I567" i="1"/>
  <c r="G1036" i="1"/>
  <c r="H1036" i="1"/>
  <c r="I1036" i="1"/>
  <c r="G1226" i="1"/>
  <c r="H1226" i="1"/>
  <c r="I1226" i="1"/>
  <c r="G478" i="1"/>
  <c r="H478" i="1"/>
  <c r="I478" i="1"/>
  <c r="G530" i="1"/>
  <c r="H530" i="1"/>
  <c r="I530" i="1"/>
  <c r="G747" i="1"/>
  <c r="H747" i="1"/>
  <c r="I747" i="1"/>
  <c r="G1222" i="1"/>
  <c r="H1222" i="1"/>
  <c r="I1222" i="1"/>
  <c r="G1114" i="1"/>
  <c r="H1114" i="1"/>
  <c r="I1114" i="1"/>
  <c r="G973" i="1"/>
  <c r="H973" i="1"/>
  <c r="I973" i="1"/>
  <c r="G151" i="1"/>
  <c r="H151" i="1"/>
  <c r="I151" i="1"/>
  <c r="G418" i="1"/>
  <c r="H418" i="1"/>
  <c r="I418" i="1"/>
  <c r="G1168" i="1"/>
  <c r="H1168" i="1"/>
  <c r="I1168" i="1"/>
  <c r="G324" i="1"/>
  <c r="H324" i="1"/>
  <c r="I324" i="1"/>
  <c r="G912" i="1"/>
  <c r="H912" i="1"/>
  <c r="I912" i="1"/>
  <c r="G262" i="1"/>
  <c r="H262" i="1"/>
  <c r="I262" i="1"/>
  <c r="G996" i="1"/>
  <c r="H996" i="1"/>
  <c r="I996" i="1"/>
  <c r="G383" i="1"/>
  <c r="H383" i="1"/>
  <c r="I383" i="1"/>
  <c r="G1442" i="1"/>
  <c r="H1442" i="1"/>
  <c r="I1442" i="1"/>
  <c r="G419" i="1"/>
  <c r="H419" i="1"/>
  <c r="I419" i="1"/>
  <c r="G1065" i="1"/>
  <c r="H1065" i="1"/>
  <c r="I1065" i="1"/>
  <c r="G152" i="1"/>
  <c r="H152" i="1"/>
  <c r="I152" i="1"/>
  <c r="G158" i="1"/>
  <c r="H158" i="1"/>
  <c r="I158" i="1"/>
  <c r="G734" i="1"/>
  <c r="H734" i="1"/>
  <c r="I734" i="1"/>
  <c r="G372" i="1"/>
  <c r="H372" i="1"/>
  <c r="I372" i="1"/>
  <c r="G458" i="1"/>
  <c r="H458" i="1"/>
  <c r="I458" i="1"/>
  <c r="G824" i="1"/>
  <c r="H824" i="1"/>
  <c r="I824" i="1"/>
  <c r="G499" i="1"/>
  <c r="H499" i="1"/>
  <c r="I499" i="1"/>
  <c r="G846" i="1"/>
  <c r="H846" i="1"/>
  <c r="I846" i="1"/>
  <c r="G847" i="1"/>
  <c r="H847" i="1"/>
  <c r="I847" i="1"/>
  <c r="G758" i="1"/>
  <c r="H758" i="1"/>
  <c r="I758" i="1"/>
  <c r="G181" i="1"/>
  <c r="H181" i="1"/>
  <c r="I181" i="1"/>
  <c r="G1201" i="1"/>
  <c r="H1201" i="1"/>
  <c r="I1201" i="1"/>
  <c r="G226" i="1"/>
  <c r="H226" i="1"/>
  <c r="I226" i="1"/>
  <c r="G400" i="1"/>
  <c r="H400" i="1"/>
  <c r="I400" i="1"/>
  <c r="G299" i="1"/>
  <c r="H299" i="1"/>
  <c r="I299" i="1"/>
  <c r="G952" i="1"/>
  <c r="H952" i="1"/>
  <c r="I952" i="1"/>
  <c r="G1258" i="1"/>
  <c r="H1258" i="1"/>
  <c r="I1258" i="1"/>
  <c r="G1202" i="1"/>
  <c r="H1202" i="1"/>
  <c r="I1202" i="1"/>
  <c r="G96" i="1"/>
  <c r="H96" i="1"/>
  <c r="I96" i="1"/>
  <c r="G401" i="1"/>
  <c r="H401" i="1"/>
  <c r="I401" i="1"/>
  <c r="G219" i="1"/>
  <c r="H219" i="1"/>
  <c r="I219" i="1"/>
  <c r="G1303" i="1"/>
  <c r="H1303" i="1"/>
  <c r="I1303" i="1"/>
  <c r="G963" i="1"/>
  <c r="H963" i="1"/>
  <c r="I963" i="1"/>
  <c r="G685" i="1"/>
  <c r="H685" i="1"/>
  <c r="I685" i="1"/>
  <c r="G1162" i="1"/>
  <c r="H1162" i="1"/>
  <c r="I1162" i="1"/>
  <c r="G1013" i="1"/>
  <c r="H1013" i="1"/>
  <c r="I1013" i="1"/>
  <c r="G373" i="1"/>
  <c r="H373" i="1"/>
  <c r="I373" i="1"/>
  <c r="G1217" i="1"/>
  <c r="H1217" i="1"/>
  <c r="I1217" i="1"/>
  <c r="G220" i="1"/>
  <c r="H220" i="1"/>
  <c r="I220" i="1"/>
  <c r="G503" i="1"/>
  <c r="H503" i="1"/>
  <c r="I503" i="1"/>
  <c r="G664" i="1"/>
  <c r="H664" i="1"/>
  <c r="I664" i="1"/>
  <c r="G1127" i="1"/>
  <c r="H1127" i="1"/>
  <c r="I1127" i="1"/>
  <c r="G292" i="1"/>
  <c r="H292" i="1"/>
  <c r="I292" i="1"/>
  <c r="G474" i="1"/>
  <c r="H474" i="1"/>
  <c r="I474" i="1"/>
  <c r="G808" i="1"/>
  <c r="H808" i="1"/>
  <c r="I808" i="1"/>
  <c r="G388" i="1"/>
  <c r="H388" i="1"/>
  <c r="I388" i="1"/>
  <c r="G1292" i="1"/>
  <c r="H1292" i="1"/>
  <c r="I1292" i="1"/>
  <c r="G1371" i="1"/>
  <c r="H1371" i="1"/>
  <c r="I1371" i="1"/>
  <c r="G1198" i="1"/>
  <c r="H1198" i="1"/>
  <c r="I1198" i="1"/>
  <c r="G895" i="1"/>
  <c r="H895" i="1"/>
  <c r="I895" i="1"/>
  <c r="G1154" i="1"/>
  <c r="H1154" i="1"/>
  <c r="I1154" i="1"/>
  <c r="G1405" i="1"/>
  <c r="H1405" i="1"/>
  <c r="I1405" i="1"/>
  <c r="G703" i="1"/>
  <c r="H703" i="1"/>
  <c r="I703" i="1"/>
  <c r="G1329" i="1"/>
  <c r="H1329" i="1"/>
  <c r="I1329" i="1"/>
  <c r="G1427" i="1"/>
  <c r="H1427" i="1"/>
  <c r="I1427" i="1"/>
  <c r="G1359" i="1"/>
  <c r="H1359" i="1"/>
  <c r="I1359" i="1"/>
  <c r="G59" i="1"/>
  <c r="H59" i="1"/>
  <c r="I59" i="1"/>
  <c r="G1304" i="1"/>
  <c r="H1304" i="1"/>
  <c r="I1304" i="1"/>
  <c r="G832" i="1"/>
  <c r="H832" i="1"/>
  <c r="I832" i="1"/>
  <c r="G698" i="1"/>
  <c r="H698" i="1"/>
  <c r="I698" i="1"/>
  <c r="G355" i="1"/>
  <c r="H355" i="1"/>
  <c r="I355" i="1"/>
  <c r="G1097" i="1"/>
  <c r="H1097" i="1"/>
  <c r="I1097" i="1"/>
  <c r="G164" i="1"/>
  <c r="H164" i="1"/>
  <c r="I164" i="1"/>
  <c r="G9" i="1"/>
  <c r="H9" i="1"/>
  <c r="I9" i="1"/>
  <c r="G755" i="1"/>
  <c r="H755" i="1"/>
  <c r="I755" i="1"/>
  <c r="G318" i="1"/>
  <c r="H318" i="1"/>
  <c r="I318" i="1"/>
  <c r="G665" i="1"/>
  <c r="H665" i="1"/>
  <c r="I665" i="1"/>
  <c r="G913" i="1"/>
  <c r="H913" i="1"/>
  <c r="I913" i="1"/>
  <c r="G712" i="1"/>
  <c r="H712" i="1"/>
  <c r="I712" i="1"/>
  <c r="G1034" i="1"/>
  <c r="H1034" i="1"/>
  <c r="I1034" i="1"/>
  <c r="G105" i="1"/>
  <c r="H105" i="1"/>
  <c r="I105" i="1"/>
  <c r="G1591" i="1"/>
  <c r="H1591" i="1"/>
  <c r="I1591" i="1"/>
  <c r="G639" i="1"/>
  <c r="H639" i="1"/>
  <c r="I639" i="1"/>
  <c r="G1251" i="1"/>
  <c r="H1251" i="1"/>
  <c r="I1251" i="1"/>
  <c r="G1366" i="1"/>
  <c r="H1366" i="1"/>
  <c r="I1366" i="1"/>
  <c r="G809" i="1"/>
  <c r="H809" i="1"/>
  <c r="I809" i="1"/>
  <c r="G1468" i="1"/>
  <c r="H1468" i="1"/>
  <c r="I1468" i="1"/>
  <c r="G221" i="1"/>
  <c r="H221" i="1"/>
  <c r="I221" i="1"/>
  <c r="G896" i="1"/>
  <c r="H896" i="1"/>
  <c r="I896" i="1"/>
  <c r="G514" i="1"/>
  <c r="H514" i="1"/>
  <c r="I514" i="1"/>
  <c r="G460" i="1"/>
  <c r="H460" i="1"/>
  <c r="I460" i="1"/>
  <c r="G1519" i="1"/>
  <c r="H1519" i="1"/>
  <c r="I1519" i="1"/>
  <c r="G1388" i="1"/>
  <c r="H1388" i="1"/>
  <c r="I1388" i="1"/>
  <c r="G632" i="1"/>
  <c r="H632" i="1"/>
  <c r="I632" i="1"/>
  <c r="G814" i="1"/>
  <c r="H814" i="1"/>
  <c r="I814" i="1"/>
  <c r="G92" i="1"/>
  <c r="H92" i="1"/>
  <c r="I92" i="1"/>
  <c r="G1028" i="1"/>
  <c r="H1028" i="1"/>
  <c r="I1028" i="1"/>
  <c r="G310" i="1"/>
  <c r="H310" i="1"/>
  <c r="I310" i="1"/>
  <c r="G997" i="1"/>
  <c r="H997" i="1"/>
  <c r="I997" i="1"/>
  <c r="G280" i="1"/>
  <c r="H280" i="1"/>
  <c r="I280" i="1"/>
  <c r="G586" i="1"/>
  <c r="H586" i="1"/>
  <c r="I586" i="1"/>
  <c r="G362" i="1"/>
  <c r="H362" i="1"/>
  <c r="I362" i="1"/>
  <c r="G932" i="1"/>
  <c r="H932" i="1"/>
  <c r="I932" i="1"/>
  <c r="G1169" i="1"/>
  <c r="H1169" i="1"/>
  <c r="I1169" i="1"/>
  <c r="G1141" i="1"/>
  <c r="H1141" i="1"/>
  <c r="I1141" i="1"/>
  <c r="G466" i="1"/>
  <c r="H466" i="1"/>
  <c r="I466" i="1"/>
  <c r="G1330" i="1"/>
  <c r="H1330" i="1"/>
  <c r="I1330" i="1"/>
  <c r="G515" i="1"/>
  <c r="H515" i="1"/>
  <c r="I515" i="1"/>
  <c r="G106" i="1"/>
  <c r="H106" i="1"/>
  <c r="I106" i="1"/>
  <c r="G673" i="1"/>
  <c r="H673" i="1"/>
  <c r="I673" i="1"/>
  <c r="G30" i="1"/>
  <c r="H30" i="1"/>
  <c r="I30" i="1"/>
  <c r="G870" i="1"/>
  <c r="H870" i="1"/>
  <c r="I870" i="1"/>
  <c r="G606" i="1"/>
  <c r="H606" i="1"/>
  <c r="I606" i="1"/>
  <c r="G1218" i="1"/>
  <c r="H1218" i="1"/>
  <c r="I1218" i="1"/>
  <c r="G227" i="1"/>
  <c r="H227" i="1"/>
  <c r="I227" i="1"/>
  <c r="G256" i="1"/>
  <c r="H256" i="1"/>
  <c r="I256" i="1"/>
  <c r="G392" i="1"/>
  <c r="H392" i="1"/>
  <c r="I392" i="1"/>
  <c r="G461" i="1"/>
  <c r="H461" i="1"/>
  <c r="I461" i="1"/>
  <c r="G1085" i="1"/>
  <c r="H1085" i="1"/>
  <c r="I1085" i="1"/>
  <c r="G35" i="1"/>
  <c r="H35" i="1"/>
  <c r="I35" i="1"/>
  <c r="G10" i="1"/>
  <c r="H10" i="1"/>
  <c r="I10" i="1"/>
  <c r="G246" i="1"/>
  <c r="H246" i="1"/>
  <c r="I246" i="1"/>
  <c r="G194" i="1"/>
  <c r="H194" i="1"/>
  <c r="I194" i="1"/>
  <c r="G1020" i="1"/>
  <c r="H1020" i="1"/>
  <c r="I1020" i="1"/>
  <c r="G568" i="1"/>
  <c r="H568" i="1"/>
  <c r="I568" i="1"/>
  <c r="G97" i="1"/>
  <c r="H97" i="1"/>
  <c r="I97" i="1"/>
  <c r="G708" i="1"/>
  <c r="H708" i="1"/>
  <c r="I708" i="1"/>
  <c r="G1499" i="1"/>
  <c r="H1499" i="1"/>
  <c r="I1499" i="1"/>
  <c r="G699" i="1"/>
  <c r="H699" i="1"/>
  <c r="I699" i="1"/>
  <c r="G459" i="1"/>
  <c r="H459" i="1"/>
  <c r="I459" i="1"/>
  <c r="G690" i="1"/>
  <c r="H690" i="1"/>
  <c r="I690" i="1"/>
  <c r="G1128" i="1"/>
  <c r="H1128" i="1"/>
  <c r="I1128" i="1"/>
  <c r="G587" i="1"/>
  <c r="H587" i="1"/>
  <c r="I587" i="1"/>
  <c r="G384" i="1"/>
  <c r="H384" i="1"/>
  <c r="I384" i="1"/>
  <c r="G633" i="1"/>
  <c r="H633" i="1"/>
  <c r="I633" i="1"/>
  <c r="G763" i="1"/>
  <c r="H763" i="1"/>
  <c r="I763" i="1"/>
  <c r="G1147" i="1"/>
  <c r="H1147" i="1"/>
  <c r="I1147" i="1"/>
  <c r="G263" i="1"/>
  <c r="H263" i="1"/>
  <c r="I263" i="1"/>
  <c r="G182" i="1"/>
  <c r="H182" i="1"/>
  <c r="I182" i="1"/>
  <c r="G1100" i="1"/>
  <c r="H1100" i="1"/>
  <c r="I1100" i="1"/>
  <c r="G1266" i="1"/>
  <c r="H1266" i="1"/>
  <c r="I1266" i="1"/>
  <c r="G1458" i="1"/>
  <c r="H1458" i="1"/>
  <c r="I1458" i="1"/>
  <c r="G203" i="1"/>
  <c r="H203" i="1"/>
  <c r="I203" i="1"/>
  <c r="G11" i="1"/>
  <c r="H11" i="1"/>
  <c r="I11" i="1"/>
  <c r="G247" i="1"/>
  <c r="H247" i="1"/>
  <c r="I247" i="1"/>
  <c r="G569" i="1"/>
  <c r="H569" i="1"/>
  <c r="I569" i="1"/>
  <c r="G165" i="1"/>
  <c r="H165" i="1"/>
  <c r="I165" i="1"/>
  <c r="G786" i="1"/>
  <c r="H786" i="1"/>
  <c r="I786" i="1"/>
  <c r="G953" i="1"/>
  <c r="H953" i="1"/>
  <c r="I953" i="1"/>
  <c r="G1129" i="1"/>
  <c r="H1129" i="1"/>
  <c r="I1129" i="1"/>
  <c r="G183" i="1"/>
  <c r="H183" i="1"/>
  <c r="I183" i="1"/>
  <c r="G735" i="1"/>
  <c r="H735" i="1"/>
  <c r="I735" i="1"/>
  <c r="G462" i="1"/>
  <c r="H462" i="1"/>
  <c r="I462" i="1"/>
  <c r="G1092" i="1"/>
  <c r="H1092" i="1"/>
  <c r="I1092" i="1"/>
  <c r="G1066" i="1"/>
  <c r="H1066" i="1"/>
  <c r="I1066" i="1"/>
  <c r="G1494" i="1"/>
  <c r="H1494" i="1"/>
  <c r="I1494" i="1"/>
  <c r="G72" i="1"/>
  <c r="H72" i="1"/>
  <c r="I72" i="1"/>
  <c r="G936" i="1"/>
  <c r="H936" i="1"/>
  <c r="I936" i="1"/>
  <c r="G1500" i="1"/>
  <c r="H1500" i="1"/>
  <c r="I1500" i="1"/>
  <c r="G467" i="1"/>
  <c r="H467" i="1"/>
  <c r="I467" i="1"/>
  <c r="G1075" i="1"/>
  <c r="H1075" i="1"/>
  <c r="I1075" i="1"/>
  <c r="G1252" i="1"/>
  <c r="H1252" i="1"/>
  <c r="I1252" i="1"/>
  <c r="G1378" i="1"/>
  <c r="H1378" i="1"/>
  <c r="I1378" i="1"/>
  <c r="G1060" i="1"/>
  <c r="H1060" i="1"/>
  <c r="I1060" i="1"/>
  <c r="G1484" i="1"/>
  <c r="H1484" i="1"/>
  <c r="I1484" i="1"/>
  <c r="G1384" i="1"/>
  <c r="H1384" i="1"/>
  <c r="I1384" i="1"/>
  <c r="G622" i="1"/>
  <c r="H622" i="1"/>
  <c r="I622" i="1"/>
  <c r="G396" i="1"/>
  <c r="H396" i="1"/>
  <c r="I396" i="1"/>
  <c r="G238" i="1"/>
  <c r="H238" i="1"/>
  <c r="I238" i="1"/>
  <c r="G504" i="1"/>
  <c r="H504" i="1"/>
  <c r="I504" i="1"/>
  <c r="G1051" i="1"/>
  <c r="H1051" i="1"/>
  <c r="I1051" i="1"/>
  <c r="G957" i="1"/>
  <c r="H957" i="1"/>
  <c r="I957" i="1"/>
  <c r="G937" i="1"/>
  <c r="H937" i="1"/>
  <c r="I937" i="1"/>
  <c r="G23" i="1"/>
  <c r="H23" i="1"/>
  <c r="I23" i="1"/>
  <c r="G1506" i="1"/>
  <c r="H1506" i="1"/>
  <c r="I1506" i="1"/>
  <c r="G315" i="1"/>
  <c r="H315" i="1"/>
  <c r="I315" i="1"/>
  <c r="G660" i="1"/>
  <c r="H660" i="1"/>
  <c r="I660" i="1"/>
  <c r="G293" i="1"/>
  <c r="H293" i="1"/>
  <c r="I293" i="1"/>
  <c r="G764" i="1"/>
  <c r="H764" i="1"/>
  <c r="I764" i="1"/>
  <c r="G766" i="1"/>
  <c r="H766" i="1"/>
  <c r="I766" i="1"/>
  <c r="G1288" i="1"/>
  <c r="H1288" i="1"/>
  <c r="I1288" i="1"/>
  <c r="G31" i="1"/>
  <c r="H31" i="1"/>
  <c r="I31" i="1"/>
  <c r="G41" i="1"/>
  <c r="H41" i="1"/>
  <c r="I41" i="1"/>
  <c r="G494" i="1"/>
  <c r="H494" i="1"/>
  <c r="I494" i="1"/>
  <c r="G594" i="1"/>
  <c r="H594" i="1"/>
  <c r="I594" i="1"/>
  <c r="G771" i="1"/>
  <c r="H771" i="1"/>
  <c r="I771" i="1"/>
  <c r="G195" i="1"/>
  <c r="H195" i="1"/>
  <c r="I195" i="1"/>
  <c r="G24" i="1"/>
  <c r="H24" i="1"/>
  <c r="I24" i="1"/>
  <c r="G570" i="1"/>
  <c r="H570" i="1"/>
  <c r="I570" i="1"/>
  <c r="G992" i="1"/>
  <c r="H992" i="1"/>
  <c r="I992" i="1"/>
  <c r="G1055" i="1"/>
  <c r="H1055" i="1"/>
  <c r="I1055" i="1"/>
  <c r="G289" i="1"/>
  <c r="H289" i="1"/>
  <c r="I289" i="1"/>
  <c r="G550" i="1"/>
  <c r="H550" i="1"/>
  <c r="I550" i="1"/>
  <c r="G640" i="1"/>
  <c r="H640" i="1"/>
  <c r="I640" i="1"/>
  <c r="G1434" i="1"/>
  <c r="H1434" i="1"/>
  <c r="I1434" i="1"/>
  <c r="G595" i="1"/>
  <c r="H595" i="1"/>
  <c r="I595" i="1"/>
  <c r="G325" i="1"/>
  <c r="H325" i="1"/>
  <c r="I325" i="1"/>
  <c r="G1029" i="1"/>
  <c r="H1029" i="1"/>
  <c r="I1029" i="1"/>
  <c r="G1556" i="1"/>
  <c r="H1556" i="1"/>
  <c r="I1556" i="1"/>
  <c r="G653" i="1"/>
  <c r="H653" i="1"/>
  <c r="I653" i="1"/>
  <c r="G805" i="1"/>
  <c r="H805" i="1"/>
  <c r="I805" i="1"/>
  <c r="G350" i="1"/>
  <c r="H350" i="1"/>
  <c r="I350" i="1"/>
  <c r="G1396" i="1"/>
  <c r="H1396" i="1"/>
  <c r="I1396" i="1"/>
  <c r="G537" i="1"/>
  <c r="H537" i="1"/>
  <c r="I537" i="1"/>
  <c r="G1592" i="1"/>
  <c r="H1592" i="1"/>
  <c r="I1592" i="1"/>
  <c r="G1379" i="1"/>
  <c r="H1379" i="1"/>
  <c r="I1379" i="1"/>
  <c r="G613" i="1"/>
  <c r="H613" i="1"/>
  <c r="I613" i="1"/>
  <c r="G351" i="1"/>
  <c r="H351" i="1"/>
  <c r="I351" i="1"/>
  <c r="G12" i="1"/>
  <c r="H12" i="1"/>
  <c r="I12" i="1"/>
  <c r="G861" i="1"/>
  <c r="H861" i="1"/>
  <c r="I861" i="1"/>
  <c r="G73" i="1"/>
  <c r="H73" i="1"/>
  <c r="I73" i="1"/>
  <c r="G1406" i="1"/>
  <c r="H1406" i="1"/>
  <c r="I1406" i="1"/>
  <c r="G74" i="1"/>
  <c r="H74" i="1"/>
  <c r="I74" i="1"/>
  <c r="G1336" i="1"/>
  <c r="H1336" i="1"/>
  <c r="I1336" i="1"/>
  <c r="G1259" i="1"/>
  <c r="H1259" i="1"/>
  <c r="I1259" i="1"/>
  <c r="G894" i="1"/>
  <c r="H894" i="1"/>
  <c r="I894" i="1"/>
  <c r="G1044" i="1"/>
  <c r="H1044" i="1"/>
  <c r="I1044" i="1"/>
  <c r="G330" i="1"/>
  <c r="H330" i="1"/>
  <c r="I330" i="1"/>
  <c r="G914" i="1"/>
  <c r="H914" i="1"/>
  <c r="I914" i="1"/>
  <c r="G1115" i="1"/>
  <c r="H1115" i="1"/>
  <c r="I1115" i="1"/>
  <c r="G1280" i="1"/>
  <c r="H1280" i="1"/>
  <c r="I1280" i="1"/>
  <c r="G1086" i="1"/>
  <c r="H1086" i="1"/>
  <c r="I1086" i="1"/>
  <c r="G1435" i="1"/>
  <c r="H1435" i="1"/>
  <c r="I1435" i="1"/>
  <c r="G1309" i="1"/>
  <c r="H1309" i="1"/>
  <c r="I1309" i="1"/>
  <c r="G264" i="1"/>
  <c r="H264" i="1"/>
  <c r="I264" i="1"/>
  <c r="G851" i="1"/>
  <c r="H851" i="1"/>
  <c r="I851" i="1"/>
  <c r="G416" i="1"/>
  <c r="H416" i="1"/>
  <c r="I416" i="1"/>
  <c r="G378" i="1"/>
  <c r="H378" i="1"/>
  <c r="I378" i="1"/>
  <c r="G964" i="1"/>
  <c r="H964" i="1"/>
  <c r="I964" i="1"/>
  <c r="G429" i="1"/>
  <c r="H429" i="1"/>
  <c r="I429" i="1"/>
  <c r="G468" i="1"/>
  <c r="H468" i="1"/>
  <c r="I468" i="1"/>
  <c r="G938" i="1"/>
  <c r="H938" i="1"/>
  <c r="I938" i="1"/>
  <c r="G1445" i="1"/>
  <c r="H1445" i="1"/>
  <c r="I1445" i="1"/>
  <c r="G713" i="1"/>
  <c r="H713" i="1"/>
  <c r="I713" i="1"/>
  <c r="G742" i="1"/>
  <c r="H742" i="1"/>
  <c r="I742" i="1"/>
  <c r="G1464" i="1"/>
  <c r="H1464" i="1"/>
  <c r="I1464" i="1"/>
  <c r="G748" i="1"/>
  <c r="H748" i="1"/>
  <c r="I748" i="1"/>
  <c r="G1530" i="1"/>
  <c r="H1530" i="1"/>
  <c r="I1530" i="1"/>
  <c r="G222" i="1"/>
  <c r="H222" i="1"/>
  <c r="I222" i="1"/>
  <c r="G402" i="1"/>
  <c r="H402" i="1"/>
  <c r="I402" i="1"/>
  <c r="G1459" i="1"/>
  <c r="H1459" i="1"/>
  <c r="I1459" i="1"/>
  <c r="G65" i="1"/>
  <c r="H65" i="1"/>
  <c r="I65" i="1"/>
  <c r="G1436" i="1"/>
  <c r="H1436" i="1"/>
  <c r="I1436" i="1"/>
  <c r="G693" i="1"/>
  <c r="H693" i="1"/>
  <c r="I693" i="1"/>
  <c r="G290" i="1"/>
  <c r="H290" i="1"/>
  <c r="I290" i="1"/>
  <c r="G794" i="1"/>
  <c r="H794" i="1"/>
  <c r="I794" i="1"/>
  <c r="G281" i="1"/>
  <c r="H281" i="1"/>
  <c r="I281" i="1"/>
  <c r="G316" i="1"/>
  <c r="H316" i="1"/>
  <c r="I316" i="1"/>
  <c r="G1014" i="1"/>
  <c r="H1014" i="1"/>
  <c r="I1014" i="1"/>
  <c r="G520" i="1"/>
  <c r="H520" i="1"/>
  <c r="I520" i="1"/>
  <c r="G865" i="1"/>
  <c r="H865" i="1"/>
  <c r="I865" i="1"/>
  <c r="G1511" i="1"/>
  <c r="H1511" i="1"/>
  <c r="I1511" i="1"/>
  <c r="G1109" i="1"/>
  <c r="H1109" i="1"/>
  <c r="I1109" i="1"/>
  <c r="G1473" i="1"/>
  <c r="H1473" i="1"/>
  <c r="I1473" i="1"/>
  <c r="G98" i="1"/>
  <c r="H98" i="1"/>
  <c r="I98" i="1"/>
  <c r="G767" i="1"/>
  <c r="H767" i="1"/>
  <c r="I767" i="1"/>
  <c r="G925" i="1"/>
  <c r="H925" i="1"/>
  <c r="I925" i="1"/>
  <c r="G989" i="1"/>
  <c r="H989" i="1"/>
  <c r="I989" i="1"/>
  <c r="G677" i="1"/>
  <c r="H677" i="1"/>
  <c r="I677" i="1"/>
  <c r="G838" i="1"/>
  <c r="H838" i="1"/>
  <c r="I838" i="1"/>
  <c r="G1520" i="1"/>
  <c r="H1520" i="1"/>
  <c r="I1520" i="1"/>
  <c r="G588" i="1"/>
  <c r="H588" i="1"/>
  <c r="I588" i="1"/>
  <c r="G1354" i="1"/>
  <c r="H1354" i="1"/>
  <c r="I1354" i="1"/>
  <c r="G1337" i="1"/>
  <c r="H1337" i="1"/>
  <c r="I1337" i="1"/>
  <c r="G414" i="1"/>
  <c r="H414" i="1"/>
  <c r="I414" i="1"/>
  <c r="G599" i="1"/>
  <c r="H599" i="1"/>
  <c r="I599" i="1"/>
  <c r="G265" i="1"/>
  <c r="H265" i="1"/>
  <c r="I265" i="1"/>
  <c r="G536" i="1"/>
  <c r="H536" i="1"/>
  <c r="I536" i="1"/>
  <c r="G686" i="1"/>
  <c r="H686" i="1"/>
  <c r="I686" i="1"/>
  <c r="G66" i="1"/>
  <c r="H66" i="1"/>
  <c r="I66" i="1"/>
  <c r="G1008" i="1"/>
  <c r="H1008" i="1"/>
  <c r="I1008" i="1"/>
  <c r="G874" i="1"/>
  <c r="H874" i="1"/>
  <c r="I874" i="1"/>
  <c r="G554" i="1"/>
  <c r="H554" i="1"/>
  <c r="I554" i="1"/>
  <c r="G1300" i="1"/>
  <c r="H1300" i="1"/>
  <c r="I1300" i="1"/>
  <c r="G326" i="1"/>
  <c r="H326" i="1"/>
  <c r="I326" i="1"/>
  <c r="G1101" i="1"/>
  <c r="H1101" i="1"/>
  <c r="I1101" i="1"/>
  <c r="G1117" i="1"/>
  <c r="H1117" i="1"/>
  <c r="I1117" i="1"/>
  <c r="G839" i="1"/>
  <c r="H839" i="1"/>
  <c r="I839" i="1"/>
  <c r="G1056" i="1"/>
  <c r="H1056" i="1"/>
  <c r="I1056" i="1"/>
  <c r="G1454" i="1"/>
  <c r="H1454" i="1"/>
  <c r="I1454" i="1"/>
  <c r="G348" i="1"/>
  <c r="H348" i="1"/>
  <c r="I348" i="1"/>
  <c r="G196" i="1"/>
  <c r="H196" i="1"/>
  <c r="I196" i="1"/>
  <c r="G1567" i="1"/>
  <c r="H1567" i="1"/>
  <c r="I1567" i="1"/>
  <c r="G1087" i="1"/>
  <c r="H1087" i="1"/>
  <c r="I1087" i="1"/>
  <c r="G772" i="1"/>
  <c r="H772" i="1"/>
  <c r="I772" i="1"/>
  <c r="G1392" i="1"/>
  <c r="H1392" i="1"/>
  <c r="I1392" i="1"/>
  <c r="G1274" i="1"/>
  <c r="H1274" i="1"/>
  <c r="I1274" i="1"/>
  <c r="G327" i="1"/>
  <c r="H327" i="1"/>
  <c r="I327" i="1"/>
  <c r="G921" i="1"/>
  <c r="H921" i="1"/>
  <c r="I921" i="1"/>
  <c r="G1531" i="1"/>
  <c r="H1531" i="1"/>
  <c r="I1531" i="1"/>
  <c r="G1355" i="1"/>
  <c r="H1355" i="1"/>
  <c r="I1355" i="1"/>
  <c r="G1246" i="1"/>
  <c r="H1246" i="1"/>
  <c r="I1246" i="1"/>
  <c r="G1088" i="1"/>
  <c r="H1088" i="1"/>
  <c r="I1088" i="1"/>
  <c r="G848" i="1"/>
  <c r="H848" i="1"/>
  <c r="I848" i="1"/>
  <c r="G967" i="1"/>
  <c r="H967" i="1"/>
  <c r="I967" i="1"/>
  <c r="G1521" i="1"/>
  <c r="H1521" i="1"/>
  <c r="I1521" i="1"/>
  <c r="G385" i="1"/>
  <c r="H385" i="1"/>
  <c r="I385" i="1"/>
  <c r="G739" i="1"/>
  <c r="H739" i="1"/>
  <c r="I739" i="1"/>
  <c r="G1345" i="1"/>
  <c r="H1345" i="1"/>
  <c r="I1345" i="1"/>
  <c r="G335" i="1"/>
  <c r="H335" i="1"/>
  <c r="I335" i="1"/>
  <c r="G1093" i="1"/>
  <c r="H1093" i="1"/>
  <c r="I1093" i="1"/>
  <c r="G153" i="1"/>
  <c r="H153" i="1"/>
  <c r="I153" i="1"/>
  <c r="G1557" i="1"/>
  <c r="H1557" i="1"/>
  <c r="I1557" i="1"/>
  <c r="G968" i="1"/>
  <c r="H968" i="1"/>
  <c r="I968" i="1"/>
  <c r="G589" i="1"/>
  <c r="H589" i="1"/>
  <c r="I589" i="1"/>
  <c r="G311" i="1"/>
  <c r="H311" i="1"/>
  <c r="I311" i="1"/>
  <c r="G1593" i="1"/>
  <c r="H1593" i="1"/>
  <c r="I1593" i="1"/>
  <c r="G1227" i="1"/>
  <c r="H1227" i="1"/>
  <c r="I1227" i="1"/>
  <c r="G855" i="1"/>
  <c r="H855" i="1"/>
  <c r="I855" i="1"/>
  <c r="G840" i="1"/>
  <c r="H840" i="1"/>
  <c r="I840" i="1"/>
  <c r="G1275" i="1"/>
  <c r="H1275" i="1"/>
  <c r="I1275" i="1"/>
  <c r="G36" i="1"/>
  <c r="H36" i="1"/>
  <c r="I36" i="1"/>
  <c r="G235" i="1"/>
  <c r="H235" i="1"/>
  <c r="I235" i="1"/>
  <c r="G666" i="1"/>
  <c r="H666" i="1"/>
  <c r="I666" i="1"/>
  <c r="G736" i="1"/>
  <c r="H736" i="1"/>
  <c r="I736" i="1"/>
  <c r="G555" i="1"/>
  <c r="H555" i="1"/>
  <c r="I555" i="1"/>
  <c r="G294" i="1"/>
  <c r="H294" i="1"/>
  <c r="I294" i="1"/>
  <c r="G1349" i="1"/>
  <c r="H1349" i="1"/>
  <c r="I1349" i="1"/>
  <c r="G634" i="1"/>
  <c r="H634" i="1"/>
  <c r="I634" i="1"/>
  <c r="G475" i="1"/>
  <c r="H475" i="1"/>
  <c r="I475" i="1"/>
  <c r="G864" i="1"/>
  <c r="H864" i="1"/>
  <c r="I864" i="1"/>
  <c r="G436" i="1"/>
  <c r="H436" i="1"/>
  <c r="I436" i="1"/>
  <c r="G899" i="1"/>
  <c r="H899" i="1"/>
  <c r="I899" i="1"/>
  <c r="G1568" i="1"/>
  <c r="H1568" i="1"/>
  <c r="I1568" i="1"/>
  <c r="G46" i="1"/>
  <c r="H46" i="1"/>
  <c r="I46" i="1"/>
  <c r="G498" i="1"/>
  <c r="H498" i="1"/>
  <c r="I498" i="1"/>
  <c r="G99" i="1"/>
  <c r="H99" i="1"/>
  <c r="I99" i="1"/>
  <c r="G580" i="1"/>
  <c r="H580" i="1"/>
  <c r="I580" i="1"/>
  <c r="G998" i="1"/>
  <c r="H998" i="1"/>
  <c r="I998" i="1"/>
  <c r="G1267" i="1"/>
  <c r="H1267" i="1"/>
  <c r="I1267" i="1"/>
  <c r="G1489" i="1"/>
  <c r="H1489" i="1"/>
  <c r="I1489" i="1"/>
  <c r="G208" i="1"/>
  <c r="H208" i="1"/>
  <c r="I208" i="1"/>
  <c r="G1076" i="1"/>
  <c r="H1076" i="1"/>
  <c r="I1076" i="1"/>
  <c r="G282" i="1"/>
  <c r="H282" i="1"/>
  <c r="I282" i="1"/>
  <c r="G1558" i="1"/>
  <c r="H1558" i="1"/>
  <c r="I1558" i="1"/>
  <c r="G123" i="1"/>
  <c r="H123" i="1"/>
  <c r="I123" i="1"/>
  <c r="G915" i="1"/>
  <c r="H915" i="1"/>
  <c r="I915" i="1"/>
  <c r="G356" i="1"/>
  <c r="H356" i="1"/>
  <c r="I356" i="1"/>
  <c r="G389" i="1"/>
  <c r="H389" i="1"/>
  <c r="I389" i="1"/>
  <c r="G169" i="1"/>
  <c r="H169" i="1"/>
  <c r="I169" i="1"/>
  <c r="G626" i="1"/>
  <c r="H626" i="1"/>
  <c r="I626" i="1"/>
  <c r="G1148" i="1"/>
  <c r="H1148" i="1"/>
  <c r="I1148" i="1"/>
  <c r="G635" i="1"/>
  <c r="H635" i="1"/>
  <c r="I635" i="1"/>
  <c r="G590" i="1"/>
  <c r="H590" i="1"/>
  <c r="I590" i="1"/>
  <c r="G789" i="1"/>
  <c r="H789" i="1"/>
  <c r="I789" i="1"/>
  <c r="G1331" i="1"/>
  <c r="H1331" i="1"/>
  <c r="I1331" i="1"/>
  <c r="G295" i="1"/>
  <c r="H295" i="1"/>
  <c r="I295" i="1"/>
  <c r="G184" i="1"/>
  <c r="H184" i="1"/>
  <c r="I184" i="1"/>
  <c r="G1501" i="1"/>
  <c r="H1501" i="1"/>
  <c r="I1501" i="1"/>
  <c r="G897" i="1"/>
  <c r="H897" i="1"/>
  <c r="I897" i="1"/>
  <c r="G124" i="1"/>
  <c r="H124" i="1"/>
  <c r="I124" i="1"/>
  <c r="G667" i="1"/>
  <c r="H667" i="1"/>
  <c r="I667" i="1"/>
  <c r="G116" i="1"/>
  <c r="H116" i="1"/>
  <c r="I116" i="1"/>
  <c r="G947" i="1"/>
  <c r="H947" i="1"/>
  <c r="I947" i="1"/>
  <c r="G1281" i="1"/>
  <c r="H1281" i="1"/>
  <c r="I1281" i="1"/>
  <c r="G759" i="1"/>
  <c r="H759" i="1"/>
  <c r="I759" i="1"/>
  <c r="G386" i="1"/>
  <c r="H386" i="1"/>
  <c r="I386" i="1"/>
  <c r="G1175" i="1"/>
  <c r="H1175" i="1"/>
  <c r="I1175" i="1"/>
  <c r="G125" i="1"/>
  <c r="H125" i="1"/>
  <c r="I125" i="1"/>
  <c r="G1495" i="1"/>
  <c r="H1495" i="1"/>
  <c r="I1495" i="1"/>
  <c r="G596" i="1"/>
  <c r="H596" i="1"/>
  <c r="I596" i="1"/>
  <c r="G942" i="1"/>
  <c r="H942" i="1"/>
  <c r="I942" i="1"/>
  <c r="G1052" i="1"/>
  <c r="H1052" i="1"/>
  <c r="I1052" i="1"/>
  <c r="G286" i="1"/>
  <c r="H286" i="1"/>
  <c r="I286" i="1"/>
  <c r="G1350" i="1"/>
  <c r="H1350" i="1"/>
  <c r="I1350" i="1"/>
  <c r="G306" i="1"/>
  <c r="H306" i="1"/>
  <c r="I306" i="1"/>
  <c r="G85" i="1"/>
  <c r="H85" i="1"/>
  <c r="I85" i="1"/>
  <c r="G1185" i="1"/>
  <c r="H1185" i="1"/>
  <c r="I1185" i="1"/>
  <c r="G641" i="1"/>
  <c r="H641" i="1"/>
  <c r="I641" i="1"/>
  <c r="G430" i="1"/>
  <c r="H430" i="1"/>
  <c r="I430" i="1"/>
  <c r="G60" i="1"/>
  <c r="H60" i="1"/>
  <c r="I60" i="1"/>
  <c r="G1338" i="1"/>
  <c r="H1338" i="1"/>
  <c r="I1338" i="1"/>
  <c r="G668" i="1"/>
  <c r="H668" i="1"/>
  <c r="I668" i="1"/>
  <c r="G175" i="1"/>
  <c r="H175" i="1"/>
  <c r="I175" i="1"/>
  <c r="G1133" i="1"/>
  <c r="H1133" i="1"/>
  <c r="I1133" i="1"/>
  <c r="G1203" i="1"/>
  <c r="H1203" i="1"/>
  <c r="I1203" i="1"/>
  <c r="G1380" i="1"/>
  <c r="H1380" i="1"/>
  <c r="I1380" i="1"/>
  <c r="G1559" i="1"/>
  <c r="H1559" i="1"/>
  <c r="I1559" i="1"/>
  <c r="G1535" i="1"/>
  <c r="H1535" i="1"/>
  <c r="I1535" i="1"/>
  <c r="G132" i="1"/>
  <c r="H132" i="1"/>
  <c r="I132" i="1"/>
  <c r="G943" i="1"/>
  <c r="H943" i="1"/>
  <c r="I943" i="1"/>
  <c r="G1490" i="1"/>
  <c r="H1490" i="1"/>
  <c r="I1490" i="1"/>
  <c r="G1319" i="1"/>
  <c r="H1319" i="1"/>
  <c r="I1319" i="1"/>
  <c r="G13" i="1"/>
  <c r="H13" i="1"/>
  <c r="I13" i="1"/>
  <c r="G1186" i="1"/>
  <c r="H1186" i="1"/>
  <c r="I1186" i="1"/>
  <c r="G944" i="1"/>
  <c r="H944" i="1"/>
  <c r="I944" i="1"/>
  <c r="G600" i="1"/>
  <c r="H600" i="1"/>
  <c r="I600" i="1"/>
  <c r="G1449" i="1"/>
  <c r="H1449" i="1"/>
  <c r="I1449" i="1"/>
  <c r="G1155" i="1"/>
  <c r="H1155" i="1"/>
  <c r="I1155" i="1"/>
  <c r="G479" i="1"/>
  <c r="H479" i="1"/>
  <c r="I479" i="1"/>
  <c r="G828" i="1"/>
  <c r="H828" i="1"/>
  <c r="I828" i="1"/>
  <c r="G1018" i="1"/>
  <c r="H1018" i="1"/>
  <c r="I1018" i="1"/>
  <c r="G1276" i="1"/>
  <c r="H1276" i="1"/>
  <c r="I1276" i="1"/>
  <c r="G1417" i="1"/>
  <c r="H1417" i="1"/>
  <c r="I1417" i="1"/>
  <c r="G80" i="1"/>
  <c r="H80" i="1"/>
  <c r="I80" i="1"/>
  <c r="G926" i="1"/>
  <c r="H926" i="1"/>
  <c r="I926" i="1"/>
  <c r="G287" i="1"/>
  <c r="H287" i="1"/>
  <c r="I287" i="1"/>
  <c r="G843" i="1"/>
  <c r="H843" i="1"/>
  <c r="I843" i="1"/>
  <c r="G1372" i="1"/>
  <c r="H1372" i="1"/>
  <c r="I1372" i="1"/>
  <c r="G636" i="1"/>
  <c r="H636" i="1"/>
  <c r="I636" i="1"/>
  <c r="G1263" i="1"/>
  <c r="H1263" i="1"/>
  <c r="I1263" i="1"/>
  <c r="G441" i="1"/>
  <c r="H441" i="1"/>
  <c r="I441" i="1"/>
  <c r="G1450" i="1"/>
  <c r="H1450" i="1"/>
  <c r="I1450" i="1"/>
  <c r="G420" i="1"/>
  <c r="H420" i="1"/>
  <c r="I420" i="1"/>
  <c r="G1491" i="1"/>
  <c r="H1491" i="1"/>
  <c r="I1491" i="1"/>
  <c r="G875" i="1"/>
  <c r="H875" i="1"/>
  <c r="I875" i="1"/>
  <c r="G577" i="1"/>
  <c r="H577" i="1"/>
  <c r="I577" i="1"/>
  <c r="G1415" i="1"/>
  <c r="H1415" i="1"/>
  <c r="I1415" i="1"/>
  <c r="G352" i="1"/>
  <c r="H352" i="1"/>
  <c r="I352" i="1"/>
  <c r="G1067" i="1"/>
  <c r="H1067" i="1"/>
  <c r="I1067" i="1"/>
  <c r="G958" i="1"/>
  <c r="H958" i="1"/>
  <c r="I958" i="1"/>
  <c r="G927" i="1"/>
  <c r="H927" i="1"/>
  <c r="I927" i="1"/>
  <c r="G538" i="1"/>
  <c r="H538" i="1"/>
  <c r="I538" i="1"/>
  <c r="G882" i="1"/>
  <c r="H882" i="1"/>
  <c r="I882" i="1"/>
  <c r="G25" i="1"/>
  <c r="H25" i="1"/>
  <c r="I25" i="1"/>
  <c r="G1094" i="1"/>
  <c r="H1094" i="1"/>
  <c r="I1094" i="1"/>
  <c r="G1428" i="1"/>
  <c r="H1428" i="1"/>
  <c r="I1428" i="1"/>
  <c r="G53" i="1"/>
  <c r="H53" i="1"/>
  <c r="I53" i="1"/>
  <c r="G239" i="1"/>
  <c r="H239" i="1"/>
  <c r="I239" i="1"/>
  <c r="G357" i="1"/>
  <c r="H357" i="1"/>
  <c r="I357" i="1"/>
  <c r="G307" i="1"/>
  <c r="H307" i="1"/>
  <c r="I307" i="1"/>
  <c r="G810" i="1"/>
  <c r="H810" i="1"/>
  <c r="I810" i="1"/>
  <c r="G199" i="1"/>
  <c r="H199" i="1"/>
  <c r="I199" i="1"/>
  <c r="G903" i="1"/>
  <c r="H903" i="1"/>
  <c r="I903" i="1"/>
  <c r="G714" i="1"/>
  <c r="H714" i="1"/>
  <c r="I714" i="1"/>
  <c r="G1116" i="1"/>
  <c r="H1116" i="1"/>
  <c r="I1116" i="1"/>
  <c r="G1187" i="1"/>
  <c r="H1187" i="1"/>
  <c r="I1187" i="1"/>
  <c r="G889" i="1"/>
  <c r="H889" i="1"/>
  <c r="I889" i="1"/>
  <c r="G1393" i="1"/>
  <c r="H1393" i="1"/>
  <c r="I1393" i="1"/>
  <c r="G1507" i="1"/>
  <c r="H1507" i="1"/>
  <c r="I1507" i="1"/>
  <c r="G648" i="1"/>
  <c r="H648" i="1"/>
  <c r="I648" i="1"/>
  <c r="G81" i="1"/>
  <c r="H81" i="1"/>
  <c r="I81" i="1"/>
  <c r="G723" i="1"/>
  <c r="H723" i="1"/>
  <c r="I723" i="1"/>
  <c r="G1199" i="1"/>
  <c r="H1199" i="1"/>
  <c r="I1199" i="1"/>
  <c r="G57" i="1"/>
  <c r="H57" i="1"/>
  <c r="I57" i="1"/>
  <c r="G969" i="1"/>
  <c r="H969" i="1"/>
  <c r="I969" i="1"/>
  <c r="G431" i="1"/>
  <c r="H431" i="1"/>
  <c r="I431" i="1"/>
  <c r="G1282" i="1"/>
  <c r="H1282" i="1"/>
  <c r="I1282" i="1"/>
  <c r="G878" i="1"/>
  <c r="H878" i="1"/>
  <c r="I878" i="1"/>
  <c r="G1030" i="1"/>
  <c r="H1030" i="1"/>
  <c r="I1030" i="1"/>
  <c r="G1015" i="1"/>
  <c r="H1015" i="1"/>
  <c r="I1015" i="1"/>
  <c r="G363" i="1"/>
  <c r="H363" i="1"/>
  <c r="I363" i="1"/>
  <c r="G393" i="1"/>
  <c r="H393" i="1"/>
  <c r="I393" i="1"/>
  <c r="G145" i="1"/>
  <c r="H145" i="1"/>
  <c r="I145" i="1"/>
  <c r="G578" i="1"/>
  <c r="H578" i="1"/>
  <c r="I578" i="1"/>
  <c r="G1236" i="1"/>
  <c r="H1236" i="1"/>
  <c r="I1236" i="1"/>
  <c r="G1410" i="1"/>
  <c r="H1410" i="1"/>
  <c r="I1410" i="1"/>
  <c r="G993" i="1"/>
  <c r="H993" i="1"/>
  <c r="I993" i="1"/>
  <c r="G800" i="1"/>
  <c r="H800" i="1"/>
  <c r="I800" i="1"/>
  <c r="G1163" i="1"/>
  <c r="H1163" i="1"/>
  <c r="I1163" i="1"/>
  <c r="G1149" i="1"/>
  <c r="H1149" i="1"/>
  <c r="I1149" i="1"/>
  <c r="G1150" i="1"/>
  <c r="H1150" i="1"/>
  <c r="I1150" i="1"/>
  <c r="G266" i="1"/>
  <c r="H266" i="1"/>
  <c r="I266" i="1"/>
  <c r="G1563" i="1"/>
  <c r="H1563" i="1"/>
  <c r="I1563" i="1"/>
  <c r="G75" i="1"/>
  <c r="H75" i="1"/>
  <c r="I75" i="1"/>
  <c r="G661" i="1"/>
  <c r="H661" i="1"/>
  <c r="I661" i="1"/>
  <c r="G257" i="1"/>
  <c r="H257" i="1"/>
  <c r="I257" i="1"/>
  <c r="G680" i="1"/>
  <c r="H680" i="1"/>
  <c r="I680" i="1"/>
  <c r="G601" i="1"/>
  <c r="H601" i="1"/>
  <c r="I601" i="1"/>
  <c r="G417" i="1"/>
  <c r="H417" i="1"/>
  <c r="I417" i="1"/>
  <c r="G1182" i="1"/>
  <c r="H1182" i="1"/>
  <c r="I1182" i="1"/>
  <c r="G866" i="1"/>
  <c r="H866" i="1"/>
  <c r="I866" i="1"/>
  <c r="G539" i="1"/>
  <c r="H539" i="1"/>
  <c r="I539" i="1"/>
  <c r="G1385" i="1"/>
  <c r="H1385" i="1"/>
  <c r="I1385" i="1"/>
  <c r="G133" i="1"/>
  <c r="H133" i="1"/>
  <c r="I133" i="1"/>
  <c r="G704" i="1"/>
  <c r="H704" i="1"/>
  <c r="I704" i="1"/>
  <c r="G1402" i="1"/>
  <c r="H1402" i="1"/>
  <c r="I1402" i="1"/>
  <c r="G1142" i="1"/>
  <c r="H1142" i="1"/>
  <c r="I1142" i="1"/>
  <c r="G336" i="1"/>
  <c r="H336" i="1"/>
  <c r="I336" i="1"/>
  <c r="G300" i="1"/>
  <c r="H300" i="1"/>
  <c r="I300" i="1"/>
  <c r="G138" i="1"/>
  <c r="H138" i="1"/>
  <c r="I138" i="1"/>
  <c r="G1585" i="1"/>
  <c r="H1585" i="1"/>
  <c r="I1585" i="1"/>
  <c r="G228" i="1"/>
  <c r="H228" i="1"/>
  <c r="I228" i="1"/>
  <c r="G319" i="1"/>
  <c r="H319" i="1"/>
  <c r="I319" i="1"/>
  <c r="G1206" i="1"/>
  <c r="H1206" i="1"/>
  <c r="I1206" i="1"/>
  <c r="G176" i="1"/>
  <c r="H176" i="1"/>
  <c r="I176" i="1"/>
  <c r="G560" i="1"/>
  <c r="H560" i="1"/>
  <c r="I560" i="1"/>
  <c r="G421" i="1"/>
  <c r="H421" i="1"/>
  <c r="I421" i="1"/>
  <c r="G47" i="1"/>
  <c r="H47" i="1"/>
  <c r="I47" i="1"/>
  <c r="G507" i="1"/>
  <c r="H507" i="1"/>
  <c r="I507" i="1"/>
  <c r="G700" i="1"/>
  <c r="H700" i="1"/>
  <c r="I700" i="1"/>
  <c r="G1455" i="1"/>
  <c r="H1455" i="1"/>
  <c r="I1455" i="1"/>
  <c r="G394" i="1"/>
  <c r="H394" i="1"/>
  <c r="I394" i="1"/>
  <c r="G825" i="1"/>
  <c r="H825" i="1"/>
  <c r="I825" i="1"/>
  <c r="G1089" i="1"/>
  <c r="H1089" i="1"/>
  <c r="I1089" i="1"/>
  <c r="G1532" i="1"/>
  <c r="H1532" i="1"/>
  <c r="I1532" i="1"/>
  <c r="G1207" i="1"/>
  <c r="H1207" i="1"/>
  <c r="I1207" i="1"/>
  <c r="G1283" i="1"/>
  <c r="H1283" i="1"/>
  <c r="I1283" i="1"/>
  <c r="G608" i="1"/>
  <c r="H608" i="1"/>
  <c r="I608" i="1"/>
  <c r="G426" i="1"/>
  <c r="H426" i="1"/>
  <c r="I426" i="1"/>
  <c r="G397" i="1"/>
  <c r="H397" i="1"/>
  <c r="I397" i="1"/>
  <c r="G480" i="1"/>
  <c r="H480" i="1"/>
  <c r="I480" i="1"/>
  <c r="G14" i="1"/>
  <c r="H14" i="1"/>
  <c r="I14" i="1"/>
  <c r="G556" i="1"/>
  <c r="H556" i="1"/>
  <c r="I556" i="1"/>
  <c r="G1219" i="1"/>
  <c r="H1219" i="1"/>
  <c r="I1219" i="1"/>
  <c r="G933" i="1"/>
  <c r="H933" i="1"/>
  <c r="I933" i="1"/>
  <c r="G82" i="1"/>
  <c r="H82" i="1"/>
  <c r="I82" i="1"/>
  <c r="G15" i="1"/>
  <c r="H15" i="1"/>
  <c r="I15" i="1"/>
  <c r="G1373" i="1"/>
  <c r="H1373" i="1"/>
  <c r="I1373" i="1"/>
  <c r="G1188" i="1"/>
  <c r="H1188" i="1"/>
  <c r="I1188" i="1"/>
  <c r="G89" i="1"/>
  <c r="H89" i="1"/>
  <c r="I89" i="1"/>
  <c r="G1105" i="1"/>
  <c r="H1105" i="1"/>
  <c r="I1105" i="1"/>
  <c r="G959" i="1"/>
  <c r="H959" i="1"/>
  <c r="I959" i="1"/>
  <c r="G16" i="1"/>
  <c r="H16" i="1"/>
  <c r="I16" i="1"/>
  <c r="G317" i="1"/>
  <c r="H317" i="1"/>
  <c r="I317" i="1"/>
  <c r="G929" i="1"/>
  <c r="H929" i="1"/>
  <c r="I929" i="1"/>
  <c r="G1301" i="1"/>
  <c r="H1301" i="1"/>
  <c r="I1301" i="1"/>
  <c r="G1156" i="1"/>
  <c r="H1156" i="1"/>
  <c r="I1156" i="1"/>
  <c r="G1130" i="1"/>
  <c r="H1130" i="1"/>
  <c r="I1130" i="1"/>
  <c r="G858" i="1"/>
  <c r="H858" i="1"/>
  <c r="I858" i="1"/>
  <c r="G70" i="1"/>
  <c r="H70" i="1"/>
  <c r="I70" i="1"/>
  <c r="G561" i="1"/>
  <c r="H561" i="1"/>
  <c r="I561" i="1"/>
  <c r="G948" i="1"/>
  <c r="H948" i="1"/>
  <c r="I948" i="1"/>
  <c r="G949" i="1"/>
  <c r="H949" i="1"/>
  <c r="I949" i="1"/>
  <c r="G86" i="1"/>
  <c r="H86" i="1"/>
  <c r="I86" i="1"/>
  <c r="G965" i="1"/>
  <c r="H965" i="1"/>
  <c r="I965" i="1"/>
  <c r="G999" i="1"/>
  <c r="H999" i="1"/>
  <c r="I999" i="1"/>
  <c r="G1446" i="1"/>
  <c r="H1446" i="1"/>
  <c r="I1446" i="1"/>
  <c r="G236" i="1"/>
  <c r="H236" i="1"/>
  <c r="I236" i="1"/>
  <c r="G366" i="1"/>
  <c r="H366" i="1"/>
  <c r="I366" i="1"/>
  <c r="G126" i="1"/>
  <c r="H126" i="1"/>
  <c r="I126" i="1"/>
  <c r="G1569" i="1"/>
  <c r="H1569" i="1"/>
  <c r="I1569" i="1"/>
  <c r="G526" i="1"/>
  <c r="H526" i="1"/>
  <c r="I526" i="1"/>
  <c r="G695" i="1"/>
  <c r="H695" i="1"/>
  <c r="I695" i="1"/>
  <c r="G1544" i="1"/>
  <c r="H1544" i="1"/>
  <c r="I1544" i="1"/>
  <c r="G614" i="1"/>
  <c r="H614" i="1"/>
  <c r="I614" i="1"/>
  <c r="G1508" i="1"/>
  <c r="H1508" i="1"/>
  <c r="I1508" i="1"/>
  <c r="G442" i="1"/>
  <c r="H442" i="1"/>
  <c r="I442" i="1"/>
  <c r="G856" i="1"/>
  <c r="H856" i="1"/>
  <c r="I856" i="1"/>
  <c r="G779" i="1"/>
  <c r="H779" i="1"/>
  <c r="I779" i="1"/>
  <c r="G954" i="1"/>
  <c r="H954" i="1"/>
  <c r="I954" i="1"/>
  <c r="G715" i="1"/>
  <c r="H715" i="1"/>
  <c r="I715" i="1"/>
  <c r="G117" i="1"/>
  <c r="H117" i="1"/>
  <c r="I117" i="1"/>
  <c r="G990" i="1"/>
  <c r="H990" i="1"/>
  <c r="I990" i="1"/>
  <c r="G495" i="1"/>
  <c r="H495" i="1"/>
  <c r="I495" i="1"/>
  <c r="G443" i="1"/>
  <c r="H443" i="1"/>
  <c r="I443" i="1"/>
  <c r="G978" i="1"/>
  <c r="H978" i="1"/>
  <c r="I978" i="1"/>
  <c r="G833" i="1"/>
  <c r="H833" i="1"/>
  <c r="I833" i="1"/>
  <c r="G42" i="1"/>
  <c r="H42" i="1"/>
  <c r="I42" i="1"/>
  <c r="G1038" i="1"/>
  <c r="H1038" i="1"/>
  <c r="I1038" i="1"/>
  <c r="G531" i="1"/>
  <c r="H531" i="1"/>
  <c r="I531" i="1"/>
  <c r="G67" i="1"/>
  <c r="H67" i="1"/>
  <c r="I67" i="1"/>
  <c r="G258" i="1"/>
  <c r="H258" i="1"/>
  <c r="I258" i="1"/>
  <c r="G571" i="1"/>
  <c r="H571" i="1"/>
  <c r="I571" i="1"/>
  <c r="G1512" i="1"/>
  <c r="H1512" i="1"/>
  <c r="I1512" i="1"/>
  <c r="G1255" i="1"/>
  <c r="H1255" i="1"/>
  <c r="I1255" i="1"/>
  <c r="G1083" i="1"/>
  <c r="H1083" i="1"/>
  <c r="I1083" i="1"/>
  <c r="G1216" i="1"/>
  <c r="H1216" i="1"/>
  <c r="I1216" i="1"/>
  <c r="G127" i="1"/>
  <c r="H127" i="1"/>
  <c r="I127" i="1"/>
  <c r="G705" i="1"/>
  <c r="H705" i="1"/>
  <c r="I705" i="1"/>
  <c r="G358" i="1"/>
  <c r="H358" i="1"/>
  <c r="I358" i="1"/>
  <c r="G200" i="1"/>
  <c r="H200" i="1"/>
  <c r="I200" i="1"/>
  <c r="G811" i="1"/>
  <c r="H811" i="1"/>
  <c r="I811" i="1"/>
  <c r="G1057" i="1"/>
  <c r="H1057" i="1"/>
  <c r="I1057" i="1"/>
  <c r="G844" i="1"/>
  <c r="H844" i="1"/>
  <c r="I844" i="1"/>
  <c r="G1327" i="1"/>
  <c r="H1327" i="1"/>
  <c r="I1327" i="1"/>
  <c r="G1367" i="1"/>
  <c r="H1367" i="1"/>
  <c r="I1367" i="1"/>
  <c r="G201" i="1"/>
  <c r="H201" i="1"/>
  <c r="I201" i="1"/>
  <c r="G48" i="1"/>
  <c r="H48" i="1"/>
  <c r="I48" i="1"/>
  <c r="G229" i="1"/>
  <c r="H229" i="1"/>
  <c r="I229" i="1"/>
  <c r="G916" i="1"/>
  <c r="H916" i="1"/>
  <c r="I916" i="1"/>
  <c r="G1157" i="1"/>
  <c r="H1157" i="1"/>
  <c r="I1157" i="1"/>
  <c r="G271" i="1"/>
  <c r="H271" i="1"/>
  <c r="I271" i="1"/>
  <c r="G986" i="1"/>
  <c r="H986" i="1"/>
  <c r="I986" i="1"/>
  <c r="G1106" i="1"/>
  <c r="H1106" i="1"/>
  <c r="I1106" i="1"/>
  <c r="G883" i="1"/>
  <c r="H883" i="1"/>
  <c r="I883" i="1"/>
  <c r="G654" i="1"/>
  <c r="H654" i="1"/>
  <c r="I654" i="1"/>
  <c r="G516" i="1"/>
  <c r="H516" i="1"/>
  <c r="I516" i="1"/>
  <c r="G1513" i="1"/>
  <c r="H1513" i="1"/>
  <c r="I1513" i="1"/>
  <c r="G87" i="1"/>
  <c r="H87" i="1"/>
  <c r="I87" i="1"/>
  <c r="G1397" i="1"/>
  <c r="H1397" i="1"/>
  <c r="I1397" i="1"/>
  <c r="G904" i="1"/>
  <c r="H904" i="1"/>
  <c r="I904" i="1"/>
  <c r="G642" i="1"/>
  <c r="H642" i="1"/>
  <c r="I642" i="1"/>
  <c r="G727" i="1"/>
  <c r="H727" i="1"/>
  <c r="I727" i="1"/>
  <c r="G107" i="1"/>
  <c r="H107" i="1"/>
  <c r="I107" i="1"/>
  <c r="G1189" i="1"/>
  <c r="H1189" i="1"/>
  <c r="I1189" i="1"/>
  <c r="G1098" i="1"/>
  <c r="H1098" i="1"/>
  <c r="I1098" i="1"/>
  <c r="G76" i="1"/>
  <c r="H76" i="1"/>
  <c r="I76" i="1"/>
  <c r="G139" i="1"/>
  <c r="H139" i="1"/>
  <c r="I139" i="1"/>
  <c r="G140" i="1"/>
  <c r="H140" i="1"/>
  <c r="I140" i="1"/>
  <c r="G154" i="1"/>
  <c r="H154" i="1"/>
  <c r="I154" i="1"/>
  <c r="G1143" i="1"/>
  <c r="H1143" i="1"/>
  <c r="I1143" i="1"/>
  <c r="G1190" i="1"/>
  <c r="H1190" i="1"/>
  <c r="I1190" i="1"/>
  <c r="G1339" i="1"/>
  <c r="H1339" i="1"/>
  <c r="I1339" i="1"/>
  <c r="G1438" i="1"/>
  <c r="H1438" i="1"/>
  <c r="I1438" i="1"/>
  <c r="G320" i="1"/>
  <c r="H320" i="1"/>
  <c r="I320" i="1"/>
  <c r="G1021" i="1"/>
  <c r="H1021" i="1"/>
  <c r="I1021" i="1"/>
  <c r="G532" i="1"/>
  <c r="H532" i="1"/>
  <c r="I532" i="1"/>
  <c r="G1552" i="1"/>
  <c r="H1552" i="1"/>
  <c r="I1552" i="1"/>
  <c r="G1443" i="1"/>
  <c r="H1443" i="1"/>
  <c r="I1443" i="1"/>
  <c r="G643" i="1"/>
  <c r="H643" i="1"/>
  <c r="I643" i="1"/>
  <c r="G1474" i="1"/>
  <c r="H1474" i="1"/>
  <c r="I1474" i="1"/>
  <c r="G1469" i="1"/>
  <c r="H1469" i="1"/>
  <c r="I1469" i="1"/>
  <c r="G1026" i="1"/>
  <c r="H1026" i="1"/>
  <c r="I1026" i="1"/>
  <c r="G452" i="1"/>
  <c r="H452" i="1"/>
  <c r="I452" i="1"/>
  <c r="G118" i="1"/>
  <c r="H118" i="1"/>
  <c r="I118" i="1"/>
  <c r="G533" i="1"/>
  <c r="H533" i="1"/>
  <c r="I533" i="1"/>
  <c r="G1502" i="1"/>
  <c r="H1502" i="1"/>
  <c r="I1502" i="1"/>
  <c r="G557" i="1"/>
  <c r="H557" i="1"/>
  <c r="I557" i="1"/>
  <c r="G83" i="1"/>
  <c r="H83" i="1"/>
  <c r="I83" i="1"/>
  <c r="G308" i="1"/>
  <c r="H308" i="1"/>
  <c r="I308" i="1"/>
  <c r="G540" i="1"/>
  <c r="H540" i="1"/>
  <c r="I540" i="1"/>
  <c r="G669" i="1"/>
  <c r="H669" i="1"/>
  <c r="I669" i="1"/>
  <c r="G1320" i="1"/>
  <c r="H1320" i="1"/>
  <c r="I1320" i="1"/>
  <c r="G1158" i="1"/>
  <c r="H1158" i="1"/>
  <c r="I1158" i="1"/>
  <c r="G1346" i="1"/>
  <c r="H1346" i="1"/>
  <c r="I1346" i="1"/>
  <c r="G930" i="1"/>
  <c r="H930" i="1"/>
  <c r="I930" i="1"/>
  <c r="G815" i="1"/>
  <c r="H815" i="1"/>
  <c r="I815" i="1"/>
  <c r="G422" i="1"/>
  <c r="H422" i="1"/>
  <c r="I422" i="1"/>
  <c r="G681" i="1"/>
  <c r="H681" i="1"/>
  <c r="I681" i="1"/>
  <c r="G541" i="1"/>
  <c r="H541" i="1"/>
  <c r="I541" i="1"/>
  <c r="G841" i="1"/>
  <c r="H841" i="1"/>
  <c r="I841" i="1"/>
  <c r="G674" i="1"/>
  <c r="H674" i="1"/>
  <c r="I674" i="1"/>
  <c r="G534" i="1"/>
  <c r="H534" i="1"/>
  <c r="I534" i="1"/>
  <c r="G994" i="1"/>
  <c r="H994" i="1"/>
  <c r="I994" i="1"/>
  <c r="G1332" i="1"/>
  <c r="H1332" i="1"/>
  <c r="I1332" i="1"/>
  <c r="G134" i="1"/>
  <c r="H134" i="1"/>
  <c r="I134" i="1"/>
  <c r="G1522" i="1"/>
  <c r="H1522" i="1"/>
  <c r="I1522" i="1"/>
  <c r="G1389" i="1"/>
  <c r="H1389" i="1"/>
  <c r="I1389" i="1"/>
  <c r="G1031" i="1"/>
  <c r="H1031" i="1"/>
  <c r="I1031" i="1"/>
  <c r="G1411" i="1"/>
  <c r="H1411" i="1"/>
  <c r="I1411" i="1"/>
  <c r="G801" i="1"/>
  <c r="H801" i="1"/>
  <c r="I801" i="1"/>
  <c r="G649" i="1"/>
  <c r="H649" i="1"/>
  <c r="I649" i="1"/>
  <c r="G491" i="1"/>
  <c r="H491" i="1"/>
  <c r="I491" i="1"/>
  <c r="G505" i="1"/>
  <c r="H505" i="1"/>
  <c r="I505" i="1"/>
  <c r="G802" i="1"/>
  <c r="H802" i="1"/>
  <c r="I802" i="1"/>
  <c r="G1208" i="1"/>
  <c r="H1208" i="1"/>
  <c r="I1208" i="1"/>
  <c r="G1496" i="1"/>
  <c r="H1496" i="1"/>
  <c r="I1496" i="1"/>
  <c r="G1172" i="1"/>
  <c r="H1172" i="1"/>
  <c r="I1172" i="1"/>
  <c r="G1524" i="1"/>
  <c r="H1524" i="1"/>
  <c r="I1524" i="1"/>
  <c r="G1347" i="1"/>
  <c r="H1347" i="1"/>
  <c r="I1347" i="1"/>
  <c r="G147" i="1"/>
  <c r="H147" i="1"/>
  <c r="I147" i="1"/>
  <c r="G662" i="1"/>
  <c r="H662" i="1"/>
  <c r="I662" i="1"/>
  <c r="G812" i="1"/>
  <c r="H812" i="1"/>
  <c r="I812" i="1"/>
  <c r="G1360" i="1"/>
  <c r="H1360" i="1"/>
  <c r="I1360" i="1"/>
  <c r="G481" i="1"/>
  <c r="H481" i="1"/>
  <c r="I481" i="1"/>
  <c r="G496" i="1"/>
  <c r="H496" i="1"/>
  <c r="I496" i="1"/>
  <c r="G1386" i="1"/>
  <c r="H1386" i="1"/>
  <c r="I1386" i="1"/>
  <c r="G931" i="1"/>
  <c r="H931" i="1"/>
  <c r="I931" i="1"/>
  <c r="G476" i="1"/>
  <c r="H476" i="1"/>
  <c r="I476" i="1"/>
  <c r="G1019" i="1"/>
  <c r="H1019" i="1"/>
  <c r="I1019" i="1"/>
  <c r="G166" i="1"/>
  <c r="H166" i="1"/>
  <c r="I166" i="1"/>
  <c r="G233" i="1"/>
  <c r="H233" i="1"/>
  <c r="I233" i="1"/>
  <c r="G1374" i="1"/>
  <c r="H1374" i="1"/>
  <c r="I1374" i="1"/>
  <c r="G1321" i="1"/>
  <c r="H1321" i="1"/>
  <c r="I1321" i="1"/>
  <c r="G185" i="1"/>
  <c r="H185" i="1"/>
  <c r="I185" i="1"/>
  <c r="G991" i="1"/>
  <c r="H991" i="1"/>
  <c r="I991" i="1"/>
  <c r="G1176" i="1"/>
  <c r="H1176" i="1"/>
  <c r="I1176" i="1"/>
  <c r="G1268" i="1"/>
  <c r="H1268" i="1"/>
  <c r="I1268" i="1"/>
  <c r="G819" i="1"/>
  <c r="H819" i="1"/>
  <c r="I819" i="1"/>
  <c r="G826" i="1"/>
  <c r="H826" i="1"/>
  <c r="I826" i="1"/>
  <c r="G359" i="1"/>
  <c r="H359" i="1"/>
  <c r="I359" i="1"/>
  <c r="G1022" i="1"/>
  <c r="H1022" i="1"/>
  <c r="I1022" i="1"/>
  <c r="G1538" i="1"/>
  <c r="H1538" i="1"/>
  <c r="I1538" i="1"/>
  <c r="G1305" i="1"/>
  <c r="H1305" i="1"/>
  <c r="I1305" i="1"/>
  <c r="G471" i="1"/>
  <c r="H471" i="1"/>
  <c r="I471" i="1"/>
  <c r="G1122" i="1"/>
  <c r="H1122" i="1"/>
  <c r="I1122" i="1"/>
  <c r="G1090" i="1"/>
  <c r="H1090" i="1"/>
  <c r="I1090" i="1"/>
  <c r="G1135" i="1"/>
  <c r="H1135" i="1"/>
  <c r="I1135" i="1"/>
  <c r="G487" i="1"/>
  <c r="H487" i="1"/>
  <c r="I487" i="1"/>
  <c r="G1514" i="1"/>
  <c r="H1514" i="1"/>
  <c r="I1514" i="1"/>
  <c r="G1525" i="1"/>
  <c r="H1525" i="1"/>
  <c r="I1525" i="1"/>
  <c r="G644" i="1"/>
  <c r="H644" i="1"/>
  <c r="I644" i="1"/>
  <c r="G1394" i="1"/>
  <c r="H1394" i="1"/>
  <c r="I1394" i="1"/>
  <c r="G1586" i="1"/>
  <c r="H1586" i="1"/>
  <c r="I1586" i="1"/>
  <c r="G1289" i="1"/>
  <c r="H1289" i="1"/>
  <c r="I1289" i="1"/>
  <c r="G1509" i="1"/>
  <c r="H1509" i="1"/>
  <c r="I1509" i="1"/>
  <c r="G1363" i="1"/>
  <c r="H1363" i="1"/>
  <c r="I1363" i="1"/>
  <c r="G1381" i="1"/>
  <c r="H1381" i="1"/>
  <c r="I1381" i="1"/>
  <c r="G547" i="1"/>
  <c r="H547" i="1"/>
  <c r="I547" i="1"/>
  <c r="G527" i="1"/>
  <c r="H527" i="1"/>
  <c r="I527" i="1"/>
  <c r="G1398" i="1"/>
  <c r="H1398" i="1"/>
  <c r="I1398" i="1"/>
  <c r="G862" i="1"/>
  <c r="H862" i="1"/>
  <c r="I862" i="1"/>
  <c r="G581" i="1"/>
  <c r="H581" i="1"/>
  <c r="I581" i="1"/>
  <c r="G251" i="1"/>
  <c r="H251" i="1"/>
  <c r="I251" i="1"/>
  <c r="G204" i="1"/>
  <c r="H204" i="1"/>
  <c r="I204" i="1"/>
  <c r="G834" i="1"/>
  <c r="H834" i="1"/>
  <c r="I834" i="1"/>
  <c r="G186" i="1"/>
  <c r="H186" i="1"/>
  <c r="I186" i="1"/>
  <c r="G398" i="1"/>
  <c r="H398" i="1"/>
  <c r="I398" i="1"/>
  <c r="G167" i="1"/>
  <c r="H167" i="1"/>
  <c r="I167" i="1"/>
  <c r="G202" i="1"/>
  <c r="H202" i="1"/>
  <c r="I202" i="1"/>
  <c r="G1048" i="1"/>
  <c r="H1048" i="1"/>
  <c r="I1048" i="1"/>
  <c r="G1364" i="1"/>
  <c r="H1364" i="1"/>
  <c r="I1364" i="1"/>
  <c r="G1412" i="1"/>
  <c r="H1412" i="1"/>
  <c r="I1412" i="1"/>
  <c r="G1191" i="1"/>
  <c r="H1191" i="1"/>
  <c r="I1191" i="1"/>
  <c r="G1260" i="1"/>
  <c r="H1260" i="1"/>
  <c r="I1260" i="1"/>
  <c r="G732" i="1"/>
  <c r="H732" i="1"/>
  <c r="I732" i="1"/>
  <c r="G390" i="1"/>
  <c r="H390" i="1"/>
  <c r="I390" i="1"/>
  <c r="G108" i="1"/>
  <c r="H108" i="1"/>
  <c r="I108" i="1"/>
  <c r="G155" i="1"/>
  <c r="H155" i="1"/>
  <c r="I155" i="1"/>
  <c r="G469" i="1"/>
  <c r="H469" i="1"/>
  <c r="I469" i="1"/>
  <c r="G579" i="1"/>
  <c r="H579" i="1"/>
  <c r="I579" i="1"/>
  <c r="G827" i="1"/>
  <c r="H827" i="1"/>
  <c r="I827" i="1"/>
  <c r="G871" i="1"/>
  <c r="H871" i="1"/>
  <c r="I871" i="1"/>
  <c r="G572" i="1"/>
  <c r="H572" i="1"/>
  <c r="I572" i="1"/>
  <c r="G32" i="1"/>
  <c r="H32" i="1"/>
  <c r="I32" i="1"/>
  <c r="G743" i="1"/>
  <c r="H743" i="1"/>
  <c r="I743" i="1"/>
  <c r="G1375" i="1"/>
  <c r="H1375" i="1"/>
  <c r="I1375" i="1"/>
  <c r="G1223" i="1"/>
  <c r="H1223" i="1"/>
  <c r="I1223" i="1"/>
  <c r="G706" i="1"/>
  <c r="H706" i="1"/>
  <c r="I706" i="1"/>
  <c r="G979" i="1"/>
  <c r="H979" i="1"/>
  <c r="I979" i="1"/>
  <c r="G777" i="1"/>
  <c r="H777" i="1"/>
  <c r="I777" i="1"/>
  <c r="G1545" i="1"/>
  <c r="H1545" i="1"/>
  <c r="I1545" i="1"/>
  <c r="G1173" i="1"/>
  <c r="H1173" i="1"/>
  <c r="I1173" i="1"/>
  <c r="G252" i="1"/>
  <c r="H252" i="1"/>
  <c r="I252" i="1"/>
  <c r="G1504" i="1"/>
  <c r="H1504" i="1"/>
  <c r="I1504" i="1"/>
  <c r="G77" i="1"/>
  <c r="H77" i="1"/>
  <c r="I77" i="1"/>
  <c r="G1526" i="1"/>
  <c r="H1526" i="1"/>
  <c r="I1526" i="1"/>
  <c r="G528" i="1"/>
  <c r="H528" i="1"/>
  <c r="I528" i="1"/>
  <c r="G237" i="1"/>
  <c r="H237" i="1"/>
  <c r="I237" i="1"/>
  <c r="G1170" i="1"/>
  <c r="H1170" i="1"/>
  <c r="I1170" i="1"/>
  <c r="G987" i="1"/>
  <c r="H987" i="1"/>
  <c r="I987" i="1"/>
  <c r="G301" i="1"/>
  <c r="H301" i="1"/>
  <c r="I301" i="1"/>
  <c r="G645" i="1"/>
  <c r="H645" i="1"/>
  <c r="I645" i="1"/>
  <c r="G302" i="1"/>
  <c r="H302" i="1"/>
  <c r="I302" i="1"/>
  <c r="G1447" i="1"/>
  <c r="H1447" i="1"/>
  <c r="I1447" i="1"/>
  <c r="G768" i="1"/>
  <c r="H768" i="1"/>
  <c r="I768" i="1"/>
  <c r="G337" i="1"/>
  <c r="H337" i="1"/>
  <c r="I337" i="1"/>
  <c r="G1171" i="1"/>
  <c r="H1171" i="1"/>
  <c r="I1171" i="1"/>
  <c r="G740" i="1"/>
  <c r="H740" i="1"/>
  <c r="I740" i="1"/>
  <c r="G423" i="1"/>
  <c r="H423" i="1"/>
  <c r="I423" i="1"/>
  <c r="G1570" i="1"/>
  <c r="H1570" i="1"/>
  <c r="I1570" i="1"/>
  <c r="G510" i="1"/>
  <c r="H510" i="1"/>
  <c r="I510" i="1"/>
  <c r="G331" i="1"/>
  <c r="H331" i="1"/>
  <c r="I331" i="1"/>
  <c r="G37" i="1"/>
  <c r="H37" i="1"/>
  <c r="I37" i="1"/>
  <c r="G820" i="1"/>
  <c r="H820" i="1"/>
  <c r="I820" i="1"/>
  <c r="G1224" i="1"/>
  <c r="H1224" i="1"/>
  <c r="I1224" i="1"/>
  <c r="G970" i="1"/>
  <c r="H970" i="1"/>
  <c r="I970" i="1"/>
  <c r="G49" i="1"/>
  <c r="H49" i="1"/>
  <c r="I49" i="1"/>
  <c r="G1256" i="1"/>
  <c r="H1256" i="1"/>
  <c r="I1256" i="1"/>
  <c r="G1159" i="1"/>
  <c r="H1159" i="1"/>
  <c r="I1159" i="1"/>
  <c r="G769" i="1"/>
  <c r="H769" i="1"/>
  <c r="I769" i="1"/>
  <c r="G1213" i="1"/>
  <c r="H1213" i="1"/>
  <c r="I1213" i="1"/>
  <c r="G259" i="1"/>
  <c r="H259" i="1"/>
  <c r="I259" i="1"/>
  <c r="G1515" i="1"/>
  <c r="H1515" i="1"/>
  <c r="I1515" i="1"/>
  <c r="G1144" i="1"/>
  <c r="H1144" i="1"/>
  <c r="I1144" i="1"/>
  <c r="G1340" i="1"/>
  <c r="H1340" i="1"/>
  <c r="I1340" i="1"/>
  <c r="G1264" i="1"/>
  <c r="H1264" i="1"/>
  <c r="I1264" i="1"/>
  <c r="G463" i="1"/>
  <c r="H463" i="1"/>
  <c r="I463" i="1"/>
  <c r="G497" i="1"/>
  <c r="H497" i="1"/>
  <c r="I497" i="1"/>
  <c r="G1399" i="1"/>
  <c r="H1399" i="1"/>
  <c r="I1399" i="1"/>
  <c r="G1348" i="1"/>
  <c r="H1348" i="1"/>
  <c r="I1348" i="1"/>
  <c r="G275" i="1"/>
  <c r="H275" i="1"/>
  <c r="I275" i="1"/>
  <c r="G1587" i="1"/>
  <c r="H1587" i="1"/>
  <c r="I1587" i="1"/>
  <c r="G694" i="1"/>
  <c r="H694" i="1"/>
  <c r="I694" i="1"/>
  <c r="G61" i="1"/>
  <c r="H61" i="1"/>
  <c r="I61" i="1"/>
  <c r="G1107" i="1"/>
  <c r="H1107" i="1"/>
  <c r="I1107" i="1"/>
  <c r="G790" i="1"/>
  <c r="H790" i="1"/>
  <c r="I790" i="1"/>
  <c r="G1099" i="1"/>
  <c r="H1099" i="1"/>
  <c r="I1099" i="1"/>
  <c r="G1548" i="1"/>
  <c r="H1548" i="1"/>
  <c r="I1548" i="1"/>
  <c r="G604" i="1"/>
  <c r="H604" i="1"/>
  <c r="I604" i="1"/>
  <c r="G1001" i="1"/>
  <c r="H1001" i="1"/>
  <c r="I1001" i="1"/>
  <c r="G276" i="1"/>
  <c r="H276" i="1"/>
  <c r="I276" i="1"/>
  <c r="G1209" i="1"/>
  <c r="H1209" i="1"/>
  <c r="I1209" i="1"/>
  <c r="G1475" i="1"/>
  <c r="H1475" i="1"/>
  <c r="I1475" i="1"/>
  <c r="G1539" i="1"/>
  <c r="H1539" i="1"/>
  <c r="I1539" i="1"/>
  <c r="G205" i="1"/>
  <c r="H205" i="1"/>
  <c r="I205" i="1"/>
  <c r="G939" i="1"/>
  <c r="H939" i="1"/>
  <c r="I939" i="1"/>
  <c r="G1571" i="1"/>
  <c r="H1571" i="1"/>
  <c r="I1571" i="1"/>
  <c r="G609" i="1"/>
  <c r="H609" i="1"/>
  <c r="I609" i="1"/>
  <c r="G971" i="1"/>
  <c r="H971" i="1"/>
  <c r="I971" i="1"/>
  <c r="G1160" i="1"/>
  <c r="H1160" i="1"/>
  <c r="I1160" i="1"/>
  <c r="G399" i="1"/>
  <c r="H399" i="1"/>
  <c r="I399" i="1"/>
  <c r="G374" i="1"/>
  <c r="H374" i="1"/>
  <c r="I374" i="1"/>
  <c r="G835" i="1"/>
  <c r="H835" i="1"/>
  <c r="I835" i="1"/>
  <c r="G627" i="1"/>
  <c r="H627" i="1"/>
  <c r="I627" i="1"/>
  <c r="G508" i="1"/>
  <c r="H508" i="1"/>
  <c r="I508" i="1"/>
  <c r="G773" i="1"/>
  <c r="H773" i="1"/>
  <c r="I773" i="1"/>
  <c r="G655" i="1"/>
  <c r="H655" i="1"/>
  <c r="I655" i="1"/>
  <c r="G1058" i="1"/>
  <c r="H1058" i="1"/>
  <c r="I1058" i="1"/>
  <c r="G1068" i="1"/>
  <c r="H1068" i="1"/>
  <c r="I1068" i="1"/>
  <c r="G950" i="1"/>
  <c r="H950" i="1"/>
  <c r="I950" i="1"/>
  <c r="G623" i="1"/>
  <c r="H623" i="1"/>
  <c r="I623" i="1"/>
  <c r="G845" i="1"/>
  <c r="H845" i="1"/>
  <c r="I845" i="1"/>
  <c r="G375" i="1"/>
  <c r="H375" i="1"/>
  <c r="I375" i="1"/>
  <c r="G1465" i="1"/>
  <c r="H1465" i="1"/>
  <c r="I1465" i="1"/>
  <c r="G940" i="1"/>
  <c r="H940" i="1"/>
  <c r="I940" i="1"/>
  <c r="G1095" i="1"/>
  <c r="H1095" i="1"/>
  <c r="I1095" i="1"/>
  <c r="G867" i="1"/>
  <c r="H867" i="1"/>
  <c r="I867" i="1"/>
  <c r="G437" i="1"/>
  <c r="H437" i="1"/>
  <c r="I437" i="1"/>
  <c r="G477" i="1"/>
  <c r="H477" i="1"/>
  <c r="I477" i="1"/>
  <c r="G628" i="1"/>
  <c r="H628" i="1"/>
  <c r="I628" i="1"/>
  <c r="G1444" i="1"/>
  <c r="H1444" i="1"/>
  <c r="I1444" i="1"/>
  <c r="G1151" i="1"/>
  <c r="H1151" i="1"/>
  <c r="I1151" i="1"/>
  <c r="G1485" i="1"/>
  <c r="H1485" i="1"/>
  <c r="I1485" i="1"/>
  <c r="G84" i="1"/>
  <c r="H84" i="1"/>
  <c r="I84" i="1"/>
  <c r="G898" i="1"/>
  <c r="H898" i="1"/>
  <c r="I898" i="1"/>
  <c r="G128" i="1"/>
  <c r="H128" i="1"/>
  <c r="I128" i="1"/>
  <c r="G1540" i="1"/>
  <c r="H1540" i="1"/>
  <c r="I1540" i="1"/>
  <c r="G966" i="1"/>
  <c r="H966" i="1"/>
  <c r="I966" i="1"/>
  <c r="G109" i="1"/>
  <c r="H109" i="1"/>
  <c r="I109" i="1"/>
  <c r="G1284" i="1"/>
  <c r="H1284" i="1"/>
  <c r="I1284" i="1"/>
  <c r="G605" i="1"/>
  <c r="H605" i="1"/>
  <c r="I605" i="1"/>
  <c r="G1293" i="1"/>
  <c r="H1293" i="1"/>
  <c r="I1293" i="1"/>
  <c r="G427" i="1"/>
  <c r="H427" i="1"/>
  <c r="I427" i="1"/>
  <c r="G1413" i="1"/>
  <c r="H1413" i="1"/>
  <c r="I1413" i="1"/>
  <c r="G744" i="1"/>
  <c r="H744" i="1"/>
  <c r="I744" i="1"/>
  <c r="G1422" i="1"/>
  <c r="H1422" i="1"/>
  <c r="I1422" i="1"/>
  <c r="G403" i="1"/>
  <c r="H403" i="1"/>
  <c r="I403" i="1"/>
  <c r="G1356" i="1"/>
  <c r="H1356" i="1"/>
  <c r="I1356" i="1"/>
  <c r="G720" i="1"/>
  <c r="H720" i="1"/>
  <c r="I720" i="1"/>
  <c r="G542" i="1"/>
  <c r="H542" i="1"/>
  <c r="I542" i="1"/>
  <c r="G558" i="1"/>
  <c r="H558" i="1"/>
  <c r="I558" i="1"/>
  <c r="G728" i="1"/>
  <c r="H728" i="1"/>
  <c r="I728" i="1"/>
  <c r="G428" i="1"/>
  <c r="H428" i="1"/>
  <c r="I428" i="1"/>
  <c r="G562" i="1"/>
  <c r="H562" i="1"/>
  <c r="I562" i="1"/>
  <c r="G206" i="1"/>
  <c r="H206" i="1"/>
  <c r="I206" i="1"/>
  <c r="G1322" i="1"/>
  <c r="H1322" i="1"/>
  <c r="I1322" i="1"/>
  <c r="G492" i="1"/>
  <c r="H492" i="1"/>
  <c r="I492" i="1"/>
  <c r="G1228" i="1"/>
  <c r="H1228" i="1"/>
  <c r="I1228" i="1"/>
  <c r="G283" i="1"/>
  <c r="H283" i="1"/>
  <c r="I283" i="1"/>
  <c r="G223" i="1"/>
  <c r="H223" i="1"/>
  <c r="I223" i="1"/>
  <c r="G1164" i="1"/>
  <c r="H1164" i="1"/>
  <c r="I1164" i="1"/>
  <c r="G1145" i="1"/>
  <c r="H1145" i="1"/>
  <c r="I1145" i="1"/>
  <c r="G190" i="1"/>
  <c r="H190" i="1"/>
  <c r="I190" i="1"/>
  <c r="G1407" i="1"/>
  <c r="H1407" i="1"/>
  <c r="I1407" i="1"/>
  <c r="G1306" i="1"/>
  <c r="H1306" i="1"/>
  <c r="I1306" i="1"/>
  <c r="G551" i="1"/>
  <c r="H551" i="1"/>
  <c r="I551" i="1"/>
  <c r="G1247" i="1"/>
  <c r="H1247" i="1"/>
  <c r="I1247" i="1"/>
  <c r="G90" i="1"/>
  <c r="H90" i="1"/>
  <c r="I90" i="1"/>
  <c r="G353" i="1"/>
  <c r="H353" i="1"/>
  <c r="I353" i="1"/>
  <c r="G43" i="1"/>
  <c r="H43" i="1"/>
  <c r="I43" i="1"/>
  <c r="G1400" i="1"/>
  <c r="H1400" i="1"/>
  <c r="I1400" i="1"/>
  <c r="G637" i="1"/>
  <c r="H637" i="1"/>
  <c r="I637" i="1"/>
  <c r="G1476" i="1"/>
  <c r="H1476" i="1"/>
  <c r="I1476" i="1"/>
  <c r="G62" i="1"/>
  <c r="H62" i="1"/>
  <c r="I62" i="1"/>
  <c r="G780" i="1"/>
  <c r="H780" i="1"/>
  <c r="I780" i="1"/>
  <c r="G836" i="1"/>
  <c r="H836" i="1"/>
  <c r="I836" i="1"/>
  <c r="G1118" i="1"/>
  <c r="H1118" i="1"/>
  <c r="I1118" i="1"/>
  <c r="G917" i="1"/>
  <c r="H917" i="1"/>
  <c r="I917" i="1"/>
  <c r="G240" i="1"/>
  <c r="H240" i="1"/>
  <c r="I240" i="1"/>
  <c r="G170" i="1"/>
  <c r="H170" i="1"/>
  <c r="I170" i="1"/>
  <c r="G1382" i="1"/>
  <c r="H1382" i="1"/>
  <c r="I1382" i="1"/>
  <c r="G234" i="1"/>
  <c r="H234" i="1"/>
  <c r="I234" i="1"/>
  <c r="G1492" i="1"/>
  <c r="H1492" i="1"/>
  <c r="I1492" i="1"/>
  <c r="G1448" i="1"/>
  <c r="H1448" i="1"/>
  <c r="I1448" i="1"/>
  <c r="G340" i="1"/>
  <c r="H340" i="1"/>
  <c r="I340" i="1"/>
  <c r="G1269" i="1"/>
  <c r="H1269" i="1"/>
  <c r="I1269" i="1"/>
  <c r="G837" i="1"/>
  <c r="H837" i="1"/>
  <c r="I837" i="1"/>
  <c r="G682" i="1"/>
  <c r="H682" i="1"/>
  <c r="I682" i="1"/>
  <c r="G678" i="1"/>
  <c r="H678" i="1"/>
  <c r="I678" i="1"/>
  <c r="G1533" i="1"/>
  <c r="H1533" i="1"/>
  <c r="I1533" i="1"/>
  <c r="G791" i="1"/>
  <c r="H791" i="1"/>
  <c r="I791" i="1"/>
  <c r="G332" i="1"/>
  <c r="H332" i="1"/>
  <c r="I332" i="1"/>
  <c r="G679" i="1"/>
  <c r="H679" i="1"/>
  <c r="I679" i="1"/>
  <c r="G691" i="1"/>
  <c r="H691" i="1"/>
  <c r="I691" i="1"/>
  <c r="G1119" i="1"/>
  <c r="H1119" i="1"/>
  <c r="I1119" i="1"/>
  <c r="G1200" i="1"/>
  <c r="H1200" i="1"/>
  <c r="I1200" i="1"/>
  <c r="G1229" i="1"/>
  <c r="H1229" i="1"/>
  <c r="I1229" i="1"/>
  <c r="G141" i="1"/>
  <c r="H141" i="1"/>
  <c r="I141" i="1"/>
  <c r="G345" i="1"/>
  <c r="H345" i="1"/>
  <c r="I345" i="1"/>
  <c r="G543" i="1"/>
  <c r="H543" i="1"/>
  <c r="I543" i="1"/>
  <c r="G721" i="1"/>
  <c r="H721" i="1"/>
  <c r="I721" i="1"/>
  <c r="G1049" i="1"/>
  <c r="H1049" i="1"/>
  <c r="I1049" i="1"/>
  <c r="G1002" i="1"/>
  <c r="H1002" i="1"/>
  <c r="I1002" i="1"/>
  <c r="G1053" i="1"/>
  <c r="H1053" i="1"/>
  <c r="I1053" i="1"/>
  <c r="G277" i="1"/>
  <c r="H277" i="1"/>
  <c r="I277" i="1"/>
  <c r="G1572" i="1"/>
  <c r="H1572" i="1"/>
  <c r="I1572" i="1"/>
  <c r="G876" i="1"/>
  <c r="H876" i="1"/>
  <c r="I876" i="1"/>
  <c r="G142" i="1"/>
  <c r="H142" i="1"/>
  <c r="I142" i="1"/>
  <c r="G1120" i="1"/>
  <c r="H1120" i="1"/>
  <c r="I1120" i="1"/>
  <c r="G521" i="1"/>
  <c r="H521" i="1"/>
  <c r="I521" i="1"/>
  <c r="G129" i="1"/>
  <c r="H129" i="1"/>
  <c r="I129" i="1"/>
  <c r="G1069" i="1"/>
  <c r="H1069" i="1"/>
  <c r="I1069" i="1"/>
  <c r="G781" i="1"/>
  <c r="H781" i="1"/>
  <c r="I781" i="1"/>
  <c r="G733" i="1"/>
  <c r="H733" i="1"/>
  <c r="I733" i="1"/>
  <c r="G482" i="1"/>
  <c r="H482" i="1"/>
  <c r="I482" i="1"/>
  <c r="G1573" i="1"/>
  <c r="H1573" i="1"/>
  <c r="I1573" i="1"/>
  <c r="G1534" i="1"/>
  <c r="H1534" i="1"/>
  <c r="I1534" i="1"/>
  <c r="G110" i="1"/>
  <c r="H110" i="1"/>
  <c r="I110" i="1"/>
  <c r="G1059" i="1"/>
  <c r="H1059" i="1"/>
  <c r="I1059" i="1"/>
  <c r="G1516" i="1"/>
  <c r="H1516" i="1"/>
  <c r="I1516" i="1"/>
  <c r="G367" i="1"/>
  <c r="H367" i="1"/>
  <c r="I367" i="1"/>
  <c r="G248" i="1"/>
  <c r="H248" i="1"/>
  <c r="I248" i="1"/>
  <c r="G905" i="1"/>
  <c r="H905" i="1"/>
  <c r="I905" i="1"/>
  <c r="G111" i="1"/>
  <c r="H111" i="1"/>
  <c r="I111" i="1"/>
  <c r="G890" i="1"/>
  <c r="H890" i="1"/>
  <c r="I890" i="1"/>
  <c r="G267" i="1"/>
  <c r="H267" i="1"/>
  <c r="I267" i="1"/>
  <c r="G291" i="1"/>
  <c r="H291" i="1"/>
  <c r="I291" i="1"/>
  <c r="G615" i="1"/>
  <c r="H615" i="1"/>
  <c r="I615" i="1"/>
  <c r="G1351" i="1"/>
  <c r="H1351" i="1"/>
  <c r="I1351" i="1"/>
  <c r="G1296" i="1"/>
  <c r="H1296" i="1"/>
  <c r="I1296" i="1"/>
  <c r="G821" i="1"/>
  <c r="H821" i="1"/>
  <c r="I821" i="1"/>
  <c r="G93" i="1"/>
  <c r="H93" i="1"/>
  <c r="I93" i="1"/>
  <c r="G215" i="1"/>
  <c r="H215" i="1"/>
  <c r="I215" i="1"/>
  <c r="G1314" i="1"/>
  <c r="H1314" i="1"/>
  <c r="I1314" i="1"/>
  <c r="G610" i="1"/>
  <c r="H610" i="1"/>
  <c r="I610" i="1"/>
  <c r="G1146" i="1"/>
  <c r="H1146" i="1"/>
  <c r="I1146" i="1"/>
  <c r="G100" i="1"/>
  <c r="H100" i="1"/>
  <c r="I100" i="1"/>
  <c r="G517" i="1"/>
  <c r="H517" i="1"/>
  <c r="I517" i="1"/>
  <c r="G391" i="1"/>
  <c r="H391" i="1"/>
  <c r="I391" i="1"/>
  <c r="G1323" i="1"/>
  <c r="H1323" i="1"/>
  <c r="I1323" i="1"/>
  <c r="G1497" i="1"/>
  <c r="H1497" i="1"/>
  <c r="I1497" i="1"/>
  <c r="G729" i="1"/>
  <c r="H729" i="1"/>
  <c r="I729" i="1"/>
  <c r="G656" i="1"/>
  <c r="H656" i="1"/>
  <c r="I656" i="1"/>
  <c r="G1431" i="1"/>
  <c r="H1431" i="1"/>
  <c r="I1431" i="1"/>
  <c r="G1477" i="1"/>
  <c r="H1477" i="1"/>
  <c r="I1477" i="1"/>
  <c r="G900" i="1"/>
  <c r="H900" i="1"/>
  <c r="I900" i="1"/>
  <c r="G1523" i="1"/>
  <c r="H1523" i="1"/>
  <c r="I1523" i="1"/>
  <c r="G1416" i="1"/>
  <c r="H1416" i="1"/>
  <c r="I1416" i="1"/>
  <c r="G241" i="1"/>
  <c r="H241" i="1"/>
  <c r="I241" i="1"/>
  <c r="G1003" i="1"/>
  <c r="H1003" i="1"/>
  <c r="I1003" i="1"/>
  <c r="G1361" i="1"/>
  <c r="H1361" i="1"/>
  <c r="I1361" i="1"/>
  <c r="G376" i="1"/>
  <c r="H376" i="1"/>
  <c r="I376" i="1"/>
  <c r="G1214" i="1"/>
  <c r="H1214" i="1"/>
  <c r="I1214" i="1"/>
  <c r="G857" i="1"/>
  <c r="H857" i="1"/>
  <c r="I857" i="1"/>
  <c r="G906" i="1"/>
  <c r="H906" i="1"/>
  <c r="I906" i="1"/>
  <c r="G272" i="1"/>
  <c r="H272" i="1"/>
  <c r="I272" i="1"/>
  <c r="G453" i="1"/>
  <c r="H453" i="1"/>
  <c r="I453" i="1"/>
  <c r="G303" i="1"/>
  <c r="H303" i="1"/>
  <c r="I303" i="1"/>
  <c r="G775" i="1"/>
  <c r="H775" i="1"/>
  <c r="I775" i="1"/>
  <c r="G38" i="1"/>
  <c r="H38" i="1"/>
  <c r="I38" i="1"/>
  <c r="G782" i="1"/>
  <c r="H782" i="1"/>
  <c r="I782" i="1"/>
  <c r="G1600" i="1"/>
  <c r="H1600" i="1"/>
  <c r="I1600" i="1"/>
  <c r="G1596" i="1"/>
  <c r="H1596" i="1"/>
  <c r="I1596" i="1"/>
  <c r="G616" i="1"/>
  <c r="H616" i="1"/>
  <c r="I616" i="1"/>
  <c r="G112" i="1"/>
  <c r="H112" i="1"/>
  <c r="I112" i="1"/>
  <c r="G806" i="1"/>
  <c r="H806" i="1"/>
  <c r="I806" i="1"/>
  <c r="G1210" i="1"/>
  <c r="H1210" i="1"/>
  <c r="I1210" i="1"/>
  <c r="G776" i="1"/>
  <c r="H776" i="1"/>
  <c r="I776" i="1"/>
  <c r="G216" i="1"/>
  <c r="H216" i="1"/>
  <c r="I216" i="1"/>
  <c r="G68" i="1"/>
  <c r="H68" i="1"/>
  <c r="I68" i="1"/>
  <c r="G135" i="1"/>
  <c r="H135" i="1"/>
  <c r="I135" i="1"/>
  <c r="G1161" i="1"/>
  <c r="H1161" i="1"/>
  <c r="I1161" i="1"/>
  <c r="G1429" i="1"/>
  <c r="H1429" i="1"/>
  <c r="I1429" i="1"/>
  <c r="G1181" i="1"/>
  <c r="H1181" i="1"/>
  <c r="I1181" i="1"/>
  <c r="G148" i="1"/>
  <c r="H148" i="1"/>
  <c r="I148" i="1"/>
  <c r="G1240" i="1"/>
  <c r="H1240" i="1"/>
  <c r="I1240" i="1"/>
  <c r="G1195" i="1"/>
  <c r="H1195" i="1"/>
  <c r="I1195" i="1"/>
  <c r="G113" i="1"/>
  <c r="H113" i="1"/>
  <c r="I113" i="1"/>
  <c r="G211" i="1"/>
  <c r="H211" i="1"/>
  <c r="I211" i="1"/>
  <c r="G852" i="1"/>
  <c r="H852" i="1"/>
  <c r="I852" i="1"/>
  <c r="G597" i="1"/>
  <c r="H597" i="1"/>
  <c r="I597" i="1"/>
  <c r="G1517" i="1"/>
  <c r="H1517" i="1"/>
  <c r="I1517" i="1"/>
  <c r="G760" i="1"/>
  <c r="H760" i="1"/>
  <c r="I760" i="1"/>
  <c r="G1131" i="1"/>
  <c r="H1131" i="1"/>
  <c r="I1131" i="1"/>
  <c r="G1285" i="1"/>
  <c r="H1285" i="1"/>
  <c r="I1285" i="1"/>
  <c r="G709" i="1"/>
  <c r="H709" i="1"/>
  <c r="I709" i="1"/>
  <c r="G509" i="1"/>
  <c r="H509" i="1"/>
  <c r="I509" i="1"/>
  <c r="G974" i="1"/>
  <c r="H974" i="1"/>
  <c r="I974" i="1"/>
  <c r="G1009" i="1"/>
  <c r="H1009" i="1"/>
  <c r="I1009" i="1"/>
  <c r="G1230" i="1"/>
  <c r="H1230" i="1"/>
  <c r="I1230" i="1"/>
  <c r="G683" i="1"/>
  <c r="H683" i="1"/>
  <c r="I683" i="1"/>
  <c r="G284" i="1"/>
  <c r="H284" i="1"/>
  <c r="I284" i="1"/>
  <c r="G618" i="1"/>
  <c r="H618" i="1"/>
  <c r="I618" i="1"/>
  <c r="G377" i="1"/>
  <c r="H377" i="1"/>
  <c r="I377" i="1"/>
  <c r="G544" i="1"/>
  <c r="H544" i="1"/>
  <c r="I544" i="1"/>
  <c r="G26" i="1"/>
  <c r="H26" i="1"/>
  <c r="I26" i="1"/>
  <c r="G945" i="1"/>
  <c r="H945" i="1"/>
  <c r="I945" i="1"/>
  <c r="G675" i="1"/>
  <c r="H675" i="1"/>
  <c r="I675" i="1"/>
  <c r="G816" i="1"/>
  <c r="H816" i="1"/>
  <c r="I816" i="1"/>
  <c r="G1470" i="1"/>
  <c r="H1470" i="1"/>
  <c r="I1470" i="1"/>
  <c r="G296" i="1"/>
  <c r="H296" i="1"/>
  <c r="I296" i="1"/>
  <c r="G1196" i="1"/>
  <c r="H1196" i="1"/>
  <c r="I1196" i="1"/>
  <c r="G387" i="1"/>
  <c r="H387" i="1"/>
  <c r="I387" i="1"/>
  <c r="G1123" i="1"/>
  <c r="H1123" i="1"/>
  <c r="I1123" i="1"/>
  <c r="G1080" i="1"/>
  <c r="H1080" i="1"/>
  <c r="I1080" i="1"/>
  <c r="G454" i="1"/>
  <c r="H454" i="1"/>
  <c r="I454" i="1"/>
  <c r="G1039" i="1"/>
  <c r="H1039" i="1"/>
  <c r="I1039" i="1"/>
  <c r="G1594" i="1"/>
  <c r="H1594" i="1"/>
  <c r="I1594" i="1"/>
  <c r="G1601" i="1"/>
  <c r="H1601" i="1"/>
  <c r="I1601" i="1"/>
  <c r="G1564" i="1"/>
  <c r="H1564" i="1"/>
  <c r="I1564" i="1"/>
  <c r="G1460" i="1"/>
  <c r="H1460" i="1"/>
  <c r="I1460" i="1"/>
  <c r="G1602" i="1"/>
  <c r="H1602" i="1"/>
  <c r="I1602" i="1"/>
  <c r="G1603" i="1"/>
  <c r="H1603" i="1"/>
  <c r="I1603" i="1"/>
  <c r="G1597" i="1"/>
  <c r="H1597" i="1"/>
  <c r="I1597" i="1"/>
  <c r="G1588" i="1"/>
  <c r="H1588" i="1"/>
  <c r="I1588" i="1"/>
  <c r="G1595" i="1"/>
  <c r="H1595" i="1"/>
  <c r="I1595" i="1"/>
  <c r="G17" i="1"/>
  <c r="H17" i="1"/>
  <c r="I17" i="1"/>
  <c r="G1560" i="1"/>
  <c r="H1560" i="1"/>
  <c r="I1560" i="1"/>
  <c r="G1598" i="1"/>
  <c r="H1598" i="1"/>
  <c r="I1598" i="1"/>
  <c r="G1599" i="1"/>
  <c r="H1599" i="1"/>
  <c r="I1599" i="1"/>
  <c r="I1307" i="1"/>
  <c r="H1307" i="1"/>
  <c r="G1307" i="1"/>
</calcChain>
</file>

<file path=xl/sharedStrings.xml><?xml version="1.0" encoding="utf-8"?>
<sst xmlns="http://schemas.openxmlformats.org/spreadsheetml/2006/main" count="3313" uniqueCount="185">
  <si>
    <t>X709</t>
  </si>
  <si>
    <t>X849</t>
  </si>
  <si>
    <t>X704</t>
  </si>
  <si>
    <t>X689</t>
  </si>
  <si>
    <t>X700</t>
  </si>
  <si>
    <t>X740</t>
  </si>
  <si>
    <t>X780</t>
  </si>
  <si>
    <t>X718</t>
  </si>
  <si>
    <t>X800</t>
  </si>
  <si>
    <t>X809</t>
  </si>
  <si>
    <t>X840</t>
  </si>
  <si>
    <t>X749</t>
  </si>
  <si>
    <t>X699</t>
  </si>
  <si>
    <t>X708</t>
  </si>
  <si>
    <t>X619</t>
  </si>
  <si>
    <t>X670</t>
  </si>
  <si>
    <t>X814</t>
  </si>
  <si>
    <t>X706</t>
  </si>
  <si>
    <t>X730</t>
  </si>
  <si>
    <t>X760</t>
  </si>
  <si>
    <t>X649</t>
  </si>
  <si>
    <t>X744</t>
  </si>
  <si>
    <t>X789</t>
  </si>
  <si>
    <t>X680</t>
  </si>
  <si>
    <t>X746</t>
  </si>
  <si>
    <t>X650</t>
  </si>
  <si>
    <t>X646</t>
  </si>
  <si>
    <t>X690</t>
  </si>
  <si>
    <t>X640</t>
  </si>
  <si>
    <t>X804</t>
  </si>
  <si>
    <t>X684</t>
  </si>
  <si>
    <t>X719</t>
  </si>
  <si>
    <t>X818</t>
  </si>
  <si>
    <t>X648</t>
  </si>
  <si>
    <t>X748</t>
  </si>
  <si>
    <t>X824</t>
  </si>
  <si>
    <t>X696</t>
  </si>
  <si>
    <t>X716</t>
  </si>
  <si>
    <t>X720</t>
  </si>
  <si>
    <t>X764</t>
  </si>
  <si>
    <t>X844</t>
  </si>
  <si>
    <t>X729</t>
  </si>
  <si>
    <t>Region</t>
  </si>
  <si>
    <t>Mean temperature</t>
  </si>
  <si>
    <t>Athmosferic pressure (mean) in hPa</t>
  </si>
  <si>
    <t>Precipitations (mm)</t>
  </si>
  <si>
    <t>20,2 </t>
  </si>
  <si>
    <t>Humidity (%)</t>
  </si>
  <si>
    <t>21,3 </t>
  </si>
  <si>
    <t>12,7 </t>
  </si>
  <si>
    <t>12,5 </t>
  </si>
  <si>
    <t>21,7 </t>
  </si>
  <si>
    <t>14,4 </t>
  </si>
  <si>
    <t>17,1 </t>
  </si>
  <si>
    <t>16,6 </t>
  </si>
  <si>
    <t>13,2 </t>
  </si>
  <si>
    <t>21,1 </t>
  </si>
  <si>
    <t>25,3 </t>
  </si>
  <si>
    <t>32,1 </t>
  </si>
  <si>
    <t>36,0 </t>
  </si>
  <si>
    <t>6,2 </t>
  </si>
  <si>
    <t>27,2 </t>
  </si>
  <si>
    <t>12,6 </t>
  </si>
  <si>
    <t>3,1 </t>
  </si>
  <si>
    <t>27,3 </t>
  </si>
  <si>
    <t>11,0 </t>
  </si>
  <si>
    <t>18,0 </t>
  </si>
  <si>
    <t>29,6 </t>
  </si>
  <si>
    <t>17,3 </t>
  </si>
  <si>
    <t>22,1 </t>
  </si>
  <si>
    <t>11,9 </t>
  </si>
  <si>
    <t>17,9 </t>
  </si>
  <si>
    <t>3,9 </t>
  </si>
  <si>
    <t>6,0 </t>
  </si>
  <si>
    <t>22,4 </t>
  </si>
  <si>
    <t>12,9 </t>
  </si>
  <si>
    <t>989.7</t>
  </si>
  <si>
    <t>991.5</t>
  </si>
  <si>
    <t>992.0</t>
  </si>
  <si>
    <t>12.7</t>
  </si>
  <si>
    <t>18.3</t>
  </si>
  <si>
    <t>14.6</t>
  </si>
  <si>
    <t>76.8</t>
  </si>
  <si>
    <t>67.0</t>
  </si>
  <si>
    <t>71.0</t>
  </si>
  <si>
    <t>84.0</t>
  </si>
  <si>
    <t>7,2 </t>
  </si>
  <si>
    <t>29,1 </t>
  </si>
  <si>
    <t>31,7 </t>
  </si>
  <si>
    <t>14,8 </t>
  </si>
  <si>
    <t>2,0 </t>
  </si>
  <si>
    <t>10,5 </t>
  </si>
  <si>
    <t>30,2 </t>
  </si>
  <si>
    <t>45.0</t>
  </si>
  <si>
    <t>10,7 </t>
  </si>
  <si>
    <t>10,9 </t>
  </si>
  <si>
    <t>8,1 </t>
  </si>
  <si>
    <t>18,8 </t>
  </si>
  <si>
    <t>16,9 </t>
  </si>
  <si>
    <t>10,0 </t>
  </si>
  <si>
    <t>22,5 </t>
  </si>
  <si>
    <t>11,3 </t>
  </si>
  <si>
    <t>29,7 </t>
  </si>
  <si>
    <t>6,6 </t>
  </si>
  <si>
    <t>18,1 </t>
  </si>
  <si>
    <t>32,6 </t>
  </si>
  <si>
    <t>85.2</t>
  </si>
  <si>
    <t>28,0 </t>
  </si>
  <si>
    <t>16,2 </t>
  </si>
  <si>
    <t>26,0 </t>
  </si>
  <si>
    <t>76.0</t>
  </si>
  <si>
    <t>4,5 </t>
  </si>
  <si>
    <t>11,4 </t>
  </si>
  <si>
    <t>31,9 </t>
  </si>
  <si>
    <t>17,8 </t>
  </si>
  <si>
    <t>20,1 </t>
  </si>
  <si>
    <t>41.9</t>
  </si>
  <si>
    <t>74.4</t>
  </si>
  <si>
    <t>57.5</t>
  </si>
  <si>
    <t>94.6</t>
  </si>
  <si>
    <t>20,9 </t>
  </si>
  <si>
    <t>34,3 </t>
  </si>
  <si>
    <t>21,6 </t>
  </si>
  <si>
    <t xml:space="preserve"> 23,3 </t>
  </si>
  <si>
    <t>Inflation rate (%)</t>
  </si>
  <si>
    <t>Unemployement rate (%)</t>
  </si>
  <si>
    <t>Highest Temperature</t>
  </si>
  <si>
    <t>Lowest Temperature</t>
  </si>
  <si>
    <t>Municipality</t>
  </si>
  <si>
    <t>Province</t>
  </si>
  <si>
    <t>Municipality code</t>
  </si>
  <si>
    <t>Seks</t>
  </si>
  <si>
    <t>Age</t>
  </si>
  <si>
    <t>Day of death</t>
  </si>
  <si>
    <t>Month of death</t>
  </si>
  <si>
    <t>Year of death</t>
  </si>
  <si>
    <t>Asphyxiation</t>
  </si>
  <si>
    <t>Toxic effect of organophosphate and carbamate insecticides</t>
  </si>
  <si>
    <t>Unspecified multiple injuries.</t>
  </si>
  <si>
    <t>Toxic effect of other and unspecified substances</t>
  </si>
  <si>
    <t>Poisoning by, adverse effect of and underdosing of other and unspecified drugs, medicaments and biological substances</t>
  </si>
  <si>
    <t>Injury of thorax, unspecified</t>
  </si>
  <si>
    <t>Intracranial injury, unspecified.</t>
  </si>
  <si>
    <t>Open wound of other parts of head</t>
  </si>
  <si>
    <t>Injury, unspecified</t>
  </si>
  <si>
    <t>Injury of small intestine</t>
  </si>
  <si>
    <t>Toxic effect of unspecified pesticides</t>
  </si>
  <si>
    <t>Burns involving 90% or more of body surface.</t>
  </si>
  <si>
    <t>Open wound of unspecified part of neck</t>
  </si>
  <si>
    <t>Injury of unspecified part of heart</t>
  </si>
  <si>
    <t>Toxic effect of other insecticides</t>
  </si>
  <si>
    <t>Other specified injuries involving multiple body regions</t>
  </si>
  <si>
    <t>Poisoning by, adverse effect of and underdosing of insulin and oral hypoglycemic [antidiabetic] drugs</t>
  </si>
  <si>
    <t>Toxic effect of carbon monoxide</t>
  </si>
  <si>
    <t>Poisoning by, adverse effect of and underdosing of benzodiazepines</t>
  </si>
  <si>
    <t>Unspecified effects of drowning and nonfatal submersion</t>
  </si>
  <si>
    <t>Unspecified injury of abdomen, lower back, pelvis and external genitals. </t>
  </si>
  <si>
    <t>Injury of unspecified blood vessel at neck level</t>
  </si>
  <si>
    <t>Injury of unspecified blood vessel at abdomen, lower back and pelvis leve</t>
  </si>
  <si>
    <t>Toxic effects of unspecified corrosive substance</t>
  </si>
  <si>
    <t>Toxic effect: Organophosphate and carbamate insecticides</t>
  </si>
  <si>
    <t>Open wound of unspecified body region</t>
  </si>
  <si>
    <t>Open wound of other parts of abdomen, lower back and pelvis.</t>
  </si>
  <si>
    <t>Burns of multiple regions, unspecified degree</t>
  </si>
  <si>
    <t>Other and unspecified injuries of lung</t>
  </si>
  <si>
    <t>Injuries of intrathoracic organs with intra-abdominal or pelvic organs</t>
  </si>
  <si>
    <t>Injury of unspecified blood vessel at forearm level.</t>
  </si>
  <si>
    <t>Multiple open wounds, unspecified</t>
  </si>
  <si>
    <t>Traumatic amputation of thumb (complete)(partial)</t>
  </si>
  <si>
    <t>Open wound of wrist and hand, part unspecified</t>
  </si>
  <si>
    <t>Diffuse traumatic brain injury</t>
  </si>
  <si>
    <t> Toxic effects of other metals</t>
  </si>
  <si>
    <t>Toxic effect of ethanol</t>
  </si>
  <si>
    <t>Other injuries of upper limb, level unspecified</t>
  </si>
  <si>
    <t>Unspecified injury of neck, initial encounter</t>
  </si>
  <si>
    <t>Injury of radial artery at forearm level</t>
  </si>
  <si>
    <t>Open wound of other specified parts of neck</t>
  </si>
  <si>
    <t>Toxic effect: Hydrogen cyanide</t>
  </si>
  <si>
    <t>Injury of blood vessel(s) of unspecified body region</t>
  </si>
  <si>
    <t>Open wound of unspecified part of thorax</t>
  </si>
  <si>
    <t>Toxic effect of rodenticides</t>
  </si>
  <si>
    <t>Diagnostic 1 (cause of death)</t>
  </si>
  <si>
    <t>Diagnostic 2 (suicide method)</t>
  </si>
  <si>
    <t>Diagnostic 2 code</t>
  </si>
  <si>
    <t xml:space="preserve">Place of occurrence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</si>
</sst>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212529"/>
      <name val="TitilliumWeb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10" fontId="0" fillId="0" borderId="0" xfId="0" applyNumberFormat="1"/>
    <xf numFmtId="9" fontId="0" fillId="0" borderId="0" xfId="0" applyNumberFormat="1"/>
    <xf numFmtId="165" fontId="0" fillId="0" borderId="0" xfId="1" applyNumberFormat="1" applyFont="1" applyAlignment="1">
      <alignment horizontal="right"/>
    </xf>
    <xf numFmtId="10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0" borderId="0" xfId="0" applyNumberFormat="1"/>
    <xf numFmtId="0" fontId="1" fillId="0" borderId="0" xfId="0" applyFont="1" applyProtection="1">
      <protection locked="0"/>
    </xf>
    <xf numFmtId="0" fontId="0" fillId="0" borderId="0" xfId="0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nald/Downloads/cut_2018_v04.xls" TargetMode="External"/><Relationship Id="rId1" Type="http://schemas.openxmlformats.org/officeDocument/2006/relationships/externalLinkPath" Target="/Users/ronald/Downloads/cut_2018_v0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nald/Desktop/PhD/Paper%203/Chile/leyenda%20paper%203.xlsx" TargetMode="External"/><Relationship Id="rId1" Type="http://schemas.openxmlformats.org/officeDocument/2006/relationships/externalLinkPath" Target="PhD/Paper%203/Chile/leyenda%20pap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">
          <cell r="B2">
            <v>1101</v>
          </cell>
          <cell r="C2" t="str">
            <v>Tarapacá</v>
          </cell>
          <cell r="D2" t="str">
            <v>Iquique</v>
          </cell>
          <cell r="E2" t="str">
            <v>Iquique</v>
          </cell>
        </row>
        <row r="3">
          <cell r="B3">
            <v>1107</v>
          </cell>
          <cell r="C3" t="str">
            <v>Tarapacá</v>
          </cell>
          <cell r="D3" t="str">
            <v>Iquique</v>
          </cell>
          <cell r="E3" t="str">
            <v>Alto Hospicio</v>
          </cell>
        </row>
        <row r="4">
          <cell r="B4">
            <v>1401</v>
          </cell>
          <cell r="C4" t="str">
            <v>Tarapacá</v>
          </cell>
          <cell r="D4" t="str">
            <v>Tamarugal</v>
          </cell>
          <cell r="E4" t="str">
            <v>Pozo Almonte</v>
          </cell>
        </row>
        <row r="5">
          <cell r="B5">
            <v>1402</v>
          </cell>
          <cell r="C5" t="str">
            <v>Tarapacá</v>
          </cell>
          <cell r="D5" t="str">
            <v>Tamarugal</v>
          </cell>
          <cell r="E5" t="str">
            <v>Camiña</v>
          </cell>
        </row>
        <row r="6">
          <cell r="B6">
            <v>1403</v>
          </cell>
          <cell r="C6" t="str">
            <v>Tarapacá</v>
          </cell>
          <cell r="D6" t="str">
            <v>Tamarugal</v>
          </cell>
          <cell r="E6" t="str">
            <v>Colchane</v>
          </cell>
        </row>
        <row r="7">
          <cell r="B7">
            <v>1404</v>
          </cell>
          <cell r="C7" t="str">
            <v>Tarapacá</v>
          </cell>
          <cell r="D7" t="str">
            <v>Tamarugal</v>
          </cell>
          <cell r="E7" t="str">
            <v>Huara</v>
          </cell>
        </row>
        <row r="8">
          <cell r="B8">
            <v>1405</v>
          </cell>
          <cell r="C8" t="str">
            <v>Tarapacá</v>
          </cell>
          <cell r="D8" t="str">
            <v>Tamarugal</v>
          </cell>
          <cell r="E8" t="str">
            <v>Pica</v>
          </cell>
        </row>
        <row r="9">
          <cell r="B9">
            <v>2101</v>
          </cell>
          <cell r="C9" t="str">
            <v>Antofagasta</v>
          </cell>
          <cell r="D9" t="str">
            <v>Antofagasta</v>
          </cell>
          <cell r="E9" t="str">
            <v>Antofagasta</v>
          </cell>
        </row>
        <row r="10">
          <cell r="B10">
            <v>2102</v>
          </cell>
          <cell r="C10" t="str">
            <v>Antofagasta</v>
          </cell>
          <cell r="D10" t="str">
            <v>Antofagasta</v>
          </cell>
          <cell r="E10" t="str">
            <v>Mejillones</v>
          </cell>
        </row>
        <row r="11">
          <cell r="B11">
            <v>2103</v>
          </cell>
          <cell r="C11" t="str">
            <v>Antofagasta</v>
          </cell>
          <cell r="D11" t="str">
            <v>Antofagasta</v>
          </cell>
          <cell r="E11" t="str">
            <v>Sierra Gorda</v>
          </cell>
        </row>
        <row r="12">
          <cell r="B12">
            <v>2104</v>
          </cell>
          <cell r="C12" t="str">
            <v>Antofagasta</v>
          </cell>
          <cell r="D12" t="str">
            <v>Antofagasta</v>
          </cell>
          <cell r="E12" t="str">
            <v>Taltal</v>
          </cell>
        </row>
        <row r="13">
          <cell r="B13">
            <v>2201</v>
          </cell>
          <cell r="C13" t="str">
            <v>Antofagasta</v>
          </cell>
          <cell r="D13" t="str">
            <v>El Loa</v>
          </cell>
          <cell r="E13" t="str">
            <v>Calama</v>
          </cell>
        </row>
        <row r="14">
          <cell r="B14">
            <v>2202</v>
          </cell>
          <cell r="C14" t="str">
            <v>Antofagasta</v>
          </cell>
          <cell r="D14" t="str">
            <v>El Loa</v>
          </cell>
          <cell r="E14" t="str">
            <v>Ollagüe</v>
          </cell>
        </row>
        <row r="15">
          <cell r="B15">
            <v>2203</v>
          </cell>
          <cell r="C15" t="str">
            <v>Antofagasta</v>
          </cell>
          <cell r="D15" t="str">
            <v>El Loa</v>
          </cell>
          <cell r="E15" t="str">
            <v>San Pedro de Atacama</v>
          </cell>
        </row>
        <row r="16">
          <cell r="B16">
            <v>2301</v>
          </cell>
          <cell r="C16" t="str">
            <v>Antofagasta</v>
          </cell>
          <cell r="D16" t="str">
            <v>Tocopilla</v>
          </cell>
          <cell r="E16" t="str">
            <v>Tocopilla</v>
          </cell>
        </row>
        <row r="17">
          <cell r="B17">
            <v>2302</v>
          </cell>
          <cell r="C17" t="str">
            <v>Antofagasta</v>
          </cell>
          <cell r="D17" t="str">
            <v>Tocopilla</v>
          </cell>
          <cell r="E17" t="str">
            <v>María Elena</v>
          </cell>
        </row>
        <row r="18">
          <cell r="B18">
            <v>3101</v>
          </cell>
          <cell r="C18" t="str">
            <v>Atacama</v>
          </cell>
          <cell r="D18" t="str">
            <v>Copiapó</v>
          </cell>
          <cell r="E18" t="str">
            <v>Copiapó</v>
          </cell>
        </row>
        <row r="19">
          <cell r="B19">
            <v>3102</v>
          </cell>
          <cell r="C19" t="str">
            <v>Atacama</v>
          </cell>
          <cell r="D19" t="str">
            <v>Copiapó</v>
          </cell>
          <cell r="E19" t="str">
            <v>Caldera</v>
          </cell>
        </row>
        <row r="20">
          <cell r="B20">
            <v>3103</v>
          </cell>
          <cell r="C20" t="str">
            <v>Atacama</v>
          </cell>
          <cell r="D20" t="str">
            <v>Copiapó</v>
          </cell>
          <cell r="E20" t="str">
            <v>Tierra Amarilla</v>
          </cell>
        </row>
        <row r="21">
          <cell r="B21">
            <v>3201</v>
          </cell>
          <cell r="C21" t="str">
            <v>Atacama</v>
          </cell>
          <cell r="D21" t="str">
            <v>Chañaral</v>
          </cell>
          <cell r="E21" t="str">
            <v>Chañaral</v>
          </cell>
        </row>
        <row r="22">
          <cell r="B22">
            <v>3202</v>
          </cell>
          <cell r="C22" t="str">
            <v>Atacama</v>
          </cell>
          <cell r="D22" t="str">
            <v>Chañaral</v>
          </cell>
          <cell r="E22" t="str">
            <v>Diego de Almagro</v>
          </cell>
        </row>
        <row r="23">
          <cell r="B23">
            <v>3301</v>
          </cell>
          <cell r="C23" t="str">
            <v>Atacama</v>
          </cell>
          <cell r="D23" t="str">
            <v>Huasco</v>
          </cell>
          <cell r="E23" t="str">
            <v>Vallenar</v>
          </cell>
        </row>
        <row r="24">
          <cell r="B24">
            <v>3302</v>
          </cell>
          <cell r="C24" t="str">
            <v>Atacama</v>
          </cell>
          <cell r="D24" t="str">
            <v>Huasco</v>
          </cell>
          <cell r="E24" t="str">
            <v>Alto del Carmen</v>
          </cell>
        </row>
        <row r="25">
          <cell r="B25">
            <v>3303</v>
          </cell>
          <cell r="C25" t="str">
            <v>Atacama</v>
          </cell>
          <cell r="D25" t="str">
            <v>Huasco</v>
          </cell>
          <cell r="E25" t="str">
            <v>Freirina</v>
          </cell>
        </row>
        <row r="26">
          <cell r="B26">
            <v>3304</v>
          </cell>
          <cell r="C26" t="str">
            <v>Atacama</v>
          </cell>
          <cell r="D26" t="str">
            <v>Huasco</v>
          </cell>
          <cell r="E26" t="str">
            <v>Huasco</v>
          </cell>
        </row>
        <row r="27">
          <cell r="B27">
            <v>4101</v>
          </cell>
          <cell r="C27" t="str">
            <v>Coquimbo</v>
          </cell>
          <cell r="D27" t="str">
            <v>Elqui</v>
          </cell>
          <cell r="E27" t="str">
            <v>La Serena</v>
          </cell>
        </row>
        <row r="28">
          <cell r="B28">
            <v>4102</v>
          </cell>
          <cell r="C28" t="str">
            <v>Coquimbo</v>
          </cell>
          <cell r="D28" t="str">
            <v>Elqui</v>
          </cell>
          <cell r="E28" t="str">
            <v>Coquimbo</v>
          </cell>
        </row>
        <row r="29">
          <cell r="B29">
            <v>4103</v>
          </cell>
          <cell r="C29" t="str">
            <v>Coquimbo</v>
          </cell>
          <cell r="D29" t="str">
            <v>Elqui</v>
          </cell>
          <cell r="E29" t="str">
            <v>Andacollo</v>
          </cell>
        </row>
        <row r="30">
          <cell r="B30">
            <v>4104</v>
          </cell>
          <cell r="C30" t="str">
            <v>Coquimbo</v>
          </cell>
          <cell r="D30" t="str">
            <v>Elqui</v>
          </cell>
          <cell r="E30" t="str">
            <v>La Higuera</v>
          </cell>
        </row>
        <row r="31">
          <cell r="B31">
            <v>4105</v>
          </cell>
          <cell r="C31" t="str">
            <v>Coquimbo</v>
          </cell>
          <cell r="D31" t="str">
            <v>Elqui</v>
          </cell>
          <cell r="E31" t="str">
            <v>Paiguano</v>
          </cell>
        </row>
        <row r="32">
          <cell r="B32">
            <v>4106</v>
          </cell>
          <cell r="C32" t="str">
            <v>Coquimbo</v>
          </cell>
          <cell r="D32" t="str">
            <v>Elqui</v>
          </cell>
          <cell r="E32" t="str">
            <v>Vicuña</v>
          </cell>
        </row>
        <row r="33">
          <cell r="B33">
            <v>4201</v>
          </cell>
          <cell r="C33" t="str">
            <v>Coquimbo</v>
          </cell>
          <cell r="D33" t="str">
            <v>Choapa</v>
          </cell>
          <cell r="E33" t="str">
            <v>Illapel</v>
          </cell>
        </row>
        <row r="34">
          <cell r="B34">
            <v>4202</v>
          </cell>
          <cell r="C34" t="str">
            <v>Coquimbo</v>
          </cell>
          <cell r="D34" t="str">
            <v>Choapa</v>
          </cell>
          <cell r="E34" t="str">
            <v>Canela</v>
          </cell>
        </row>
        <row r="35">
          <cell r="B35">
            <v>4203</v>
          </cell>
          <cell r="C35" t="str">
            <v>Coquimbo</v>
          </cell>
          <cell r="D35" t="str">
            <v>Choapa</v>
          </cell>
          <cell r="E35" t="str">
            <v>Los Vilos</v>
          </cell>
        </row>
        <row r="36">
          <cell r="B36">
            <v>4204</v>
          </cell>
          <cell r="C36" t="str">
            <v>Coquimbo</v>
          </cell>
          <cell r="D36" t="str">
            <v>Choapa</v>
          </cell>
          <cell r="E36" t="str">
            <v>Salamanca</v>
          </cell>
        </row>
        <row r="37">
          <cell r="B37">
            <v>4301</v>
          </cell>
          <cell r="C37" t="str">
            <v>Coquimbo</v>
          </cell>
          <cell r="D37" t="str">
            <v>Limarí</v>
          </cell>
          <cell r="E37" t="str">
            <v>Ovalle</v>
          </cell>
        </row>
        <row r="38">
          <cell r="B38">
            <v>4302</v>
          </cell>
          <cell r="C38" t="str">
            <v>Coquimbo</v>
          </cell>
          <cell r="D38" t="str">
            <v>Limarí</v>
          </cell>
          <cell r="E38" t="str">
            <v>Combarbalá</v>
          </cell>
        </row>
        <row r="39">
          <cell r="B39">
            <v>4303</v>
          </cell>
          <cell r="C39" t="str">
            <v>Coquimbo</v>
          </cell>
          <cell r="D39" t="str">
            <v>Limarí</v>
          </cell>
          <cell r="E39" t="str">
            <v>Monte Patria</v>
          </cell>
        </row>
        <row r="40">
          <cell r="B40">
            <v>4304</v>
          </cell>
          <cell r="C40" t="str">
            <v>Coquimbo</v>
          </cell>
          <cell r="D40" t="str">
            <v>Limarí</v>
          </cell>
          <cell r="E40" t="str">
            <v>Punitaqui</v>
          </cell>
        </row>
        <row r="41">
          <cell r="B41">
            <v>4305</v>
          </cell>
          <cell r="C41" t="str">
            <v>Coquimbo</v>
          </cell>
          <cell r="D41" t="str">
            <v>Limarí</v>
          </cell>
          <cell r="E41" t="str">
            <v>Río Hurtado</v>
          </cell>
        </row>
        <row r="42">
          <cell r="B42">
            <v>5101</v>
          </cell>
          <cell r="C42" t="str">
            <v>Valparaíso</v>
          </cell>
          <cell r="D42" t="str">
            <v>Valparaíso</v>
          </cell>
          <cell r="E42" t="str">
            <v>Valparaíso</v>
          </cell>
        </row>
        <row r="43">
          <cell r="B43">
            <v>5102</v>
          </cell>
          <cell r="C43" t="str">
            <v>Valparaíso</v>
          </cell>
          <cell r="D43" t="str">
            <v>Valparaíso</v>
          </cell>
          <cell r="E43" t="str">
            <v>Casablanca</v>
          </cell>
        </row>
        <row r="44">
          <cell r="B44">
            <v>5103</v>
          </cell>
          <cell r="C44" t="str">
            <v>Valparaíso</v>
          </cell>
          <cell r="D44" t="str">
            <v>Valparaíso</v>
          </cell>
          <cell r="E44" t="str">
            <v>Concón</v>
          </cell>
        </row>
        <row r="45">
          <cell r="B45">
            <v>5104</v>
          </cell>
          <cell r="C45" t="str">
            <v>Valparaíso</v>
          </cell>
          <cell r="D45" t="str">
            <v>Valparaíso</v>
          </cell>
          <cell r="E45" t="str">
            <v>Juan Fernández</v>
          </cell>
        </row>
        <row r="46">
          <cell r="B46">
            <v>5105</v>
          </cell>
          <cell r="C46" t="str">
            <v>Valparaíso</v>
          </cell>
          <cell r="D46" t="str">
            <v>Valparaíso</v>
          </cell>
          <cell r="E46" t="str">
            <v>Puchuncaví</v>
          </cell>
        </row>
        <row r="47">
          <cell r="B47">
            <v>5107</v>
          </cell>
          <cell r="C47" t="str">
            <v>Valparaíso</v>
          </cell>
          <cell r="D47" t="str">
            <v>Valparaíso</v>
          </cell>
          <cell r="E47" t="str">
            <v>Quintero</v>
          </cell>
        </row>
        <row r="48">
          <cell r="B48">
            <v>5109</v>
          </cell>
          <cell r="C48" t="str">
            <v>Valparaíso</v>
          </cell>
          <cell r="D48" t="str">
            <v>Valparaíso</v>
          </cell>
          <cell r="E48" t="str">
            <v>Viña del Mar</v>
          </cell>
        </row>
        <row r="49">
          <cell r="B49">
            <v>5201</v>
          </cell>
          <cell r="C49" t="str">
            <v>Valparaíso</v>
          </cell>
          <cell r="D49" t="str">
            <v>Isla de Pascua</v>
          </cell>
          <cell r="E49" t="str">
            <v>Isla de Pascua</v>
          </cell>
        </row>
        <row r="50">
          <cell r="B50">
            <v>5301</v>
          </cell>
          <cell r="C50" t="str">
            <v>Valparaíso</v>
          </cell>
          <cell r="D50" t="str">
            <v>Los Andes</v>
          </cell>
          <cell r="E50" t="str">
            <v>Los Andes</v>
          </cell>
        </row>
        <row r="51">
          <cell r="B51">
            <v>5302</v>
          </cell>
          <cell r="C51" t="str">
            <v>Valparaíso</v>
          </cell>
          <cell r="D51" t="str">
            <v>Los Andes</v>
          </cell>
          <cell r="E51" t="str">
            <v>Calle Larga</v>
          </cell>
        </row>
        <row r="52">
          <cell r="B52">
            <v>5303</v>
          </cell>
          <cell r="C52" t="str">
            <v>Valparaíso</v>
          </cell>
          <cell r="D52" t="str">
            <v>Los Andes</v>
          </cell>
          <cell r="E52" t="str">
            <v>Rinconada</v>
          </cell>
        </row>
        <row r="53">
          <cell r="B53">
            <v>5304</v>
          </cell>
          <cell r="C53" t="str">
            <v>Valparaíso</v>
          </cell>
          <cell r="D53" t="str">
            <v>Los Andes</v>
          </cell>
          <cell r="E53" t="str">
            <v>San Esteban</v>
          </cell>
        </row>
        <row r="54">
          <cell r="B54">
            <v>5401</v>
          </cell>
          <cell r="C54" t="str">
            <v>Valparaíso</v>
          </cell>
          <cell r="D54" t="str">
            <v>Petorca</v>
          </cell>
          <cell r="E54" t="str">
            <v>La Ligua</v>
          </cell>
        </row>
        <row r="55">
          <cell r="B55">
            <v>5402</v>
          </cell>
          <cell r="C55" t="str">
            <v>Valparaíso</v>
          </cell>
          <cell r="D55" t="str">
            <v>Petorca</v>
          </cell>
          <cell r="E55" t="str">
            <v>Cabildo</v>
          </cell>
        </row>
        <row r="56">
          <cell r="B56">
            <v>5403</v>
          </cell>
          <cell r="C56" t="str">
            <v>Valparaíso</v>
          </cell>
          <cell r="D56" t="str">
            <v>Petorca</v>
          </cell>
          <cell r="E56" t="str">
            <v>Papudo</v>
          </cell>
        </row>
        <row r="57">
          <cell r="B57">
            <v>5404</v>
          </cell>
          <cell r="C57" t="str">
            <v>Valparaíso</v>
          </cell>
          <cell r="D57" t="str">
            <v>Petorca</v>
          </cell>
          <cell r="E57" t="str">
            <v>Petorca</v>
          </cell>
        </row>
        <row r="58">
          <cell r="B58">
            <v>5405</v>
          </cell>
          <cell r="C58" t="str">
            <v>Valparaíso</v>
          </cell>
          <cell r="D58" t="str">
            <v>Petorca</v>
          </cell>
          <cell r="E58" t="str">
            <v>Zapallar</v>
          </cell>
        </row>
        <row r="59">
          <cell r="B59">
            <v>5501</v>
          </cell>
          <cell r="C59" t="str">
            <v>Valparaíso</v>
          </cell>
          <cell r="D59" t="str">
            <v>Quillota</v>
          </cell>
          <cell r="E59" t="str">
            <v>Quillota</v>
          </cell>
        </row>
        <row r="60">
          <cell r="B60">
            <v>5502</v>
          </cell>
          <cell r="C60" t="str">
            <v>Valparaíso</v>
          </cell>
          <cell r="D60" t="str">
            <v>Quillota</v>
          </cell>
          <cell r="E60" t="str">
            <v>Calera</v>
          </cell>
        </row>
        <row r="61">
          <cell r="B61">
            <v>5503</v>
          </cell>
          <cell r="C61" t="str">
            <v>Valparaíso</v>
          </cell>
          <cell r="D61" t="str">
            <v>Quillota</v>
          </cell>
          <cell r="E61" t="str">
            <v>Hijuelas</v>
          </cell>
        </row>
        <row r="62">
          <cell r="B62">
            <v>5504</v>
          </cell>
          <cell r="C62" t="str">
            <v>Valparaíso</v>
          </cell>
          <cell r="D62" t="str">
            <v>Quillota</v>
          </cell>
          <cell r="E62" t="str">
            <v>La Cruz</v>
          </cell>
        </row>
        <row r="63">
          <cell r="B63">
            <v>5506</v>
          </cell>
          <cell r="C63" t="str">
            <v>Valparaíso</v>
          </cell>
          <cell r="D63" t="str">
            <v>Quillota</v>
          </cell>
          <cell r="E63" t="str">
            <v>Nogales</v>
          </cell>
        </row>
        <row r="64">
          <cell r="B64">
            <v>5601</v>
          </cell>
          <cell r="C64" t="str">
            <v>Valparaíso</v>
          </cell>
          <cell r="D64" t="str">
            <v>San Antonio</v>
          </cell>
          <cell r="E64" t="str">
            <v>San Antonio</v>
          </cell>
        </row>
        <row r="65">
          <cell r="B65">
            <v>5602</v>
          </cell>
          <cell r="C65" t="str">
            <v>Valparaíso</v>
          </cell>
          <cell r="D65" t="str">
            <v>San Antonio</v>
          </cell>
          <cell r="E65" t="str">
            <v>Algarrobo</v>
          </cell>
        </row>
        <row r="66">
          <cell r="B66">
            <v>5603</v>
          </cell>
          <cell r="C66" t="str">
            <v>Valparaíso</v>
          </cell>
          <cell r="D66" t="str">
            <v>San Antonio</v>
          </cell>
          <cell r="E66" t="str">
            <v>Cartagena</v>
          </cell>
        </row>
        <row r="67">
          <cell r="B67">
            <v>5604</v>
          </cell>
          <cell r="C67" t="str">
            <v>Valparaíso</v>
          </cell>
          <cell r="D67" t="str">
            <v>San Antonio</v>
          </cell>
          <cell r="E67" t="str">
            <v>El Quisco</v>
          </cell>
        </row>
        <row r="68">
          <cell r="B68">
            <v>5605</v>
          </cell>
          <cell r="C68" t="str">
            <v>Valparaíso</v>
          </cell>
          <cell r="D68" t="str">
            <v>San Antonio</v>
          </cell>
          <cell r="E68" t="str">
            <v>El Tabo</v>
          </cell>
        </row>
        <row r="69">
          <cell r="B69">
            <v>5606</v>
          </cell>
          <cell r="C69" t="str">
            <v>Valparaíso</v>
          </cell>
          <cell r="D69" t="str">
            <v>San Antonio</v>
          </cell>
          <cell r="E69" t="str">
            <v>Santo Domingo</v>
          </cell>
        </row>
        <row r="70">
          <cell r="B70">
            <v>5701</v>
          </cell>
          <cell r="C70" t="str">
            <v>Valparaíso</v>
          </cell>
          <cell r="D70" t="str">
            <v>San Felipe de Aconcagua</v>
          </cell>
          <cell r="E70" t="str">
            <v>San Felipe</v>
          </cell>
        </row>
        <row r="71">
          <cell r="B71">
            <v>5702</v>
          </cell>
          <cell r="C71" t="str">
            <v>Valparaíso</v>
          </cell>
          <cell r="D71" t="str">
            <v>San Felipe de Aconcagua</v>
          </cell>
          <cell r="E71" t="str">
            <v>Catemu</v>
          </cell>
        </row>
        <row r="72">
          <cell r="B72">
            <v>5703</v>
          </cell>
          <cell r="C72" t="str">
            <v>Valparaíso</v>
          </cell>
          <cell r="D72" t="str">
            <v>San Felipe de Aconcagua</v>
          </cell>
          <cell r="E72" t="str">
            <v>Llaillay</v>
          </cell>
        </row>
        <row r="73">
          <cell r="B73">
            <v>5704</v>
          </cell>
          <cell r="C73" t="str">
            <v>Valparaíso</v>
          </cell>
          <cell r="D73" t="str">
            <v>San Felipe de Aconcagua</v>
          </cell>
          <cell r="E73" t="str">
            <v>Panquehue</v>
          </cell>
        </row>
        <row r="74">
          <cell r="B74">
            <v>5705</v>
          </cell>
          <cell r="C74" t="str">
            <v>Valparaíso</v>
          </cell>
          <cell r="D74" t="str">
            <v>San Felipe de Aconcagua</v>
          </cell>
          <cell r="E74" t="str">
            <v>Putaendo</v>
          </cell>
        </row>
        <row r="75">
          <cell r="B75">
            <v>5706</v>
          </cell>
          <cell r="C75" t="str">
            <v>Valparaíso</v>
          </cell>
          <cell r="D75" t="str">
            <v>San Felipe de Aconcagua</v>
          </cell>
          <cell r="E75" t="str">
            <v>Santa María</v>
          </cell>
        </row>
        <row r="76">
          <cell r="B76">
            <v>5801</v>
          </cell>
          <cell r="C76" t="str">
            <v>Valparaíso</v>
          </cell>
          <cell r="D76" t="str">
            <v>Marga Marga</v>
          </cell>
          <cell r="E76" t="str">
            <v>Quilpué</v>
          </cell>
        </row>
        <row r="77">
          <cell r="B77">
            <v>5802</v>
          </cell>
          <cell r="C77" t="str">
            <v>Valparaíso</v>
          </cell>
          <cell r="D77" t="str">
            <v>Marga Marga</v>
          </cell>
          <cell r="E77" t="str">
            <v>Limache</v>
          </cell>
        </row>
        <row r="78">
          <cell r="B78">
            <v>5803</v>
          </cell>
          <cell r="C78" t="str">
            <v>Valparaíso</v>
          </cell>
          <cell r="D78" t="str">
            <v>Marga Marga</v>
          </cell>
          <cell r="E78" t="str">
            <v>Olmué</v>
          </cell>
        </row>
        <row r="79">
          <cell r="B79">
            <v>5804</v>
          </cell>
          <cell r="C79" t="str">
            <v>Valparaíso</v>
          </cell>
          <cell r="D79" t="str">
            <v>Marga Marga</v>
          </cell>
          <cell r="E79" t="str">
            <v>Villa Alemana</v>
          </cell>
        </row>
        <row r="80">
          <cell r="B80">
            <v>6101</v>
          </cell>
          <cell r="C80" t="str">
            <v>Libertador General Bernardo O'Higgins</v>
          </cell>
          <cell r="D80" t="str">
            <v>Cachapoal</v>
          </cell>
          <cell r="E80" t="str">
            <v>Rancagua</v>
          </cell>
        </row>
        <row r="81">
          <cell r="B81">
            <v>6102</v>
          </cell>
          <cell r="C81" t="str">
            <v>Libertador General Bernardo O'Higgins</v>
          </cell>
          <cell r="D81" t="str">
            <v>Cachapoal</v>
          </cell>
          <cell r="E81" t="str">
            <v>Codegua</v>
          </cell>
        </row>
        <row r="82">
          <cell r="B82">
            <v>6103</v>
          </cell>
          <cell r="C82" t="str">
            <v>Libertador General Bernardo O'Higgins</v>
          </cell>
          <cell r="D82" t="str">
            <v>Cachapoal</v>
          </cell>
          <cell r="E82" t="str">
            <v>Coinco</v>
          </cell>
        </row>
        <row r="83">
          <cell r="B83">
            <v>6104</v>
          </cell>
          <cell r="C83" t="str">
            <v>Libertador General Bernardo O'Higgins</v>
          </cell>
          <cell r="D83" t="str">
            <v>Cachapoal</v>
          </cell>
          <cell r="E83" t="str">
            <v>Coltauco</v>
          </cell>
        </row>
        <row r="84">
          <cell r="B84">
            <v>6105</v>
          </cell>
          <cell r="C84" t="str">
            <v>Libertador General Bernardo O'Higgins</v>
          </cell>
          <cell r="D84" t="str">
            <v>Cachapoal</v>
          </cell>
          <cell r="E84" t="str">
            <v>Doñihue</v>
          </cell>
        </row>
        <row r="85">
          <cell r="B85">
            <v>6106</v>
          </cell>
          <cell r="C85" t="str">
            <v>Libertador General Bernardo O'Higgins</v>
          </cell>
          <cell r="D85" t="str">
            <v>Cachapoal</v>
          </cell>
          <cell r="E85" t="str">
            <v>Graneros</v>
          </cell>
        </row>
        <row r="86">
          <cell r="B86">
            <v>6107</v>
          </cell>
          <cell r="C86" t="str">
            <v>Libertador General Bernardo O'Higgins</v>
          </cell>
          <cell r="D86" t="str">
            <v>Cachapoal</v>
          </cell>
          <cell r="E86" t="str">
            <v>Las Cabras</v>
          </cell>
        </row>
        <row r="87">
          <cell r="B87">
            <v>6108</v>
          </cell>
          <cell r="C87" t="str">
            <v>Libertador General Bernardo O'Higgins</v>
          </cell>
          <cell r="D87" t="str">
            <v>Cachapoal</v>
          </cell>
          <cell r="E87" t="str">
            <v>Machalí</v>
          </cell>
        </row>
        <row r="88">
          <cell r="B88">
            <v>6109</v>
          </cell>
          <cell r="C88" t="str">
            <v>Libertador General Bernardo O'Higgins</v>
          </cell>
          <cell r="D88" t="str">
            <v>Cachapoal</v>
          </cell>
          <cell r="E88" t="str">
            <v>Malloa</v>
          </cell>
        </row>
        <row r="89">
          <cell r="B89">
            <v>6110</v>
          </cell>
          <cell r="C89" t="str">
            <v>Libertador General Bernardo O'Higgins</v>
          </cell>
          <cell r="D89" t="str">
            <v>Cachapoal</v>
          </cell>
          <cell r="E89" t="str">
            <v>Mostazal</v>
          </cell>
        </row>
        <row r="90">
          <cell r="B90">
            <v>6111</v>
          </cell>
          <cell r="C90" t="str">
            <v>Libertador General Bernardo O'Higgins</v>
          </cell>
          <cell r="D90" t="str">
            <v>Cachapoal</v>
          </cell>
          <cell r="E90" t="str">
            <v>Olivar</v>
          </cell>
        </row>
        <row r="91">
          <cell r="B91">
            <v>6112</v>
          </cell>
          <cell r="C91" t="str">
            <v>Libertador General Bernardo O'Higgins</v>
          </cell>
          <cell r="D91" t="str">
            <v>Cachapoal</v>
          </cell>
          <cell r="E91" t="str">
            <v>Peumo</v>
          </cell>
        </row>
        <row r="92">
          <cell r="B92">
            <v>6113</v>
          </cell>
          <cell r="C92" t="str">
            <v>Libertador General Bernardo O'Higgins</v>
          </cell>
          <cell r="D92" t="str">
            <v>Cachapoal</v>
          </cell>
          <cell r="E92" t="str">
            <v>Pichidegua</v>
          </cell>
        </row>
        <row r="93">
          <cell r="B93">
            <v>6114</v>
          </cell>
          <cell r="C93" t="str">
            <v>Libertador General Bernardo O'Higgins</v>
          </cell>
          <cell r="D93" t="str">
            <v>Cachapoal</v>
          </cell>
          <cell r="E93" t="str">
            <v>Quinta de Tilcoco</v>
          </cell>
        </row>
        <row r="94">
          <cell r="B94">
            <v>6115</v>
          </cell>
          <cell r="C94" t="str">
            <v>Libertador General Bernardo O'Higgins</v>
          </cell>
          <cell r="D94" t="str">
            <v>Cachapoal</v>
          </cell>
          <cell r="E94" t="str">
            <v>Rengo</v>
          </cell>
        </row>
        <row r="95">
          <cell r="B95">
            <v>6116</v>
          </cell>
          <cell r="C95" t="str">
            <v>Libertador General Bernardo O'Higgins</v>
          </cell>
          <cell r="D95" t="str">
            <v>Cachapoal</v>
          </cell>
          <cell r="E95" t="str">
            <v>Requínoa</v>
          </cell>
        </row>
        <row r="96">
          <cell r="B96">
            <v>6117</v>
          </cell>
          <cell r="C96" t="str">
            <v>Libertador General Bernardo O'Higgins</v>
          </cell>
          <cell r="D96" t="str">
            <v>Cachapoal</v>
          </cell>
          <cell r="E96" t="str">
            <v>San Vicente</v>
          </cell>
        </row>
        <row r="97">
          <cell r="B97">
            <v>6201</v>
          </cell>
          <cell r="C97" t="str">
            <v>Libertador General Bernardo O'Higgins</v>
          </cell>
          <cell r="D97" t="str">
            <v>Cardenal Caro</v>
          </cell>
          <cell r="E97" t="str">
            <v>Pichilemu</v>
          </cell>
        </row>
        <row r="98">
          <cell r="B98">
            <v>6202</v>
          </cell>
          <cell r="C98" t="str">
            <v>Libertador General Bernardo O'Higgins</v>
          </cell>
          <cell r="D98" t="str">
            <v>Cardenal Caro</v>
          </cell>
          <cell r="E98" t="str">
            <v>La Estrella</v>
          </cell>
        </row>
        <row r="99">
          <cell r="B99">
            <v>6203</v>
          </cell>
          <cell r="C99" t="str">
            <v>Libertador General Bernardo O'Higgins</v>
          </cell>
          <cell r="D99" t="str">
            <v>Cardenal Caro</v>
          </cell>
          <cell r="E99" t="str">
            <v>Litueche</v>
          </cell>
        </row>
        <row r="100">
          <cell r="B100">
            <v>6204</v>
          </cell>
          <cell r="C100" t="str">
            <v>Libertador General Bernardo O'Higgins</v>
          </cell>
          <cell r="D100" t="str">
            <v>Cardenal Caro</v>
          </cell>
          <cell r="E100" t="str">
            <v>Marchihue</v>
          </cell>
        </row>
        <row r="101">
          <cell r="B101">
            <v>6205</v>
          </cell>
          <cell r="C101" t="str">
            <v>Libertador General Bernardo O'Higgins</v>
          </cell>
          <cell r="D101" t="str">
            <v>Cardenal Caro</v>
          </cell>
          <cell r="E101" t="str">
            <v>Navidad</v>
          </cell>
        </row>
        <row r="102">
          <cell r="B102">
            <v>6206</v>
          </cell>
          <cell r="C102" t="str">
            <v>Libertador General Bernardo O'Higgins</v>
          </cell>
          <cell r="D102" t="str">
            <v>Cardenal Caro</v>
          </cell>
          <cell r="E102" t="str">
            <v>Paredones</v>
          </cell>
        </row>
        <row r="103">
          <cell r="B103">
            <v>6301</v>
          </cell>
          <cell r="C103" t="str">
            <v>Libertador General Bernardo O'Higgins</v>
          </cell>
          <cell r="D103" t="str">
            <v>Colchagua</v>
          </cell>
          <cell r="E103" t="str">
            <v>San Fernando</v>
          </cell>
        </row>
        <row r="104">
          <cell r="B104">
            <v>6302</v>
          </cell>
          <cell r="C104" t="str">
            <v>Libertador General Bernardo O'Higgins</v>
          </cell>
          <cell r="D104" t="str">
            <v>Colchagua</v>
          </cell>
          <cell r="E104" t="str">
            <v>Chépica</v>
          </cell>
        </row>
        <row r="105">
          <cell r="B105">
            <v>6303</v>
          </cell>
          <cell r="C105" t="str">
            <v>Libertador General Bernardo O'Higgins</v>
          </cell>
          <cell r="D105" t="str">
            <v>Colchagua</v>
          </cell>
          <cell r="E105" t="str">
            <v>Chimbarongo</v>
          </cell>
        </row>
        <row r="106">
          <cell r="B106">
            <v>6304</v>
          </cell>
          <cell r="C106" t="str">
            <v>Libertador General Bernardo O'Higgins</v>
          </cell>
          <cell r="D106" t="str">
            <v>Colchagua</v>
          </cell>
          <cell r="E106" t="str">
            <v>Lolol</v>
          </cell>
        </row>
        <row r="107">
          <cell r="B107">
            <v>6305</v>
          </cell>
          <cell r="C107" t="str">
            <v>Libertador General Bernardo O'Higgins</v>
          </cell>
          <cell r="D107" t="str">
            <v>Colchagua</v>
          </cell>
          <cell r="E107" t="str">
            <v>Nancagua</v>
          </cell>
        </row>
        <row r="108">
          <cell r="B108">
            <v>6306</v>
          </cell>
          <cell r="C108" t="str">
            <v>Libertador General Bernardo O'Higgins</v>
          </cell>
          <cell r="D108" t="str">
            <v>Colchagua</v>
          </cell>
          <cell r="E108" t="str">
            <v>Palmilla</v>
          </cell>
        </row>
        <row r="109">
          <cell r="B109">
            <v>6307</v>
          </cell>
          <cell r="C109" t="str">
            <v>Libertador General Bernardo O'Higgins</v>
          </cell>
          <cell r="D109" t="str">
            <v>Colchagua</v>
          </cell>
          <cell r="E109" t="str">
            <v>Peralillo</v>
          </cell>
        </row>
        <row r="110">
          <cell r="B110">
            <v>6308</v>
          </cell>
          <cell r="C110" t="str">
            <v>Libertador General Bernardo O'Higgins</v>
          </cell>
          <cell r="D110" t="str">
            <v>Colchagua</v>
          </cell>
          <cell r="E110" t="str">
            <v>Placilla</v>
          </cell>
        </row>
        <row r="111">
          <cell r="B111">
            <v>6309</v>
          </cell>
          <cell r="C111" t="str">
            <v>Libertador General Bernardo O'Higgins</v>
          </cell>
          <cell r="D111" t="str">
            <v>Colchagua</v>
          </cell>
          <cell r="E111" t="str">
            <v>Pumanque</v>
          </cell>
        </row>
        <row r="112">
          <cell r="B112">
            <v>6310</v>
          </cell>
          <cell r="C112" t="str">
            <v>Libertador General Bernardo O'Higgins</v>
          </cell>
          <cell r="D112" t="str">
            <v>Colchagua</v>
          </cell>
          <cell r="E112" t="str">
            <v>Santa Cruz</v>
          </cell>
        </row>
        <row r="113">
          <cell r="B113">
            <v>7101</v>
          </cell>
          <cell r="C113" t="str">
            <v>Maule</v>
          </cell>
          <cell r="D113" t="str">
            <v>Talca</v>
          </cell>
          <cell r="E113" t="str">
            <v>Talca</v>
          </cell>
        </row>
        <row r="114">
          <cell r="B114">
            <v>7102</v>
          </cell>
          <cell r="C114" t="str">
            <v>Maule</v>
          </cell>
          <cell r="D114" t="str">
            <v>Talca</v>
          </cell>
          <cell r="E114" t="str">
            <v>Constitución</v>
          </cell>
        </row>
        <row r="115">
          <cell r="B115">
            <v>7103</v>
          </cell>
          <cell r="C115" t="str">
            <v>Maule</v>
          </cell>
          <cell r="D115" t="str">
            <v>Talca</v>
          </cell>
          <cell r="E115" t="str">
            <v>Curepto</v>
          </cell>
        </row>
        <row r="116">
          <cell r="B116">
            <v>7104</v>
          </cell>
          <cell r="C116" t="str">
            <v>Maule</v>
          </cell>
          <cell r="D116" t="str">
            <v>Talca</v>
          </cell>
          <cell r="E116" t="str">
            <v>Empedrado</v>
          </cell>
        </row>
        <row r="117">
          <cell r="B117">
            <v>7105</v>
          </cell>
          <cell r="C117" t="str">
            <v>Maule</v>
          </cell>
          <cell r="D117" t="str">
            <v>Talca</v>
          </cell>
          <cell r="E117" t="str">
            <v>Maule</v>
          </cell>
        </row>
        <row r="118">
          <cell r="B118">
            <v>7106</v>
          </cell>
          <cell r="C118" t="str">
            <v>Maule</v>
          </cell>
          <cell r="D118" t="str">
            <v>Talca</v>
          </cell>
          <cell r="E118" t="str">
            <v>Pelarco</v>
          </cell>
        </row>
        <row r="119">
          <cell r="B119">
            <v>7107</v>
          </cell>
          <cell r="C119" t="str">
            <v>Maule</v>
          </cell>
          <cell r="D119" t="str">
            <v>Talca</v>
          </cell>
          <cell r="E119" t="str">
            <v>Pencahue</v>
          </cell>
        </row>
        <row r="120">
          <cell r="B120">
            <v>7108</v>
          </cell>
          <cell r="C120" t="str">
            <v>Maule</v>
          </cell>
          <cell r="D120" t="str">
            <v>Talca</v>
          </cell>
          <cell r="E120" t="str">
            <v>Río Claro</v>
          </cell>
        </row>
        <row r="121">
          <cell r="B121">
            <v>7109</v>
          </cell>
          <cell r="C121" t="str">
            <v>Maule</v>
          </cell>
          <cell r="D121" t="str">
            <v>Talca</v>
          </cell>
          <cell r="E121" t="str">
            <v>San Clemente</v>
          </cell>
        </row>
        <row r="122">
          <cell r="B122">
            <v>7110</v>
          </cell>
          <cell r="C122" t="str">
            <v>Maule</v>
          </cell>
          <cell r="D122" t="str">
            <v>Talca</v>
          </cell>
          <cell r="E122" t="str">
            <v>San Rafael</v>
          </cell>
        </row>
        <row r="123">
          <cell r="B123">
            <v>7201</v>
          </cell>
          <cell r="C123" t="str">
            <v>Maule</v>
          </cell>
          <cell r="D123" t="str">
            <v>Cauquenes</v>
          </cell>
          <cell r="E123" t="str">
            <v>Cauquenes</v>
          </cell>
        </row>
        <row r="124">
          <cell r="B124">
            <v>7202</v>
          </cell>
          <cell r="C124" t="str">
            <v>Maule</v>
          </cell>
          <cell r="D124" t="str">
            <v>Cauquenes</v>
          </cell>
          <cell r="E124" t="str">
            <v>Chanco</v>
          </cell>
        </row>
        <row r="125">
          <cell r="B125">
            <v>7203</v>
          </cell>
          <cell r="C125" t="str">
            <v>Maule</v>
          </cell>
          <cell r="D125" t="str">
            <v>Cauquenes</v>
          </cell>
          <cell r="E125" t="str">
            <v>Pelluhue</v>
          </cell>
        </row>
        <row r="126">
          <cell r="B126">
            <v>7301</v>
          </cell>
          <cell r="C126" t="str">
            <v>Maule</v>
          </cell>
          <cell r="D126" t="str">
            <v>Curicó</v>
          </cell>
          <cell r="E126" t="str">
            <v>Curicó</v>
          </cell>
        </row>
        <row r="127">
          <cell r="B127">
            <v>7302</v>
          </cell>
          <cell r="C127" t="str">
            <v>Maule</v>
          </cell>
          <cell r="D127" t="str">
            <v>Curicó</v>
          </cell>
          <cell r="E127" t="str">
            <v>Hualañé</v>
          </cell>
        </row>
        <row r="128">
          <cell r="B128">
            <v>7303</v>
          </cell>
          <cell r="C128" t="str">
            <v>Maule</v>
          </cell>
          <cell r="D128" t="str">
            <v>Curicó</v>
          </cell>
          <cell r="E128" t="str">
            <v>Licantén</v>
          </cell>
        </row>
        <row r="129">
          <cell r="B129">
            <v>7304</v>
          </cell>
          <cell r="C129" t="str">
            <v>Maule</v>
          </cell>
          <cell r="D129" t="str">
            <v>Curicó</v>
          </cell>
          <cell r="E129" t="str">
            <v>Molina</v>
          </cell>
        </row>
        <row r="130">
          <cell r="B130">
            <v>7305</v>
          </cell>
          <cell r="C130" t="str">
            <v>Maule</v>
          </cell>
          <cell r="D130" t="str">
            <v>Curicó</v>
          </cell>
          <cell r="E130" t="str">
            <v>Rauco</v>
          </cell>
        </row>
        <row r="131">
          <cell r="B131">
            <v>7306</v>
          </cell>
          <cell r="C131" t="str">
            <v>Maule</v>
          </cell>
          <cell r="D131" t="str">
            <v>Curicó</v>
          </cell>
          <cell r="E131" t="str">
            <v>Romeral</v>
          </cell>
        </row>
        <row r="132">
          <cell r="B132">
            <v>7307</v>
          </cell>
          <cell r="C132" t="str">
            <v>Maule</v>
          </cell>
          <cell r="D132" t="str">
            <v>Curicó</v>
          </cell>
          <cell r="E132" t="str">
            <v>Sagrada Familia</v>
          </cell>
        </row>
        <row r="133">
          <cell r="B133">
            <v>7308</v>
          </cell>
          <cell r="C133" t="str">
            <v>Maule</v>
          </cell>
          <cell r="D133" t="str">
            <v>Curicó</v>
          </cell>
          <cell r="E133" t="str">
            <v>Teno</v>
          </cell>
        </row>
        <row r="134">
          <cell r="B134">
            <v>7309</v>
          </cell>
          <cell r="C134" t="str">
            <v>Maule</v>
          </cell>
          <cell r="D134" t="str">
            <v>Curicó</v>
          </cell>
          <cell r="E134" t="str">
            <v>Vichuquén</v>
          </cell>
        </row>
        <row r="135">
          <cell r="B135">
            <v>7401</v>
          </cell>
          <cell r="C135" t="str">
            <v>Maule</v>
          </cell>
          <cell r="D135" t="str">
            <v>Linares</v>
          </cell>
          <cell r="E135" t="str">
            <v>Linares</v>
          </cell>
        </row>
        <row r="136">
          <cell r="B136">
            <v>7402</v>
          </cell>
          <cell r="C136" t="str">
            <v>Maule</v>
          </cell>
          <cell r="D136" t="str">
            <v>Linares</v>
          </cell>
          <cell r="E136" t="str">
            <v>Colbún</v>
          </cell>
        </row>
        <row r="137">
          <cell r="B137">
            <v>7403</v>
          </cell>
          <cell r="C137" t="str">
            <v>Maule</v>
          </cell>
          <cell r="D137" t="str">
            <v>Linares</v>
          </cell>
          <cell r="E137" t="str">
            <v>Longaví</v>
          </cell>
        </row>
        <row r="138">
          <cell r="B138">
            <v>7404</v>
          </cell>
          <cell r="C138" t="str">
            <v>Maule</v>
          </cell>
          <cell r="D138" t="str">
            <v>Linares</v>
          </cell>
          <cell r="E138" t="str">
            <v>Parral</v>
          </cell>
        </row>
        <row r="139">
          <cell r="B139">
            <v>7405</v>
          </cell>
          <cell r="C139" t="str">
            <v>Maule</v>
          </cell>
          <cell r="D139" t="str">
            <v>Linares</v>
          </cell>
          <cell r="E139" t="str">
            <v>Retiro</v>
          </cell>
        </row>
        <row r="140">
          <cell r="B140">
            <v>7406</v>
          </cell>
          <cell r="C140" t="str">
            <v>Maule</v>
          </cell>
          <cell r="D140" t="str">
            <v>Linares</v>
          </cell>
          <cell r="E140" t="str">
            <v>San Javier</v>
          </cell>
        </row>
        <row r="141">
          <cell r="B141">
            <v>7407</v>
          </cell>
          <cell r="C141" t="str">
            <v>Maule</v>
          </cell>
          <cell r="D141" t="str">
            <v>Linares</v>
          </cell>
          <cell r="E141" t="str">
            <v>Villa Alegre</v>
          </cell>
        </row>
        <row r="142">
          <cell r="B142">
            <v>7408</v>
          </cell>
          <cell r="C142" t="str">
            <v>Maule</v>
          </cell>
          <cell r="D142" t="str">
            <v>Linares</v>
          </cell>
          <cell r="E142" t="str">
            <v>Yerbas Buenas</v>
          </cell>
        </row>
        <row r="143">
          <cell r="B143">
            <v>8101</v>
          </cell>
          <cell r="C143" t="str">
            <v>Biobío</v>
          </cell>
          <cell r="D143" t="str">
            <v>Concepción</v>
          </cell>
          <cell r="E143" t="str">
            <v>Concepción</v>
          </cell>
        </row>
        <row r="144">
          <cell r="B144">
            <v>8102</v>
          </cell>
          <cell r="C144" t="str">
            <v>Biobío</v>
          </cell>
          <cell r="D144" t="str">
            <v>Concepción</v>
          </cell>
          <cell r="E144" t="str">
            <v>Coronel</v>
          </cell>
        </row>
        <row r="145">
          <cell r="B145">
            <v>8103</v>
          </cell>
          <cell r="C145" t="str">
            <v>Biobío</v>
          </cell>
          <cell r="D145" t="str">
            <v>Concepción</v>
          </cell>
          <cell r="E145" t="str">
            <v>Chiguayante</v>
          </cell>
        </row>
        <row r="146">
          <cell r="B146">
            <v>8104</v>
          </cell>
          <cell r="C146" t="str">
            <v>Biobío</v>
          </cell>
          <cell r="D146" t="str">
            <v>Concepción</v>
          </cell>
          <cell r="E146" t="str">
            <v>Florida</v>
          </cell>
        </row>
        <row r="147">
          <cell r="B147">
            <v>8105</v>
          </cell>
          <cell r="C147" t="str">
            <v>Biobío</v>
          </cell>
          <cell r="D147" t="str">
            <v>Concepción</v>
          </cell>
          <cell r="E147" t="str">
            <v>Hualqui</v>
          </cell>
        </row>
        <row r="148">
          <cell r="B148">
            <v>8106</v>
          </cell>
          <cell r="C148" t="str">
            <v>Biobío</v>
          </cell>
          <cell r="D148" t="str">
            <v>Concepción</v>
          </cell>
          <cell r="E148" t="str">
            <v>Lota</v>
          </cell>
        </row>
        <row r="149">
          <cell r="B149">
            <v>8107</v>
          </cell>
          <cell r="C149" t="str">
            <v>Biobío</v>
          </cell>
          <cell r="D149" t="str">
            <v>Concepción</v>
          </cell>
          <cell r="E149" t="str">
            <v>Penco</v>
          </cell>
        </row>
        <row r="150">
          <cell r="B150">
            <v>8108</v>
          </cell>
          <cell r="C150" t="str">
            <v>Biobío</v>
          </cell>
          <cell r="D150" t="str">
            <v>Concepción</v>
          </cell>
          <cell r="E150" t="str">
            <v>San Pedro de la Paz</v>
          </cell>
        </row>
        <row r="151">
          <cell r="B151">
            <v>8109</v>
          </cell>
          <cell r="C151" t="str">
            <v>Biobío</v>
          </cell>
          <cell r="D151" t="str">
            <v>Concepción</v>
          </cell>
          <cell r="E151" t="str">
            <v>Santa Juana</v>
          </cell>
        </row>
        <row r="152">
          <cell r="B152">
            <v>8110</v>
          </cell>
          <cell r="C152" t="str">
            <v>Biobío</v>
          </cell>
          <cell r="D152" t="str">
            <v>Concepción</v>
          </cell>
          <cell r="E152" t="str">
            <v>Talcahuano</v>
          </cell>
        </row>
        <row r="153">
          <cell r="B153">
            <v>8111</v>
          </cell>
          <cell r="C153" t="str">
            <v>Biobío</v>
          </cell>
          <cell r="D153" t="str">
            <v>Concepción</v>
          </cell>
          <cell r="E153" t="str">
            <v>Tomé</v>
          </cell>
        </row>
        <row r="154">
          <cell r="B154">
            <v>8112</v>
          </cell>
          <cell r="C154" t="str">
            <v>Biobío</v>
          </cell>
          <cell r="D154" t="str">
            <v>Concepción</v>
          </cell>
          <cell r="E154" t="str">
            <v>Hualpén</v>
          </cell>
        </row>
        <row r="155">
          <cell r="B155">
            <v>8201</v>
          </cell>
          <cell r="C155" t="str">
            <v>Biobío</v>
          </cell>
          <cell r="D155" t="str">
            <v>Arauco</v>
          </cell>
          <cell r="E155" t="str">
            <v>Lebu</v>
          </cell>
        </row>
        <row r="156">
          <cell r="B156">
            <v>8202</v>
          </cell>
          <cell r="C156" t="str">
            <v>Biobío</v>
          </cell>
          <cell r="D156" t="str">
            <v>Arauco</v>
          </cell>
          <cell r="E156" t="str">
            <v>Arauco</v>
          </cell>
        </row>
        <row r="157">
          <cell r="B157">
            <v>8203</v>
          </cell>
          <cell r="C157" t="str">
            <v>Biobío</v>
          </cell>
          <cell r="D157" t="str">
            <v>Arauco</v>
          </cell>
          <cell r="E157" t="str">
            <v>Cañete</v>
          </cell>
        </row>
        <row r="158">
          <cell r="B158">
            <v>8204</v>
          </cell>
          <cell r="C158" t="str">
            <v>Biobío</v>
          </cell>
          <cell r="D158" t="str">
            <v>Arauco</v>
          </cell>
          <cell r="E158" t="str">
            <v>Contulmo</v>
          </cell>
        </row>
        <row r="159">
          <cell r="B159">
            <v>8205</v>
          </cell>
          <cell r="C159" t="str">
            <v>Biobío</v>
          </cell>
          <cell r="D159" t="str">
            <v>Arauco</v>
          </cell>
          <cell r="E159" t="str">
            <v>Curanilahue</v>
          </cell>
        </row>
        <row r="160">
          <cell r="B160">
            <v>8206</v>
          </cell>
          <cell r="C160" t="str">
            <v>Biobío</v>
          </cell>
          <cell r="D160" t="str">
            <v>Arauco</v>
          </cell>
          <cell r="E160" t="str">
            <v>Los Alamos</v>
          </cell>
        </row>
        <row r="161">
          <cell r="B161">
            <v>8207</v>
          </cell>
          <cell r="C161" t="str">
            <v>Biobío</v>
          </cell>
          <cell r="D161" t="str">
            <v>Arauco</v>
          </cell>
          <cell r="E161" t="str">
            <v>Tirúa</v>
          </cell>
        </row>
        <row r="162">
          <cell r="B162">
            <v>8301</v>
          </cell>
          <cell r="C162" t="str">
            <v>Biobío</v>
          </cell>
          <cell r="D162" t="str">
            <v>Biobío</v>
          </cell>
          <cell r="E162" t="str">
            <v>Los Angeles</v>
          </cell>
        </row>
        <row r="163">
          <cell r="B163">
            <v>8302</v>
          </cell>
          <cell r="C163" t="str">
            <v>Biobío</v>
          </cell>
          <cell r="D163" t="str">
            <v>Biobío</v>
          </cell>
          <cell r="E163" t="str">
            <v>Antuco</v>
          </cell>
        </row>
        <row r="164">
          <cell r="B164">
            <v>8303</v>
          </cell>
          <cell r="C164" t="str">
            <v>Biobío</v>
          </cell>
          <cell r="D164" t="str">
            <v>Biobío</v>
          </cell>
          <cell r="E164" t="str">
            <v>Cabrero</v>
          </cell>
        </row>
        <row r="165">
          <cell r="B165">
            <v>8304</v>
          </cell>
          <cell r="C165" t="str">
            <v>Biobío</v>
          </cell>
          <cell r="D165" t="str">
            <v>Biobío</v>
          </cell>
          <cell r="E165" t="str">
            <v>Laja</v>
          </cell>
        </row>
        <row r="166">
          <cell r="B166">
            <v>8305</v>
          </cell>
          <cell r="C166" t="str">
            <v>Biobío</v>
          </cell>
          <cell r="D166" t="str">
            <v>Biobío</v>
          </cell>
          <cell r="E166" t="str">
            <v>Mulchén</v>
          </cell>
        </row>
        <row r="167">
          <cell r="B167">
            <v>8306</v>
          </cell>
          <cell r="C167" t="str">
            <v>Biobío</v>
          </cell>
          <cell r="D167" t="str">
            <v>Biobío</v>
          </cell>
          <cell r="E167" t="str">
            <v>Nacimiento</v>
          </cell>
        </row>
        <row r="168">
          <cell r="B168">
            <v>8307</v>
          </cell>
          <cell r="C168" t="str">
            <v>Biobío</v>
          </cell>
          <cell r="D168" t="str">
            <v>Biobío</v>
          </cell>
          <cell r="E168" t="str">
            <v>Negrete</v>
          </cell>
        </row>
        <row r="169">
          <cell r="B169">
            <v>8308</v>
          </cell>
          <cell r="C169" t="str">
            <v>Biobío</v>
          </cell>
          <cell r="D169" t="str">
            <v>Biobío</v>
          </cell>
          <cell r="E169" t="str">
            <v>Quilaco</v>
          </cell>
        </row>
        <row r="170">
          <cell r="B170">
            <v>8309</v>
          </cell>
          <cell r="C170" t="str">
            <v>Biobío</v>
          </cell>
          <cell r="D170" t="str">
            <v>Biobío</v>
          </cell>
          <cell r="E170" t="str">
            <v>Quilleco</v>
          </cell>
        </row>
        <row r="171">
          <cell r="B171">
            <v>8310</v>
          </cell>
          <cell r="C171" t="str">
            <v>Biobío</v>
          </cell>
          <cell r="D171" t="str">
            <v>Biobío</v>
          </cell>
          <cell r="E171" t="str">
            <v>San Rosendo</v>
          </cell>
        </row>
        <row r="172">
          <cell r="B172">
            <v>8311</v>
          </cell>
          <cell r="C172" t="str">
            <v>Biobío</v>
          </cell>
          <cell r="D172" t="str">
            <v>Biobío</v>
          </cell>
          <cell r="E172" t="str">
            <v>Santa Bárbara</v>
          </cell>
        </row>
        <row r="173">
          <cell r="B173">
            <v>8312</v>
          </cell>
          <cell r="C173" t="str">
            <v>Biobío</v>
          </cell>
          <cell r="D173" t="str">
            <v>Biobío</v>
          </cell>
          <cell r="E173" t="str">
            <v>Tucapel</v>
          </cell>
        </row>
        <row r="174">
          <cell r="B174">
            <v>8313</v>
          </cell>
          <cell r="C174" t="str">
            <v>Biobío</v>
          </cell>
          <cell r="D174" t="str">
            <v>Biobío</v>
          </cell>
          <cell r="E174" t="str">
            <v>Yumbel</v>
          </cell>
        </row>
        <row r="175">
          <cell r="B175">
            <v>8314</v>
          </cell>
          <cell r="C175" t="str">
            <v>Biobío</v>
          </cell>
          <cell r="D175" t="str">
            <v>Biobío</v>
          </cell>
          <cell r="E175" t="str">
            <v>Alto Biobío</v>
          </cell>
        </row>
        <row r="176">
          <cell r="B176">
            <v>9101</v>
          </cell>
          <cell r="C176" t="str">
            <v>La Araucanía</v>
          </cell>
          <cell r="D176" t="str">
            <v>Cautín</v>
          </cell>
          <cell r="E176" t="str">
            <v>Temuco</v>
          </cell>
        </row>
        <row r="177">
          <cell r="B177">
            <v>9102</v>
          </cell>
          <cell r="C177" t="str">
            <v>La Araucanía</v>
          </cell>
          <cell r="D177" t="str">
            <v>Cautín</v>
          </cell>
          <cell r="E177" t="str">
            <v>Carahue</v>
          </cell>
        </row>
        <row r="178">
          <cell r="B178">
            <v>9103</v>
          </cell>
          <cell r="C178" t="str">
            <v>La Araucanía</v>
          </cell>
          <cell r="D178" t="str">
            <v>Cautín</v>
          </cell>
          <cell r="E178" t="str">
            <v>Cunco</v>
          </cell>
        </row>
        <row r="179">
          <cell r="B179">
            <v>9104</v>
          </cell>
          <cell r="C179" t="str">
            <v>La Araucanía</v>
          </cell>
          <cell r="D179" t="str">
            <v>Cautín</v>
          </cell>
          <cell r="E179" t="str">
            <v>Curarrehue</v>
          </cell>
        </row>
        <row r="180">
          <cell r="B180">
            <v>9105</v>
          </cell>
          <cell r="C180" t="str">
            <v>La Araucanía</v>
          </cell>
          <cell r="D180" t="str">
            <v>Cautín</v>
          </cell>
          <cell r="E180" t="str">
            <v>Freire</v>
          </cell>
        </row>
        <row r="181">
          <cell r="B181">
            <v>9106</v>
          </cell>
          <cell r="C181" t="str">
            <v>La Araucanía</v>
          </cell>
          <cell r="D181" t="str">
            <v>Cautín</v>
          </cell>
          <cell r="E181" t="str">
            <v>Galvarino</v>
          </cell>
        </row>
        <row r="182">
          <cell r="B182">
            <v>9107</v>
          </cell>
          <cell r="C182" t="str">
            <v>La Araucanía</v>
          </cell>
          <cell r="D182" t="str">
            <v>Cautín</v>
          </cell>
          <cell r="E182" t="str">
            <v>Gorbea</v>
          </cell>
        </row>
        <row r="183">
          <cell r="B183">
            <v>9108</v>
          </cell>
          <cell r="C183" t="str">
            <v>La Araucanía</v>
          </cell>
          <cell r="D183" t="str">
            <v>Cautín</v>
          </cell>
          <cell r="E183" t="str">
            <v>Lautaro</v>
          </cell>
        </row>
        <row r="184">
          <cell r="B184">
            <v>9109</v>
          </cell>
          <cell r="C184" t="str">
            <v>La Araucanía</v>
          </cell>
          <cell r="D184" t="str">
            <v>Cautín</v>
          </cell>
          <cell r="E184" t="str">
            <v>Loncoche</v>
          </cell>
        </row>
        <row r="185">
          <cell r="B185">
            <v>9110</v>
          </cell>
          <cell r="C185" t="str">
            <v>La Araucanía</v>
          </cell>
          <cell r="D185" t="str">
            <v>Cautín</v>
          </cell>
          <cell r="E185" t="str">
            <v>Melipeuco</v>
          </cell>
        </row>
        <row r="186">
          <cell r="B186">
            <v>9111</v>
          </cell>
          <cell r="C186" t="str">
            <v>La Araucanía</v>
          </cell>
          <cell r="D186" t="str">
            <v>Cautín</v>
          </cell>
          <cell r="E186" t="str">
            <v>Nueva Imperial</v>
          </cell>
        </row>
        <row r="187">
          <cell r="B187">
            <v>9112</v>
          </cell>
          <cell r="C187" t="str">
            <v>La Araucanía</v>
          </cell>
          <cell r="D187" t="str">
            <v>Cautín</v>
          </cell>
          <cell r="E187" t="str">
            <v>Padre Las Casas</v>
          </cell>
        </row>
        <row r="188">
          <cell r="B188">
            <v>9113</v>
          </cell>
          <cell r="C188" t="str">
            <v>La Araucanía</v>
          </cell>
          <cell r="D188" t="str">
            <v>Cautín</v>
          </cell>
          <cell r="E188" t="str">
            <v>Perquenco</v>
          </cell>
        </row>
        <row r="189">
          <cell r="B189">
            <v>9114</v>
          </cell>
          <cell r="C189" t="str">
            <v>La Araucanía</v>
          </cell>
          <cell r="D189" t="str">
            <v>Cautín</v>
          </cell>
          <cell r="E189" t="str">
            <v>Pitrufquén</v>
          </cell>
        </row>
        <row r="190">
          <cell r="B190">
            <v>9115</v>
          </cell>
          <cell r="C190" t="str">
            <v>La Araucanía</v>
          </cell>
          <cell r="D190" t="str">
            <v>Cautín</v>
          </cell>
          <cell r="E190" t="str">
            <v>Pucón</v>
          </cell>
        </row>
        <row r="191">
          <cell r="B191">
            <v>9116</v>
          </cell>
          <cell r="C191" t="str">
            <v>La Araucanía</v>
          </cell>
          <cell r="D191" t="str">
            <v>Cautín</v>
          </cell>
          <cell r="E191" t="str">
            <v>Saavedra</v>
          </cell>
        </row>
        <row r="192">
          <cell r="B192">
            <v>9117</v>
          </cell>
          <cell r="C192" t="str">
            <v>La Araucanía</v>
          </cell>
          <cell r="D192" t="str">
            <v>Cautín</v>
          </cell>
          <cell r="E192" t="str">
            <v>Teodoro Schmidt</v>
          </cell>
        </row>
        <row r="193">
          <cell r="B193">
            <v>9118</v>
          </cell>
          <cell r="C193" t="str">
            <v>La Araucanía</v>
          </cell>
          <cell r="D193" t="str">
            <v>Cautín</v>
          </cell>
          <cell r="E193" t="str">
            <v>Toltén</v>
          </cell>
        </row>
        <row r="194">
          <cell r="B194">
            <v>9119</v>
          </cell>
          <cell r="C194" t="str">
            <v>La Araucanía</v>
          </cell>
          <cell r="D194" t="str">
            <v>Cautín</v>
          </cell>
          <cell r="E194" t="str">
            <v>Vilcún</v>
          </cell>
        </row>
        <row r="195">
          <cell r="B195">
            <v>9120</v>
          </cell>
          <cell r="C195" t="str">
            <v>La Araucanía</v>
          </cell>
          <cell r="D195" t="str">
            <v>Cautín</v>
          </cell>
          <cell r="E195" t="str">
            <v>Villarrica</v>
          </cell>
        </row>
        <row r="196">
          <cell r="B196">
            <v>9121</v>
          </cell>
          <cell r="C196" t="str">
            <v>La Araucanía</v>
          </cell>
          <cell r="D196" t="str">
            <v>Cautín</v>
          </cell>
          <cell r="E196" t="str">
            <v>Cholchol</v>
          </cell>
        </row>
        <row r="197">
          <cell r="B197">
            <v>9201</v>
          </cell>
          <cell r="C197" t="str">
            <v>La Araucanía</v>
          </cell>
          <cell r="D197" t="str">
            <v>Malleco</v>
          </cell>
          <cell r="E197" t="str">
            <v>Angol</v>
          </cell>
        </row>
        <row r="198">
          <cell r="B198">
            <v>9202</v>
          </cell>
          <cell r="C198" t="str">
            <v>La Araucanía</v>
          </cell>
          <cell r="D198" t="str">
            <v>Malleco</v>
          </cell>
          <cell r="E198" t="str">
            <v>Collipulli</v>
          </cell>
        </row>
        <row r="199">
          <cell r="B199">
            <v>9203</v>
          </cell>
          <cell r="C199" t="str">
            <v>La Araucanía</v>
          </cell>
          <cell r="D199" t="str">
            <v>Malleco</v>
          </cell>
          <cell r="E199" t="str">
            <v>Curacautín</v>
          </cell>
        </row>
        <row r="200">
          <cell r="B200">
            <v>9204</v>
          </cell>
          <cell r="C200" t="str">
            <v>La Araucanía</v>
          </cell>
          <cell r="D200" t="str">
            <v>Malleco</v>
          </cell>
          <cell r="E200" t="str">
            <v>Ercilla</v>
          </cell>
        </row>
        <row r="201">
          <cell r="B201">
            <v>9205</v>
          </cell>
          <cell r="C201" t="str">
            <v>La Araucanía</v>
          </cell>
          <cell r="D201" t="str">
            <v>Malleco</v>
          </cell>
          <cell r="E201" t="str">
            <v>Lonquimay</v>
          </cell>
        </row>
        <row r="202">
          <cell r="B202">
            <v>9206</v>
          </cell>
          <cell r="C202" t="str">
            <v>La Araucanía</v>
          </cell>
          <cell r="D202" t="str">
            <v>Malleco</v>
          </cell>
          <cell r="E202" t="str">
            <v>Los Sauces</v>
          </cell>
        </row>
        <row r="203">
          <cell r="B203">
            <v>9207</v>
          </cell>
          <cell r="C203" t="str">
            <v>La Araucanía</v>
          </cell>
          <cell r="D203" t="str">
            <v>Malleco</v>
          </cell>
          <cell r="E203" t="str">
            <v>Lumaco</v>
          </cell>
        </row>
        <row r="204">
          <cell r="B204">
            <v>9208</v>
          </cell>
          <cell r="C204" t="str">
            <v>La Araucanía</v>
          </cell>
          <cell r="D204" t="str">
            <v>Malleco</v>
          </cell>
          <cell r="E204" t="str">
            <v>Purén</v>
          </cell>
        </row>
        <row r="205">
          <cell r="B205">
            <v>9209</v>
          </cell>
          <cell r="C205" t="str">
            <v>La Araucanía</v>
          </cell>
          <cell r="D205" t="str">
            <v>Malleco</v>
          </cell>
          <cell r="E205" t="str">
            <v>Renaico</v>
          </cell>
        </row>
        <row r="206">
          <cell r="B206">
            <v>9210</v>
          </cell>
          <cell r="C206" t="str">
            <v>La Araucanía</v>
          </cell>
          <cell r="D206" t="str">
            <v>Malleco</v>
          </cell>
          <cell r="E206" t="str">
            <v>Traiguén</v>
          </cell>
        </row>
        <row r="207">
          <cell r="B207">
            <v>9211</v>
          </cell>
          <cell r="C207" t="str">
            <v>La Araucanía</v>
          </cell>
          <cell r="D207" t="str">
            <v>Malleco</v>
          </cell>
          <cell r="E207" t="str">
            <v>Victoria</v>
          </cell>
        </row>
        <row r="208">
          <cell r="B208">
            <v>10101</v>
          </cell>
          <cell r="C208" t="str">
            <v>Los Lagos</v>
          </cell>
          <cell r="D208" t="str">
            <v>Llanquihue</v>
          </cell>
          <cell r="E208" t="str">
            <v>Puerto Montt</v>
          </cell>
        </row>
        <row r="209">
          <cell r="B209">
            <v>10102</v>
          </cell>
          <cell r="C209" t="str">
            <v>Los Lagos</v>
          </cell>
          <cell r="D209" t="str">
            <v>Llanquihue</v>
          </cell>
          <cell r="E209" t="str">
            <v>Calbuco</v>
          </cell>
        </row>
        <row r="210">
          <cell r="B210">
            <v>10103</v>
          </cell>
          <cell r="C210" t="str">
            <v>Los Lagos</v>
          </cell>
          <cell r="D210" t="str">
            <v>Llanquihue</v>
          </cell>
          <cell r="E210" t="str">
            <v>Cochamó</v>
          </cell>
        </row>
        <row r="211">
          <cell r="B211">
            <v>10104</v>
          </cell>
          <cell r="C211" t="str">
            <v>Los Lagos</v>
          </cell>
          <cell r="D211" t="str">
            <v>Llanquihue</v>
          </cell>
          <cell r="E211" t="str">
            <v>Fresia</v>
          </cell>
        </row>
        <row r="212">
          <cell r="B212">
            <v>10105</v>
          </cell>
          <cell r="C212" t="str">
            <v>Los Lagos</v>
          </cell>
          <cell r="D212" t="str">
            <v>Llanquihue</v>
          </cell>
          <cell r="E212" t="str">
            <v>Frutillar</v>
          </cell>
        </row>
        <row r="213">
          <cell r="B213">
            <v>10106</v>
          </cell>
          <cell r="C213" t="str">
            <v>Los Lagos</v>
          </cell>
          <cell r="D213" t="str">
            <v>Llanquihue</v>
          </cell>
          <cell r="E213" t="str">
            <v>Los Muermos</v>
          </cell>
        </row>
        <row r="214">
          <cell r="B214">
            <v>10107</v>
          </cell>
          <cell r="C214" t="str">
            <v>Los Lagos</v>
          </cell>
          <cell r="D214" t="str">
            <v>Llanquihue</v>
          </cell>
          <cell r="E214" t="str">
            <v>Llanquihue</v>
          </cell>
        </row>
        <row r="215">
          <cell r="B215">
            <v>10108</v>
          </cell>
          <cell r="C215" t="str">
            <v>Los Lagos</v>
          </cell>
          <cell r="D215" t="str">
            <v>Llanquihue</v>
          </cell>
          <cell r="E215" t="str">
            <v>Maullín</v>
          </cell>
        </row>
        <row r="216">
          <cell r="B216">
            <v>10109</v>
          </cell>
          <cell r="C216" t="str">
            <v>Los Lagos</v>
          </cell>
          <cell r="D216" t="str">
            <v>Llanquihue</v>
          </cell>
          <cell r="E216" t="str">
            <v>Puerto Varas</v>
          </cell>
        </row>
        <row r="217">
          <cell r="B217">
            <v>10201</v>
          </cell>
          <cell r="C217" t="str">
            <v>Los Lagos</v>
          </cell>
          <cell r="D217" t="str">
            <v>Chiloé</v>
          </cell>
          <cell r="E217" t="str">
            <v>Castro</v>
          </cell>
        </row>
        <row r="218">
          <cell r="B218">
            <v>10202</v>
          </cell>
          <cell r="C218" t="str">
            <v>Los Lagos</v>
          </cell>
          <cell r="D218" t="str">
            <v>Chiloé</v>
          </cell>
          <cell r="E218" t="str">
            <v>Ancud</v>
          </cell>
        </row>
        <row r="219">
          <cell r="B219">
            <v>10203</v>
          </cell>
          <cell r="C219" t="str">
            <v>Los Lagos</v>
          </cell>
          <cell r="D219" t="str">
            <v>Chiloé</v>
          </cell>
          <cell r="E219" t="str">
            <v>Chonchi</v>
          </cell>
        </row>
        <row r="220">
          <cell r="B220">
            <v>10204</v>
          </cell>
          <cell r="C220" t="str">
            <v>Los Lagos</v>
          </cell>
          <cell r="D220" t="str">
            <v>Chiloé</v>
          </cell>
          <cell r="E220" t="str">
            <v>Curaco de Vélez</v>
          </cell>
        </row>
        <row r="221">
          <cell r="B221">
            <v>10205</v>
          </cell>
          <cell r="C221" t="str">
            <v>Los Lagos</v>
          </cell>
          <cell r="D221" t="str">
            <v>Chiloé</v>
          </cell>
          <cell r="E221" t="str">
            <v>Dalcahue</v>
          </cell>
        </row>
        <row r="222">
          <cell r="B222">
            <v>10206</v>
          </cell>
          <cell r="C222" t="str">
            <v>Los Lagos</v>
          </cell>
          <cell r="D222" t="str">
            <v>Chiloé</v>
          </cell>
          <cell r="E222" t="str">
            <v>Puqueldón</v>
          </cell>
        </row>
        <row r="223">
          <cell r="B223">
            <v>10207</v>
          </cell>
          <cell r="C223" t="str">
            <v>Los Lagos</v>
          </cell>
          <cell r="D223" t="str">
            <v>Chiloé</v>
          </cell>
          <cell r="E223" t="str">
            <v>Queilén</v>
          </cell>
        </row>
        <row r="224">
          <cell r="B224">
            <v>10208</v>
          </cell>
          <cell r="C224" t="str">
            <v>Los Lagos</v>
          </cell>
          <cell r="D224" t="str">
            <v>Chiloé</v>
          </cell>
          <cell r="E224" t="str">
            <v>Quellón</v>
          </cell>
        </row>
        <row r="225">
          <cell r="B225">
            <v>10209</v>
          </cell>
          <cell r="C225" t="str">
            <v>Los Lagos</v>
          </cell>
          <cell r="D225" t="str">
            <v>Chiloé</v>
          </cell>
          <cell r="E225" t="str">
            <v>Quemchi</v>
          </cell>
        </row>
        <row r="226">
          <cell r="B226">
            <v>10210</v>
          </cell>
          <cell r="C226" t="str">
            <v>Los Lagos</v>
          </cell>
          <cell r="D226" t="str">
            <v>Chiloé</v>
          </cell>
          <cell r="E226" t="str">
            <v>Quinchao</v>
          </cell>
        </row>
        <row r="227">
          <cell r="B227">
            <v>10301</v>
          </cell>
          <cell r="C227" t="str">
            <v>Los Lagos</v>
          </cell>
          <cell r="D227" t="str">
            <v>Osorno</v>
          </cell>
          <cell r="E227" t="str">
            <v>Osorno</v>
          </cell>
        </row>
        <row r="228">
          <cell r="B228">
            <v>10302</v>
          </cell>
          <cell r="C228" t="str">
            <v>Los Lagos</v>
          </cell>
          <cell r="D228" t="str">
            <v>Osorno</v>
          </cell>
          <cell r="E228" t="str">
            <v>Puerto Octay</v>
          </cell>
        </row>
        <row r="229">
          <cell r="B229">
            <v>10303</v>
          </cell>
          <cell r="C229" t="str">
            <v>Los Lagos</v>
          </cell>
          <cell r="D229" t="str">
            <v>Osorno</v>
          </cell>
          <cell r="E229" t="str">
            <v>Purranque</v>
          </cell>
        </row>
        <row r="230">
          <cell r="B230">
            <v>10304</v>
          </cell>
          <cell r="C230" t="str">
            <v>Los Lagos</v>
          </cell>
          <cell r="D230" t="str">
            <v>Osorno</v>
          </cell>
          <cell r="E230" t="str">
            <v>Puyehue</v>
          </cell>
        </row>
        <row r="231">
          <cell r="B231">
            <v>10305</v>
          </cell>
          <cell r="C231" t="str">
            <v>Los Lagos</v>
          </cell>
          <cell r="D231" t="str">
            <v>Osorno</v>
          </cell>
          <cell r="E231" t="str">
            <v>Río Negro</v>
          </cell>
        </row>
        <row r="232">
          <cell r="B232">
            <v>10306</v>
          </cell>
          <cell r="C232" t="str">
            <v>Los Lagos</v>
          </cell>
          <cell r="D232" t="str">
            <v>Osorno</v>
          </cell>
          <cell r="E232" t="str">
            <v>San Juan de la Costa</v>
          </cell>
        </row>
        <row r="233">
          <cell r="B233">
            <v>10307</v>
          </cell>
          <cell r="C233" t="str">
            <v>Los Lagos</v>
          </cell>
          <cell r="D233" t="str">
            <v>Osorno</v>
          </cell>
          <cell r="E233" t="str">
            <v>San Pablo</v>
          </cell>
        </row>
        <row r="234">
          <cell r="B234">
            <v>10401</v>
          </cell>
          <cell r="C234" t="str">
            <v>Los Lagos</v>
          </cell>
          <cell r="D234" t="str">
            <v>Palena</v>
          </cell>
          <cell r="E234" t="str">
            <v>Chaitén</v>
          </cell>
        </row>
        <row r="235">
          <cell r="B235">
            <v>10402</v>
          </cell>
          <cell r="C235" t="str">
            <v>Los Lagos</v>
          </cell>
          <cell r="D235" t="str">
            <v>Palena</v>
          </cell>
          <cell r="E235" t="str">
            <v>Futaleufú</v>
          </cell>
        </row>
        <row r="236">
          <cell r="B236">
            <v>10403</v>
          </cell>
          <cell r="C236" t="str">
            <v>Los Lagos</v>
          </cell>
          <cell r="D236" t="str">
            <v>Palena</v>
          </cell>
          <cell r="E236" t="str">
            <v>Hualaihué</v>
          </cell>
        </row>
        <row r="237">
          <cell r="B237">
            <v>10404</v>
          </cell>
          <cell r="C237" t="str">
            <v>Los Lagos</v>
          </cell>
          <cell r="D237" t="str">
            <v>Palena</v>
          </cell>
          <cell r="E237" t="str">
            <v>Palena</v>
          </cell>
        </row>
        <row r="238">
          <cell r="B238">
            <v>11101</v>
          </cell>
          <cell r="C238" t="str">
            <v>Aysén del General Carlos Ibáñez del Campo</v>
          </cell>
          <cell r="D238" t="str">
            <v>Coihaique</v>
          </cell>
          <cell r="E238" t="str">
            <v>Coihaique</v>
          </cell>
        </row>
        <row r="239">
          <cell r="B239">
            <v>11102</v>
          </cell>
          <cell r="C239" t="str">
            <v>Aysén del General Carlos Ibáñez del Campo</v>
          </cell>
          <cell r="D239" t="str">
            <v>Coihaique</v>
          </cell>
          <cell r="E239" t="str">
            <v>Lago Verde</v>
          </cell>
        </row>
        <row r="240">
          <cell r="B240">
            <v>11201</v>
          </cell>
          <cell r="C240" t="str">
            <v>Aysén del General Carlos Ibáñez del Campo</v>
          </cell>
          <cell r="D240" t="str">
            <v>Aisén</v>
          </cell>
          <cell r="E240" t="str">
            <v>Aisén</v>
          </cell>
        </row>
        <row r="241">
          <cell r="B241">
            <v>11202</v>
          </cell>
          <cell r="C241" t="str">
            <v>Aysén del General Carlos Ibáñez del Campo</v>
          </cell>
          <cell r="D241" t="str">
            <v>Aisén</v>
          </cell>
          <cell r="E241" t="str">
            <v>Cisnes</v>
          </cell>
        </row>
        <row r="242">
          <cell r="B242">
            <v>11203</v>
          </cell>
          <cell r="C242" t="str">
            <v>Aysén del General Carlos Ibáñez del Campo</v>
          </cell>
          <cell r="D242" t="str">
            <v>Aisén</v>
          </cell>
          <cell r="E242" t="str">
            <v>Guaitecas</v>
          </cell>
        </row>
        <row r="243">
          <cell r="B243">
            <v>11301</v>
          </cell>
          <cell r="C243" t="str">
            <v>Aysén del General Carlos Ibáñez del Campo</v>
          </cell>
          <cell r="D243" t="str">
            <v>Capitán Prat</v>
          </cell>
          <cell r="E243" t="str">
            <v>Cochrane</v>
          </cell>
        </row>
        <row r="244">
          <cell r="B244">
            <v>11302</v>
          </cell>
          <cell r="C244" t="str">
            <v>Aysén del General Carlos Ibáñez del Campo</v>
          </cell>
          <cell r="D244" t="str">
            <v>Capitán Prat</v>
          </cell>
          <cell r="E244" t="str">
            <v>O'Higgins</v>
          </cell>
        </row>
        <row r="245">
          <cell r="B245">
            <v>11303</v>
          </cell>
          <cell r="C245" t="str">
            <v>Aysén del General Carlos Ibáñez del Campo</v>
          </cell>
          <cell r="D245" t="str">
            <v>Capitán Prat</v>
          </cell>
          <cell r="E245" t="str">
            <v>Tortel</v>
          </cell>
        </row>
        <row r="246">
          <cell r="B246">
            <v>11401</v>
          </cell>
          <cell r="C246" t="str">
            <v>Aysén del General Carlos Ibáñez del Campo</v>
          </cell>
          <cell r="D246" t="str">
            <v>General Carrera</v>
          </cell>
          <cell r="E246" t="str">
            <v>Chile Chico</v>
          </cell>
        </row>
        <row r="247">
          <cell r="B247">
            <v>11402</v>
          </cell>
          <cell r="C247" t="str">
            <v>Aysén del General Carlos Ibáñez del Campo</v>
          </cell>
          <cell r="D247" t="str">
            <v>General Carrera</v>
          </cell>
          <cell r="E247" t="str">
            <v>Río Ibáñez</v>
          </cell>
        </row>
        <row r="248">
          <cell r="B248">
            <v>12101</v>
          </cell>
          <cell r="C248" t="str">
            <v>Magallanes y de la Antártica Chilena</v>
          </cell>
          <cell r="D248" t="str">
            <v>Magallanes</v>
          </cell>
          <cell r="E248" t="str">
            <v>Punta Arenas</v>
          </cell>
        </row>
        <row r="249">
          <cell r="B249">
            <v>12102</v>
          </cell>
          <cell r="C249" t="str">
            <v>Magallanes y de la Antártica Chilena</v>
          </cell>
          <cell r="D249" t="str">
            <v>Magallanes</v>
          </cell>
          <cell r="E249" t="str">
            <v>Laguna Blanca</v>
          </cell>
        </row>
        <row r="250">
          <cell r="B250">
            <v>12103</v>
          </cell>
          <cell r="C250" t="str">
            <v>Magallanes y de la Antártica Chilena</v>
          </cell>
          <cell r="D250" t="str">
            <v>Magallanes</v>
          </cell>
          <cell r="E250" t="str">
            <v>Río Verde</v>
          </cell>
        </row>
        <row r="251">
          <cell r="B251">
            <v>12104</v>
          </cell>
          <cell r="C251" t="str">
            <v>Magallanes y de la Antártica Chilena</v>
          </cell>
          <cell r="D251" t="str">
            <v>Magallanes</v>
          </cell>
          <cell r="E251" t="str">
            <v>San Gregorio</v>
          </cell>
        </row>
        <row r="252">
          <cell r="B252">
            <v>12201</v>
          </cell>
          <cell r="C252" t="str">
            <v>Magallanes y de la Antártica Chilena</v>
          </cell>
          <cell r="D252" t="str">
            <v>Antártica Chilena</v>
          </cell>
          <cell r="E252" t="str">
            <v>Cabo de Hornos</v>
          </cell>
        </row>
        <row r="253">
          <cell r="B253">
            <v>12202</v>
          </cell>
          <cell r="C253" t="str">
            <v>Magallanes y de la Antártica Chilena</v>
          </cell>
          <cell r="D253" t="str">
            <v>Antártica Chilena</v>
          </cell>
          <cell r="E253" t="str">
            <v>Antártica</v>
          </cell>
        </row>
        <row r="254">
          <cell r="B254">
            <v>12301</v>
          </cell>
          <cell r="C254" t="str">
            <v>Magallanes y de la Antártica Chilena</v>
          </cell>
          <cell r="D254" t="str">
            <v>Tierra del Fuego</v>
          </cell>
          <cell r="E254" t="str">
            <v>Porvenir</v>
          </cell>
        </row>
        <row r="255">
          <cell r="B255">
            <v>12302</v>
          </cell>
          <cell r="C255" t="str">
            <v>Magallanes y de la Antártica Chilena</v>
          </cell>
          <cell r="D255" t="str">
            <v>Tierra del Fuego</v>
          </cell>
          <cell r="E255" t="str">
            <v>Primavera</v>
          </cell>
        </row>
        <row r="256">
          <cell r="B256">
            <v>12303</v>
          </cell>
          <cell r="C256" t="str">
            <v>Magallanes y de la Antártica Chilena</v>
          </cell>
          <cell r="D256" t="str">
            <v>Tierra del Fuego</v>
          </cell>
          <cell r="E256" t="str">
            <v>Timaukel</v>
          </cell>
        </row>
        <row r="257">
          <cell r="B257">
            <v>12401</v>
          </cell>
          <cell r="C257" t="str">
            <v>Magallanes y de la Antártica Chilena</v>
          </cell>
          <cell r="D257" t="str">
            <v>Última Esperanza</v>
          </cell>
          <cell r="E257" t="str">
            <v>Natales</v>
          </cell>
        </row>
        <row r="258">
          <cell r="B258">
            <v>12402</v>
          </cell>
          <cell r="C258" t="str">
            <v>Magallanes y de la Antártica Chilena</v>
          </cell>
          <cell r="D258" t="str">
            <v>Última Esperanza</v>
          </cell>
          <cell r="E258" t="str">
            <v>Torres del Paine</v>
          </cell>
        </row>
        <row r="259">
          <cell r="B259">
            <v>13101</v>
          </cell>
          <cell r="C259" t="str">
            <v>Metropolitana de Santiago</v>
          </cell>
          <cell r="D259" t="str">
            <v>Santiago</v>
          </cell>
          <cell r="E259" t="str">
            <v>Santiago</v>
          </cell>
        </row>
        <row r="260">
          <cell r="B260">
            <v>13102</v>
          </cell>
          <cell r="C260" t="str">
            <v>Metropolitana de Santiago</v>
          </cell>
          <cell r="D260" t="str">
            <v>Santiago</v>
          </cell>
          <cell r="E260" t="str">
            <v>Cerrillos</v>
          </cell>
        </row>
        <row r="261">
          <cell r="B261">
            <v>13103</v>
          </cell>
          <cell r="C261" t="str">
            <v>Metropolitana de Santiago</v>
          </cell>
          <cell r="D261" t="str">
            <v>Santiago</v>
          </cell>
          <cell r="E261" t="str">
            <v>Cerro Navia</v>
          </cell>
        </row>
        <row r="262">
          <cell r="B262">
            <v>13104</v>
          </cell>
          <cell r="C262" t="str">
            <v>Metropolitana de Santiago</v>
          </cell>
          <cell r="D262" t="str">
            <v>Santiago</v>
          </cell>
          <cell r="E262" t="str">
            <v>Conchalí</v>
          </cell>
        </row>
        <row r="263">
          <cell r="B263">
            <v>13105</v>
          </cell>
          <cell r="C263" t="str">
            <v>Metropolitana de Santiago</v>
          </cell>
          <cell r="D263" t="str">
            <v>Santiago</v>
          </cell>
          <cell r="E263" t="str">
            <v>El Bosque</v>
          </cell>
        </row>
        <row r="264">
          <cell r="B264">
            <v>13106</v>
          </cell>
          <cell r="C264" t="str">
            <v>Metropolitana de Santiago</v>
          </cell>
          <cell r="D264" t="str">
            <v>Santiago</v>
          </cell>
          <cell r="E264" t="str">
            <v>Estación Central</v>
          </cell>
        </row>
        <row r="265">
          <cell r="B265">
            <v>13107</v>
          </cell>
          <cell r="C265" t="str">
            <v>Metropolitana de Santiago</v>
          </cell>
          <cell r="D265" t="str">
            <v>Santiago</v>
          </cell>
          <cell r="E265" t="str">
            <v>Huechuraba</v>
          </cell>
        </row>
        <row r="266">
          <cell r="B266">
            <v>13108</v>
          </cell>
          <cell r="C266" t="str">
            <v>Metropolitana de Santiago</v>
          </cell>
          <cell r="D266" t="str">
            <v>Santiago</v>
          </cell>
          <cell r="E266" t="str">
            <v>Independencia</v>
          </cell>
        </row>
        <row r="267">
          <cell r="B267">
            <v>13109</v>
          </cell>
          <cell r="C267" t="str">
            <v>Metropolitana de Santiago</v>
          </cell>
          <cell r="D267" t="str">
            <v>Santiago</v>
          </cell>
          <cell r="E267" t="str">
            <v>La Cisterna</v>
          </cell>
        </row>
        <row r="268">
          <cell r="B268">
            <v>13110</v>
          </cell>
          <cell r="C268" t="str">
            <v>Metropolitana de Santiago</v>
          </cell>
          <cell r="D268" t="str">
            <v>Santiago</v>
          </cell>
          <cell r="E268" t="str">
            <v>La Florida</v>
          </cell>
        </row>
        <row r="269">
          <cell r="B269">
            <v>13111</v>
          </cell>
          <cell r="C269" t="str">
            <v>Metropolitana de Santiago</v>
          </cell>
          <cell r="D269" t="str">
            <v>Santiago</v>
          </cell>
          <cell r="E269" t="str">
            <v>La Granja</v>
          </cell>
        </row>
        <row r="270">
          <cell r="B270">
            <v>13112</v>
          </cell>
          <cell r="C270" t="str">
            <v>Metropolitana de Santiago</v>
          </cell>
          <cell r="D270" t="str">
            <v>Santiago</v>
          </cell>
          <cell r="E270" t="str">
            <v>La Pintana</v>
          </cell>
        </row>
        <row r="271">
          <cell r="B271">
            <v>13113</v>
          </cell>
          <cell r="C271" t="str">
            <v>Metropolitana de Santiago</v>
          </cell>
          <cell r="D271" t="str">
            <v>Santiago</v>
          </cell>
          <cell r="E271" t="str">
            <v>La Reina</v>
          </cell>
        </row>
        <row r="272">
          <cell r="B272">
            <v>13114</v>
          </cell>
          <cell r="C272" t="str">
            <v>Metropolitana de Santiago</v>
          </cell>
          <cell r="D272" t="str">
            <v>Santiago</v>
          </cell>
          <cell r="E272" t="str">
            <v>Las Condes</v>
          </cell>
        </row>
        <row r="273">
          <cell r="B273">
            <v>13115</v>
          </cell>
          <cell r="C273" t="str">
            <v>Metropolitana de Santiago</v>
          </cell>
          <cell r="D273" t="str">
            <v>Santiago</v>
          </cell>
          <cell r="E273" t="str">
            <v>Lo Barnechea</v>
          </cell>
        </row>
        <row r="274">
          <cell r="B274">
            <v>13116</v>
          </cell>
          <cell r="C274" t="str">
            <v>Metropolitana de Santiago</v>
          </cell>
          <cell r="D274" t="str">
            <v>Santiago</v>
          </cell>
          <cell r="E274" t="str">
            <v>Lo Espejo</v>
          </cell>
        </row>
        <row r="275">
          <cell r="B275">
            <v>13117</v>
          </cell>
          <cell r="C275" t="str">
            <v>Metropolitana de Santiago</v>
          </cell>
          <cell r="D275" t="str">
            <v>Santiago</v>
          </cell>
          <cell r="E275" t="str">
            <v>Lo Prado</v>
          </cell>
        </row>
        <row r="276">
          <cell r="B276">
            <v>13118</v>
          </cell>
          <cell r="C276" t="str">
            <v>Metropolitana de Santiago</v>
          </cell>
          <cell r="D276" t="str">
            <v>Santiago</v>
          </cell>
          <cell r="E276" t="str">
            <v>Macul</v>
          </cell>
        </row>
        <row r="277">
          <cell r="B277">
            <v>13119</v>
          </cell>
          <cell r="C277" t="str">
            <v>Metropolitana de Santiago</v>
          </cell>
          <cell r="D277" t="str">
            <v>Santiago</v>
          </cell>
          <cell r="E277" t="str">
            <v>Maipú</v>
          </cell>
        </row>
        <row r="278">
          <cell r="B278">
            <v>13120</v>
          </cell>
          <cell r="C278" t="str">
            <v>Metropolitana de Santiago</v>
          </cell>
          <cell r="D278" t="str">
            <v>Santiago</v>
          </cell>
          <cell r="E278" t="str">
            <v>Ñuñoa</v>
          </cell>
        </row>
        <row r="279">
          <cell r="B279">
            <v>13121</v>
          </cell>
          <cell r="C279" t="str">
            <v>Metropolitana de Santiago</v>
          </cell>
          <cell r="D279" t="str">
            <v>Santiago</v>
          </cell>
          <cell r="E279" t="str">
            <v>Pedro Aguirre Cerda</v>
          </cell>
        </row>
        <row r="280">
          <cell r="B280">
            <v>13122</v>
          </cell>
          <cell r="C280" t="str">
            <v>Metropolitana de Santiago</v>
          </cell>
          <cell r="D280" t="str">
            <v>Santiago</v>
          </cell>
          <cell r="E280" t="str">
            <v>Peñalolén</v>
          </cell>
        </row>
        <row r="281">
          <cell r="B281">
            <v>13123</v>
          </cell>
          <cell r="C281" t="str">
            <v>Metropolitana de Santiago</v>
          </cell>
          <cell r="D281" t="str">
            <v>Santiago</v>
          </cell>
          <cell r="E281" t="str">
            <v>Providencia</v>
          </cell>
        </row>
        <row r="282">
          <cell r="B282">
            <v>13124</v>
          </cell>
          <cell r="C282" t="str">
            <v>Metropolitana de Santiago</v>
          </cell>
          <cell r="D282" t="str">
            <v>Santiago</v>
          </cell>
          <cell r="E282" t="str">
            <v>Pudahuel</v>
          </cell>
        </row>
        <row r="283">
          <cell r="B283">
            <v>13125</v>
          </cell>
          <cell r="C283" t="str">
            <v>Metropolitana de Santiago</v>
          </cell>
          <cell r="D283" t="str">
            <v>Santiago</v>
          </cell>
          <cell r="E283" t="str">
            <v>Quilicura</v>
          </cell>
        </row>
        <row r="284">
          <cell r="B284">
            <v>13126</v>
          </cell>
          <cell r="C284" t="str">
            <v>Metropolitana de Santiago</v>
          </cell>
          <cell r="D284" t="str">
            <v>Santiago</v>
          </cell>
          <cell r="E284" t="str">
            <v>Quinta Normal</v>
          </cell>
        </row>
        <row r="285">
          <cell r="B285">
            <v>13127</v>
          </cell>
          <cell r="C285" t="str">
            <v>Metropolitana de Santiago</v>
          </cell>
          <cell r="D285" t="str">
            <v>Santiago</v>
          </cell>
          <cell r="E285" t="str">
            <v>Recoleta</v>
          </cell>
        </row>
        <row r="286">
          <cell r="B286">
            <v>13128</v>
          </cell>
          <cell r="C286" t="str">
            <v>Metropolitana de Santiago</v>
          </cell>
          <cell r="D286" t="str">
            <v>Santiago</v>
          </cell>
          <cell r="E286" t="str">
            <v>Renca</v>
          </cell>
        </row>
        <row r="287">
          <cell r="B287">
            <v>13129</v>
          </cell>
          <cell r="C287" t="str">
            <v>Metropolitana de Santiago</v>
          </cell>
          <cell r="D287" t="str">
            <v>Santiago</v>
          </cell>
          <cell r="E287" t="str">
            <v>San Joaquín</v>
          </cell>
        </row>
        <row r="288">
          <cell r="B288">
            <v>13130</v>
          </cell>
          <cell r="C288" t="str">
            <v>Metropolitana de Santiago</v>
          </cell>
          <cell r="D288" t="str">
            <v>Santiago</v>
          </cell>
          <cell r="E288" t="str">
            <v>San Miguel</v>
          </cell>
        </row>
        <row r="289">
          <cell r="B289">
            <v>13131</v>
          </cell>
          <cell r="C289" t="str">
            <v>Metropolitana de Santiago</v>
          </cell>
          <cell r="D289" t="str">
            <v>Santiago</v>
          </cell>
          <cell r="E289" t="str">
            <v>San Ramón</v>
          </cell>
        </row>
        <row r="290">
          <cell r="B290">
            <v>13132</v>
          </cell>
          <cell r="C290" t="str">
            <v>Metropolitana de Santiago</v>
          </cell>
          <cell r="D290" t="str">
            <v>Santiago</v>
          </cell>
          <cell r="E290" t="str">
            <v>Vitacura</v>
          </cell>
        </row>
        <row r="291">
          <cell r="B291">
            <v>13201</v>
          </cell>
          <cell r="C291" t="str">
            <v>Metropolitana de Santiago</v>
          </cell>
          <cell r="D291" t="str">
            <v>Cordillera</v>
          </cell>
          <cell r="E291" t="str">
            <v>Puente Alto</v>
          </cell>
        </row>
        <row r="292">
          <cell r="B292">
            <v>13202</v>
          </cell>
          <cell r="C292" t="str">
            <v>Metropolitana de Santiago</v>
          </cell>
          <cell r="D292" t="str">
            <v>Cordillera</v>
          </cell>
          <cell r="E292" t="str">
            <v>Pirque</v>
          </cell>
        </row>
        <row r="293">
          <cell r="B293">
            <v>13203</v>
          </cell>
          <cell r="C293" t="str">
            <v>Metropolitana de Santiago</v>
          </cell>
          <cell r="D293" t="str">
            <v>Cordillera</v>
          </cell>
          <cell r="E293" t="str">
            <v>San José de Maipo</v>
          </cell>
        </row>
        <row r="294">
          <cell r="B294">
            <v>13301</v>
          </cell>
          <cell r="C294" t="str">
            <v>Metropolitana de Santiago</v>
          </cell>
          <cell r="D294" t="str">
            <v>Chacabuco</v>
          </cell>
          <cell r="E294" t="str">
            <v>Colina</v>
          </cell>
        </row>
        <row r="295">
          <cell r="B295">
            <v>13302</v>
          </cell>
          <cell r="C295" t="str">
            <v>Metropolitana de Santiago</v>
          </cell>
          <cell r="D295" t="str">
            <v>Chacabuco</v>
          </cell>
          <cell r="E295" t="str">
            <v>Lampa</v>
          </cell>
        </row>
        <row r="296">
          <cell r="B296">
            <v>13303</v>
          </cell>
          <cell r="C296" t="str">
            <v>Metropolitana de Santiago</v>
          </cell>
          <cell r="D296" t="str">
            <v>Chacabuco</v>
          </cell>
          <cell r="E296" t="str">
            <v>Tiltil</v>
          </cell>
        </row>
        <row r="297">
          <cell r="B297">
            <v>13401</v>
          </cell>
          <cell r="C297" t="str">
            <v>Metropolitana de Santiago</v>
          </cell>
          <cell r="D297" t="str">
            <v>Maipo</v>
          </cell>
          <cell r="E297" t="str">
            <v>San Bernardo</v>
          </cell>
        </row>
        <row r="298">
          <cell r="B298">
            <v>13402</v>
          </cell>
          <cell r="C298" t="str">
            <v>Metropolitana de Santiago</v>
          </cell>
          <cell r="D298" t="str">
            <v>Maipo</v>
          </cell>
          <cell r="E298" t="str">
            <v>Buin</v>
          </cell>
        </row>
        <row r="299">
          <cell r="B299">
            <v>13403</v>
          </cell>
          <cell r="C299" t="str">
            <v>Metropolitana de Santiago</v>
          </cell>
          <cell r="D299" t="str">
            <v>Maipo</v>
          </cell>
          <cell r="E299" t="str">
            <v>Calera de Tango</v>
          </cell>
        </row>
        <row r="300">
          <cell r="B300">
            <v>13404</v>
          </cell>
          <cell r="C300" t="str">
            <v>Metropolitana de Santiago</v>
          </cell>
          <cell r="D300" t="str">
            <v>Maipo</v>
          </cell>
          <cell r="E300" t="str">
            <v>Paine</v>
          </cell>
        </row>
        <row r="301">
          <cell r="B301">
            <v>13501</v>
          </cell>
          <cell r="C301" t="str">
            <v>Metropolitana de Santiago</v>
          </cell>
          <cell r="D301" t="str">
            <v>Melipilla</v>
          </cell>
          <cell r="E301" t="str">
            <v>Melipilla</v>
          </cell>
        </row>
        <row r="302">
          <cell r="B302">
            <v>13502</v>
          </cell>
          <cell r="C302" t="str">
            <v>Metropolitana de Santiago</v>
          </cell>
          <cell r="D302" t="str">
            <v>Melipilla</v>
          </cell>
          <cell r="E302" t="str">
            <v>Alhué</v>
          </cell>
        </row>
        <row r="303">
          <cell r="B303">
            <v>13503</v>
          </cell>
          <cell r="C303" t="str">
            <v>Metropolitana de Santiago</v>
          </cell>
          <cell r="D303" t="str">
            <v>Melipilla</v>
          </cell>
          <cell r="E303" t="str">
            <v>Curacaví</v>
          </cell>
        </row>
        <row r="304">
          <cell r="B304">
            <v>13504</v>
          </cell>
          <cell r="C304" t="str">
            <v>Metropolitana de Santiago</v>
          </cell>
          <cell r="D304" t="str">
            <v>Melipilla</v>
          </cell>
          <cell r="E304" t="str">
            <v>María Pinto</v>
          </cell>
        </row>
        <row r="305">
          <cell r="B305">
            <v>13505</v>
          </cell>
          <cell r="C305" t="str">
            <v>Metropolitana de Santiago</v>
          </cell>
          <cell r="D305" t="str">
            <v>Melipilla</v>
          </cell>
          <cell r="E305" t="str">
            <v>San Pedro</v>
          </cell>
        </row>
        <row r="306">
          <cell r="B306">
            <v>13601</v>
          </cell>
          <cell r="C306" t="str">
            <v>Metropolitana de Santiago</v>
          </cell>
          <cell r="D306" t="str">
            <v>Talagante</v>
          </cell>
          <cell r="E306" t="str">
            <v>Talagante</v>
          </cell>
        </row>
        <row r="307">
          <cell r="B307">
            <v>13602</v>
          </cell>
          <cell r="C307" t="str">
            <v>Metropolitana de Santiago</v>
          </cell>
          <cell r="D307" t="str">
            <v>Talagante</v>
          </cell>
          <cell r="E307" t="str">
            <v>El Monte</v>
          </cell>
        </row>
        <row r="308">
          <cell r="B308">
            <v>13603</v>
          </cell>
          <cell r="C308" t="str">
            <v>Metropolitana de Santiago</v>
          </cell>
          <cell r="D308" t="str">
            <v>Talagante</v>
          </cell>
          <cell r="E308" t="str">
            <v>Isla de Maipo</v>
          </cell>
        </row>
        <row r="309">
          <cell r="B309">
            <v>13604</v>
          </cell>
          <cell r="C309" t="str">
            <v>Metropolitana de Santiago</v>
          </cell>
          <cell r="D309" t="str">
            <v>Talagante</v>
          </cell>
          <cell r="E309" t="str">
            <v>Padre Hurtado</v>
          </cell>
        </row>
        <row r="310">
          <cell r="B310">
            <v>13605</v>
          </cell>
          <cell r="C310" t="str">
            <v>Metropolitana de Santiago</v>
          </cell>
          <cell r="D310" t="str">
            <v>Talagante</v>
          </cell>
          <cell r="E310" t="str">
            <v>Peñaflor</v>
          </cell>
        </row>
        <row r="311">
          <cell r="B311">
            <v>14101</v>
          </cell>
          <cell r="C311" t="str">
            <v>Los Ríos</v>
          </cell>
          <cell r="D311" t="str">
            <v>Valdivia</v>
          </cell>
          <cell r="E311" t="str">
            <v>Valdivia</v>
          </cell>
        </row>
        <row r="312">
          <cell r="B312">
            <v>14102</v>
          </cell>
          <cell r="C312" t="str">
            <v>Los Ríos</v>
          </cell>
          <cell r="D312" t="str">
            <v>Valdivia</v>
          </cell>
          <cell r="E312" t="str">
            <v>Corral</v>
          </cell>
        </row>
        <row r="313">
          <cell r="B313">
            <v>14103</v>
          </cell>
          <cell r="C313" t="str">
            <v>Los Ríos</v>
          </cell>
          <cell r="D313" t="str">
            <v>Valdivia</v>
          </cell>
          <cell r="E313" t="str">
            <v>Lanco</v>
          </cell>
        </row>
        <row r="314">
          <cell r="B314">
            <v>14104</v>
          </cell>
          <cell r="C314" t="str">
            <v>Los Ríos</v>
          </cell>
          <cell r="D314" t="str">
            <v>Valdivia</v>
          </cell>
          <cell r="E314" t="str">
            <v>Los Lagos</v>
          </cell>
        </row>
        <row r="315">
          <cell r="B315">
            <v>14105</v>
          </cell>
          <cell r="C315" t="str">
            <v>Los Ríos</v>
          </cell>
          <cell r="D315" t="str">
            <v>Valdivia</v>
          </cell>
          <cell r="E315" t="str">
            <v>Máfil</v>
          </cell>
        </row>
        <row r="316">
          <cell r="B316">
            <v>14106</v>
          </cell>
          <cell r="C316" t="str">
            <v>Los Ríos</v>
          </cell>
          <cell r="D316" t="str">
            <v>Valdivia</v>
          </cell>
          <cell r="E316" t="str">
            <v>Mariquina</v>
          </cell>
        </row>
        <row r="317">
          <cell r="B317">
            <v>14107</v>
          </cell>
          <cell r="C317" t="str">
            <v>Los Ríos</v>
          </cell>
          <cell r="D317" t="str">
            <v>Valdivia</v>
          </cell>
          <cell r="E317" t="str">
            <v>Paillaco</v>
          </cell>
        </row>
        <row r="318">
          <cell r="B318">
            <v>14108</v>
          </cell>
          <cell r="C318" t="str">
            <v>Los Ríos</v>
          </cell>
          <cell r="D318" t="str">
            <v>Valdivia</v>
          </cell>
          <cell r="E318" t="str">
            <v>Panguipulli</v>
          </cell>
        </row>
        <row r="319">
          <cell r="B319">
            <v>14201</v>
          </cell>
          <cell r="C319" t="str">
            <v>Los Ríos</v>
          </cell>
          <cell r="D319" t="str">
            <v>Ranco</v>
          </cell>
          <cell r="E319" t="str">
            <v>La Unión</v>
          </cell>
        </row>
        <row r="320">
          <cell r="B320">
            <v>14202</v>
          </cell>
          <cell r="C320" t="str">
            <v>Los Ríos</v>
          </cell>
          <cell r="D320" t="str">
            <v>Ranco</v>
          </cell>
          <cell r="E320" t="str">
            <v>Futrono</v>
          </cell>
        </row>
        <row r="321">
          <cell r="B321">
            <v>14203</v>
          </cell>
          <cell r="C321" t="str">
            <v>Los Ríos</v>
          </cell>
          <cell r="D321" t="str">
            <v>Ranco</v>
          </cell>
          <cell r="E321" t="str">
            <v>Lago Ranco</v>
          </cell>
        </row>
        <row r="322">
          <cell r="B322">
            <v>14204</v>
          </cell>
          <cell r="C322" t="str">
            <v>Los Ríos</v>
          </cell>
          <cell r="D322" t="str">
            <v>Ranco</v>
          </cell>
          <cell r="E322" t="str">
            <v>Río Bueno</v>
          </cell>
        </row>
        <row r="323">
          <cell r="B323">
            <v>15101</v>
          </cell>
          <cell r="C323" t="str">
            <v>Arica y Parinacota</v>
          </cell>
          <cell r="D323" t="str">
            <v>Arica</v>
          </cell>
          <cell r="E323" t="str">
            <v>Arica</v>
          </cell>
        </row>
        <row r="324">
          <cell r="B324">
            <v>15102</v>
          </cell>
          <cell r="C324" t="str">
            <v>Arica y Parinacota</v>
          </cell>
          <cell r="D324" t="str">
            <v>Arica</v>
          </cell>
          <cell r="E324" t="str">
            <v>Camarones</v>
          </cell>
        </row>
        <row r="325">
          <cell r="B325">
            <v>15201</v>
          </cell>
          <cell r="C325" t="str">
            <v>Arica y Parinacota</v>
          </cell>
          <cell r="D325" t="str">
            <v>Parinacota</v>
          </cell>
          <cell r="E325" t="str">
            <v>Putre</v>
          </cell>
        </row>
        <row r="326">
          <cell r="B326">
            <v>15202</v>
          </cell>
          <cell r="C326" t="str">
            <v>Arica y Parinacota</v>
          </cell>
          <cell r="D326" t="str">
            <v>Parinacota</v>
          </cell>
          <cell r="E326" t="str">
            <v>General Lagos</v>
          </cell>
        </row>
        <row r="327">
          <cell r="B327">
            <v>16101</v>
          </cell>
          <cell r="C327" t="str">
            <v>Ñuble</v>
          </cell>
          <cell r="D327" t="str">
            <v>Diguillín</v>
          </cell>
          <cell r="E327" t="str">
            <v>Chillán</v>
          </cell>
        </row>
        <row r="328">
          <cell r="B328">
            <v>16102</v>
          </cell>
          <cell r="C328" t="str">
            <v>Ñuble</v>
          </cell>
          <cell r="D328" t="str">
            <v>Diguillín</v>
          </cell>
          <cell r="E328" t="str">
            <v>Bulnes</v>
          </cell>
        </row>
        <row r="329">
          <cell r="B329">
            <v>16103</v>
          </cell>
          <cell r="C329" t="str">
            <v>Ñuble</v>
          </cell>
          <cell r="D329" t="str">
            <v>Diguillín</v>
          </cell>
          <cell r="E329" t="str">
            <v>Chillán Viejo</v>
          </cell>
        </row>
        <row r="330">
          <cell r="B330">
            <v>16104</v>
          </cell>
          <cell r="C330" t="str">
            <v>Ñuble</v>
          </cell>
          <cell r="D330" t="str">
            <v>Diguillín</v>
          </cell>
          <cell r="E330" t="str">
            <v>El Carmen</v>
          </cell>
        </row>
        <row r="331">
          <cell r="B331">
            <v>16105</v>
          </cell>
          <cell r="C331" t="str">
            <v>Ñuble</v>
          </cell>
          <cell r="D331" t="str">
            <v>Diguillín</v>
          </cell>
          <cell r="E331" t="str">
            <v>Pemuco</v>
          </cell>
        </row>
        <row r="332">
          <cell r="B332">
            <v>16106</v>
          </cell>
          <cell r="C332" t="str">
            <v>Ñuble</v>
          </cell>
          <cell r="D332" t="str">
            <v>Diguillín</v>
          </cell>
          <cell r="E332" t="str">
            <v>Pinto</v>
          </cell>
        </row>
        <row r="333">
          <cell r="B333">
            <v>16107</v>
          </cell>
          <cell r="C333" t="str">
            <v>Ñuble</v>
          </cell>
          <cell r="D333" t="str">
            <v>Diguillín</v>
          </cell>
          <cell r="E333" t="str">
            <v>Quillón</v>
          </cell>
        </row>
        <row r="334">
          <cell r="B334">
            <v>16108</v>
          </cell>
          <cell r="C334" t="str">
            <v>Ñuble</v>
          </cell>
          <cell r="D334" t="str">
            <v>Diguillín</v>
          </cell>
          <cell r="E334" t="str">
            <v>San Ignacio</v>
          </cell>
        </row>
        <row r="335">
          <cell r="B335">
            <v>16109</v>
          </cell>
          <cell r="C335" t="str">
            <v>Ñuble</v>
          </cell>
          <cell r="D335" t="str">
            <v>Diguillín</v>
          </cell>
          <cell r="E335" t="str">
            <v>Yungay</v>
          </cell>
        </row>
        <row r="336">
          <cell r="B336">
            <v>16201</v>
          </cell>
          <cell r="C336" t="str">
            <v>Ñuble</v>
          </cell>
          <cell r="D336" t="str">
            <v>Itata</v>
          </cell>
          <cell r="E336" t="str">
            <v>Quirihue</v>
          </cell>
        </row>
        <row r="337">
          <cell r="B337">
            <v>16202</v>
          </cell>
          <cell r="C337" t="str">
            <v>Ñuble</v>
          </cell>
          <cell r="D337" t="str">
            <v>Itata</v>
          </cell>
          <cell r="E337" t="str">
            <v>Cobquecura</v>
          </cell>
        </row>
        <row r="338">
          <cell r="B338">
            <v>16203</v>
          </cell>
          <cell r="C338" t="str">
            <v>Ñuble</v>
          </cell>
          <cell r="D338" t="str">
            <v>Itata</v>
          </cell>
          <cell r="E338" t="str">
            <v>Coelemu</v>
          </cell>
        </row>
        <row r="339">
          <cell r="B339">
            <v>16204</v>
          </cell>
          <cell r="C339" t="str">
            <v>Ñuble</v>
          </cell>
          <cell r="D339" t="str">
            <v>Itata</v>
          </cell>
          <cell r="E339" t="str">
            <v>Ninhue</v>
          </cell>
        </row>
        <row r="340">
          <cell r="B340">
            <v>16205</v>
          </cell>
          <cell r="C340" t="str">
            <v>Ñuble</v>
          </cell>
          <cell r="D340" t="str">
            <v>Itata</v>
          </cell>
          <cell r="E340" t="str">
            <v>Portezuelo</v>
          </cell>
        </row>
        <row r="341">
          <cell r="B341">
            <v>16206</v>
          </cell>
          <cell r="C341" t="str">
            <v>Ñuble</v>
          </cell>
          <cell r="D341" t="str">
            <v>Itata</v>
          </cell>
          <cell r="E341" t="str">
            <v>Ranquil</v>
          </cell>
        </row>
        <row r="342">
          <cell r="B342">
            <v>16207</v>
          </cell>
          <cell r="C342" t="str">
            <v>Ñuble</v>
          </cell>
          <cell r="D342" t="str">
            <v>Itata</v>
          </cell>
          <cell r="E342" t="str">
            <v>Treguaco</v>
          </cell>
        </row>
        <row r="343">
          <cell r="B343">
            <v>16301</v>
          </cell>
          <cell r="C343" t="str">
            <v>Ñuble</v>
          </cell>
          <cell r="D343" t="str">
            <v>Punilla</v>
          </cell>
          <cell r="E343" t="str">
            <v>San Carlos</v>
          </cell>
        </row>
        <row r="344">
          <cell r="B344">
            <v>16302</v>
          </cell>
          <cell r="C344" t="str">
            <v>Ñuble</v>
          </cell>
          <cell r="D344" t="str">
            <v>Punilla</v>
          </cell>
          <cell r="E344" t="str">
            <v>Coihueco</v>
          </cell>
        </row>
        <row r="345">
          <cell r="B345">
            <v>16303</v>
          </cell>
          <cell r="C345" t="str">
            <v>Ñuble</v>
          </cell>
          <cell r="D345" t="str">
            <v>Punilla</v>
          </cell>
          <cell r="E345" t="str">
            <v>Ñiquén</v>
          </cell>
        </row>
        <row r="346">
          <cell r="B346">
            <v>16304</v>
          </cell>
          <cell r="C346" t="str">
            <v>Ñuble</v>
          </cell>
          <cell r="D346" t="str">
            <v>Punilla</v>
          </cell>
          <cell r="E346" t="str">
            <v>San Fabián</v>
          </cell>
        </row>
        <row r="347">
          <cell r="B347">
            <v>16305</v>
          </cell>
          <cell r="C347" t="str">
            <v>Ñuble</v>
          </cell>
          <cell r="D347" t="str">
            <v>Punilla</v>
          </cell>
          <cell r="E347" t="str">
            <v>San Nicolás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3"/>
      <sheetName val="Hoja4"/>
      <sheetName val="Hoja2"/>
    </sheetNames>
    <sheetDataSet>
      <sheetData sheetId="0"/>
      <sheetData sheetId="1"/>
      <sheetData sheetId="2">
        <row r="2">
          <cell r="A2" t="str">
            <v>X709</v>
          </cell>
          <cell r="B2" t="str">
            <v>Intentional self-harm by hanging, strangulation and suffocation</v>
          </cell>
          <cell r="C2" t="str">
            <v>Unspecified place</v>
          </cell>
        </row>
        <row r="3">
          <cell r="A3" t="str">
            <v>X619</v>
          </cell>
          <cell r="B3" t="str">
            <v>Intentional self-poisoning by and exposure to antiepileptic, sedative-hypnotic, antiparkinsonism and psychotropic drugs, not elsewhere classified</v>
          </cell>
          <cell r="C3" t="str">
            <v>Unspecified place</v>
          </cell>
        </row>
        <row r="4">
          <cell r="A4" t="str">
            <v>X640</v>
          </cell>
          <cell r="B4" t="str">
            <v>Intentional self-poisoning by and exposure to other and unspecified drugs, medicaments and biological substances</v>
          </cell>
          <cell r="C4" t="str">
            <v>At home</v>
          </cell>
        </row>
        <row r="5">
          <cell r="A5" t="str">
            <v>X646</v>
          </cell>
          <cell r="B5" t="str">
            <v>Intentional self-poisoning by and exposure to other and unspecified drugs, medicaments and biological substances</v>
          </cell>
          <cell r="C5" t="str">
            <v>Industrial and construction area</v>
          </cell>
        </row>
        <row r="6">
          <cell r="A6" t="str">
            <v>X648</v>
          </cell>
          <cell r="B6" t="str">
            <v>Intentional self-poisoning by and exposure to other and unspecified drugs, medicaments and biological substances</v>
          </cell>
          <cell r="C6" t="str">
            <v>Other specified places</v>
          </cell>
        </row>
        <row r="7">
          <cell r="A7" t="str">
            <v>X649</v>
          </cell>
          <cell r="B7" t="str">
            <v>Intentional self-poisoning by and exposure to other and unspecified drugs, medicaments and biological substances</v>
          </cell>
          <cell r="C7" t="str">
            <v>Unspecified place</v>
          </cell>
        </row>
        <row r="8">
          <cell r="A8" t="str">
            <v>X650</v>
          </cell>
          <cell r="B8" t="str">
            <v>Intentional self-poisoning by and exposure to alcohol</v>
          </cell>
          <cell r="C8" t="str">
            <v>At home</v>
          </cell>
        </row>
        <row r="9">
          <cell r="A9" t="str">
            <v>X670</v>
          </cell>
          <cell r="B9" t="str">
            <v>Intentional self-poisoning by and exposure to carbon monoxide and other gases and vapours</v>
          </cell>
          <cell r="C9" t="str">
            <v>At home</v>
          </cell>
        </row>
        <row r="10">
          <cell r="A10" t="str">
            <v>X680</v>
          </cell>
          <cell r="B10" t="str">
            <v>Intentional self-poisoning by and exposure to pesticides</v>
          </cell>
          <cell r="C10" t="str">
            <v>At home</v>
          </cell>
        </row>
        <row r="11">
          <cell r="A11" t="str">
            <v>X684</v>
          </cell>
          <cell r="B11" t="str">
            <v>Intentional self-poisoning by and exposure to pesticides</v>
          </cell>
          <cell r="C11" t="str">
            <v>Street and highway</v>
          </cell>
        </row>
        <row r="12">
          <cell r="A12" t="str">
            <v>X689</v>
          </cell>
          <cell r="B12" t="str">
            <v>Intentional self-poisoning by and exposure to pesticides</v>
          </cell>
          <cell r="C12" t="str">
            <v>Unspecified place</v>
          </cell>
        </row>
        <row r="13">
          <cell r="A13" t="str">
            <v>X690</v>
          </cell>
          <cell r="B13" t="str">
            <v>Intentional self-poisoning by and exposure to other and unspecified chemicals and noxious substances</v>
          </cell>
          <cell r="C13" t="str">
            <v>At home</v>
          </cell>
        </row>
        <row r="14">
          <cell r="A14" t="str">
            <v>X696</v>
          </cell>
          <cell r="B14" t="str">
            <v>Intentional self-poisoning by and exposure to other and unspecified chemicals and noxious substances</v>
          </cell>
          <cell r="C14" t="str">
            <v>Industrial and construction area</v>
          </cell>
        </row>
        <row r="15">
          <cell r="A15" t="str">
            <v>X699</v>
          </cell>
          <cell r="B15" t="str">
            <v>Intentional self-poisoning by and exposure to other and unspecified chemicals and noxious substances</v>
          </cell>
          <cell r="C15" t="str">
            <v>Unspecified place</v>
          </cell>
        </row>
        <row r="16">
          <cell r="A16" t="str">
            <v>X700</v>
          </cell>
          <cell r="B16" t="str">
            <v>Intentional self-harm by hanging, strangulation and suffocation</v>
          </cell>
          <cell r="C16" t="str">
            <v>At home</v>
          </cell>
        </row>
        <row r="17">
          <cell r="A17" t="str">
            <v>X704</v>
          </cell>
          <cell r="B17" t="str">
            <v>Intentional self-harm by hanging, strangulation and suffocation</v>
          </cell>
          <cell r="C17" t="str">
            <v>Street and highway</v>
          </cell>
        </row>
        <row r="18">
          <cell r="A18" t="str">
            <v>X706</v>
          </cell>
          <cell r="B18" t="str">
            <v>Intentional self-harm by hanging, strangulation and suffocation</v>
          </cell>
          <cell r="C18" t="str">
            <v>Industrial and construction area</v>
          </cell>
        </row>
        <row r="19">
          <cell r="A19" t="str">
            <v>X708</v>
          </cell>
          <cell r="B19" t="str">
            <v>Intentional self-harm by hanging, strangulation and suffocation</v>
          </cell>
          <cell r="C19" t="str">
            <v>Other specified places</v>
          </cell>
        </row>
        <row r="20">
          <cell r="A20" t="str">
            <v>X709</v>
          </cell>
          <cell r="B20" t="str">
            <v>Intentional self-harm by hanging, strangulation and suffocation</v>
          </cell>
          <cell r="C20" t="str">
            <v>Unspecified place</v>
          </cell>
        </row>
        <row r="21">
          <cell r="A21" t="str">
            <v>X716</v>
          </cell>
          <cell r="B21" t="str">
            <v>Intentional self-harm by drowning and submersion</v>
          </cell>
          <cell r="C21" t="str">
            <v>Industrial and construction area</v>
          </cell>
        </row>
        <row r="22">
          <cell r="A22" t="str">
            <v>X718</v>
          </cell>
          <cell r="B22" t="str">
            <v>Intentional self-harm by drowning and submersion</v>
          </cell>
          <cell r="C22" t="str">
            <v>Other specified places</v>
          </cell>
        </row>
        <row r="23">
          <cell r="A23" t="str">
            <v>X719</v>
          </cell>
          <cell r="B23" t="str">
            <v>Intentional self-harm by drowning and submersion</v>
          </cell>
          <cell r="C23" t="str">
            <v>Unspecified place</v>
          </cell>
        </row>
        <row r="24">
          <cell r="A24" t="str">
            <v>X720</v>
          </cell>
          <cell r="B24" t="str">
            <v>Intentional self-harm by handgun discharge</v>
          </cell>
          <cell r="C24" t="str">
            <v>At home</v>
          </cell>
        </row>
        <row r="25">
          <cell r="A25" t="str">
            <v>X729</v>
          </cell>
          <cell r="B25" t="str">
            <v>Intentional self-harm by handgun discharge</v>
          </cell>
          <cell r="C25" t="str">
            <v>Unspecified place</v>
          </cell>
        </row>
        <row r="26">
          <cell r="A26" t="str">
            <v>X730</v>
          </cell>
          <cell r="B26" t="str">
            <v>Intentional self-harm by rifle, shotgun and larger firearm discharge</v>
          </cell>
          <cell r="C26" t="str">
            <v>At home</v>
          </cell>
        </row>
        <row r="27">
          <cell r="A27" t="str">
            <v>X740</v>
          </cell>
          <cell r="B27" t="str">
            <v>Intentional self-harm by other and unspecified firearm discharge</v>
          </cell>
          <cell r="C27" t="str">
            <v>At home</v>
          </cell>
        </row>
        <row r="28">
          <cell r="A28" t="str">
            <v>X744</v>
          </cell>
          <cell r="B28" t="str">
            <v>Intentional self-harm by other and unspecified firearm discharge</v>
          </cell>
          <cell r="C28" t="str">
            <v>Street and highway</v>
          </cell>
        </row>
        <row r="29">
          <cell r="A29" t="str">
            <v>X746</v>
          </cell>
          <cell r="B29" t="str">
            <v>Intentional self-harm by other and unspecified firearm discharge</v>
          </cell>
          <cell r="C29" t="str">
            <v>Industrial and construction area</v>
          </cell>
        </row>
        <row r="30">
          <cell r="A30" t="str">
            <v>X748</v>
          </cell>
          <cell r="B30" t="str">
            <v>Intentional self-harm by other and unspecified firearm discharge</v>
          </cell>
          <cell r="C30" t="str">
            <v>Other specified places</v>
          </cell>
        </row>
        <row r="31">
          <cell r="A31" t="str">
            <v>X749</v>
          </cell>
          <cell r="B31" t="str">
            <v>Intentional self-harm by other and unspecified firearm discharge</v>
          </cell>
          <cell r="C31" t="str">
            <v>Unspecified place</v>
          </cell>
        </row>
        <row r="32">
          <cell r="A32" t="str">
            <v>X760</v>
          </cell>
          <cell r="B32" t="str">
            <v>Intentional self-harm by smoke, fire and flames</v>
          </cell>
          <cell r="C32" t="str">
            <v>At home</v>
          </cell>
        </row>
        <row r="33">
          <cell r="A33" t="str">
            <v>X764</v>
          </cell>
          <cell r="B33" t="str">
            <v>Intentional self-harm by smoke, fire and flames</v>
          </cell>
          <cell r="C33" t="str">
            <v>Street and highway</v>
          </cell>
        </row>
        <row r="34">
          <cell r="A34" t="str">
            <v>X780</v>
          </cell>
          <cell r="B34" t="str">
            <v>Intentional self-harm by sharp object</v>
          </cell>
          <cell r="C34" t="str">
            <v>At home</v>
          </cell>
        </row>
        <row r="35">
          <cell r="A35" t="str">
            <v>X789</v>
          </cell>
          <cell r="B35" t="str">
            <v>Intentional self-harm by sharp object</v>
          </cell>
          <cell r="C35" t="str">
            <v>Unspecified place</v>
          </cell>
        </row>
        <row r="36">
          <cell r="A36" t="str">
            <v>X800</v>
          </cell>
          <cell r="B36" t="str">
            <v>Intentional self-harm by jumping from a high place</v>
          </cell>
          <cell r="C36" t="str">
            <v>At home</v>
          </cell>
        </row>
        <row r="37">
          <cell r="A37" t="str">
            <v>X804</v>
          </cell>
          <cell r="B37" t="str">
            <v>Intentional self-harm by jumping from a high place</v>
          </cell>
          <cell r="C37" t="str">
            <v>Street and highway</v>
          </cell>
        </row>
        <row r="38">
          <cell r="A38" t="str">
            <v>X809</v>
          </cell>
          <cell r="B38" t="str">
            <v>Intentional self-harm by jumping from a high place</v>
          </cell>
          <cell r="C38" t="str">
            <v>Unspecified place</v>
          </cell>
        </row>
        <row r="39">
          <cell r="A39" t="str">
            <v>X814</v>
          </cell>
          <cell r="B39" t="str">
            <v>Intentional self-harm by jumping or lying before moving object</v>
          </cell>
          <cell r="C39" t="str">
            <v>Street and highway</v>
          </cell>
        </row>
        <row r="40">
          <cell r="A40" t="str">
            <v>X818</v>
          </cell>
          <cell r="B40" t="str">
            <v>Intentional self-harm by jumping or lying before moving object</v>
          </cell>
          <cell r="C40" t="str">
            <v>Other specified places</v>
          </cell>
        </row>
        <row r="41">
          <cell r="A41" t="str">
            <v>X824</v>
          </cell>
          <cell r="B41" t="str">
            <v>Intentional self-harm by crashing of motor vehicle</v>
          </cell>
          <cell r="C41" t="str">
            <v>Street and highway</v>
          </cell>
        </row>
        <row r="42">
          <cell r="A42" t="str">
            <v>X840</v>
          </cell>
          <cell r="B42" t="str">
            <v>Intentional self-harm by unspecified means</v>
          </cell>
          <cell r="C42" t="str">
            <v>At home</v>
          </cell>
        </row>
        <row r="43">
          <cell r="A43" t="str">
            <v>X844</v>
          </cell>
          <cell r="B43" t="str">
            <v>Intentional self-harm by unspecified means</v>
          </cell>
          <cell r="C43" t="str">
            <v>Street and highway</v>
          </cell>
        </row>
        <row r="44">
          <cell r="A44" t="str">
            <v>X849</v>
          </cell>
          <cell r="B44" t="str">
            <v>Intentional self-harm by unspecified means</v>
          </cell>
          <cell r="C44" t="str">
            <v>Unspecified place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03"/>
  <sheetViews>
    <sheetView tabSelected="1" topLeftCell="D1" zoomScale="125" zoomScaleNormal="150" workbookViewId="0">
      <selection activeCell="L2" sqref="L2"/>
    </sheetView>
  </sheetViews>
  <sheetFormatPr baseColWidth="10" defaultColWidth="9.1640625" defaultRowHeight="15"/>
  <cols>
    <col min="1" max="5" width="9.1640625" style="4"/>
    <col min="6" max="8" width="9.1640625" style="4" customWidth="1"/>
    <col min="9" max="9" width="10" style="4" customWidth="1"/>
    <col min="10" max="10" width="9.83203125" style="4" customWidth="1"/>
    <col min="11" max="12" width="8.33203125" style="3" customWidth="1"/>
    <col min="13" max="13" width="12.6640625" style="3" customWidth="1"/>
    <col min="14" max="19" width="9.1640625" style="3" customWidth="1"/>
    <col min="20" max="21" width="9.1640625" style="4" customWidth="1"/>
    <col min="22" max="16384" width="9.1640625" style="4"/>
  </cols>
  <sheetData>
    <row r="1" spans="1:21" ht="16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130</v>
      </c>
      <c r="G1" s="4" t="s">
        <v>42</v>
      </c>
      <c r="H1" s="4" t="s">
        <v>129</v>
      </c>
      <c r="I1" s="4" t="s">
        <v>128</v>
      </c>
      <c r="J1" s="4" t="s">
        <v>181</v>
      </c>
      <c r="K1" s="12" t="s">
        <v>183</v>
      </c>
      <c r="L1" s="12" t="s">
        <v>182</v>
      </c>
      <c r="M1" s="12" t="s">
        <v>184</v>
      </c>
      <c r="N1" s="3" t="s">
        <v>127</v>
      </c>
      <c r="O1" s="3" t="s">
        <v>126</v>
      </c>
      <c r="P1" s="3" t="s">
        <v>43</v>
      </c>
      <c r="Q1" s="3" t="s">
        <v>44</v>
      </c>
      <c r="R1" s="3" t="s">
        <v>45</v>
      </c>
      <c r="S1" s="3" t="s">
        <v>47</v>
      </c>
      <c r="T1" s="11" t="s">
        <v>125</v>
      </c>
      <c r="U1" s="11" t="s">
        <v>124</v>
      </c>
    </row>
    <row r="2" spans="1:21" customFormat="1">
      <c r="A2">
        <v>1</v>
      </c>
      <c r="B2">
        <v>20</v>
      </c>
      <c r="C2">
        <v>1</v>
      </c>
      <c r="D2">
        <v>1</v>
      </c>
      <c r="E2">
        <v>2020</v>
      </c>
      <c r="F2">
        <v>10101</v>
      </c>
      <c r="G2" t="str">
        <f>VLOOKUP(F2,'[1]Sheet 1'!$B$2:$E$347,2,FALSE)</f>
        <v>Los Lagos</v>
      </c>
      <c r="H2" t="str">
        <f>VLOOKUP(F2,'[1]Sheet 1'!$B$2:$E$347,3,FALSE)</f>
        <v>Llanquihue</v>
      </c>
      <c r="I2" t="str">
        <f>VLOOKUP(F2,'[1]Sheet 1'!$B$2:$E$347,4,FALSE)</f>
        <v>Puerto Montt</v>
      </c>
      <c r="J2" t="s">
        <v>136</v>
      </c>
      <c r="K2" s="3" t="s">
        <v>0</v>
      </c>
      <c r="L2" s="12" t="str">
        <f>VLOOKUP(K2,[2]Hoja4!$A$2:$C$443,2,FALSE)</f>
        <v>Intentional self-harm by hanging, strangulation and suffocation</v>
      </c>
      <c r="M2" s="12" t="str">
        <f>VLOOKUP(K2,[2]Hoja4!$A$2:$C$443,3,FALSE)</f>
        <v>Unspecified place</v>
      </c>
      <c r="N2" s="1">
        <v>8.1</v>
      </c>
      <c r="O2" s="1">
        <v>22.4</v>
      </c>
      <c r="P2" s="1">
        <v>15.7</v>
      </c>
      <c r="Q2" s="1">
        <v>1004.2</v>
      </c>
      <c r="R2" s="1">
        <v>0</v>
      </c>
      <c r="S2" s="1">
        <v>70</v>
      </c>
      <c r="T2" s="5">
        <v>7.4399999999999994E-2</v>
      </c>
      <c r="U2" s="9">
        <v>6.0000000000000001E-3</v>
      </c>
    </row>
    <row r="3" spans="1:21" customFormat="1">
      <c r="A3">
        <v>1</v>
      </c>
      <c r="B3">
        <v>62</v>
      </c>
      <c r="C3">
        <v>1</v>
      </c>
      <c r="D3">
        <v>1</v>
      </c>
      <c r="E3">
        <v>2020</v>
      </c>
      <c r="F3">
        <v>13120</v>
      </c>
      <c r="G3" t="str">
        <f>VLOOKUP(F3,'[1]Sheet 1'!$B$2:$E$347,2,FALSE)</f>
        <v>Metropolitana de Santiago</v>
      </c>
      <c r="H3" t="str">
        <f>VLOOKUP(F3,'[1]Sheet 1'!$B$2:$E$347,3,FALSE)</f>
        <v>Santiago</v>
      </c>
      <c r="I3" t="str">
        <f>VLOOKUP(F3,'[1]Sheet 1'!$B$2:$E$347,4,FALSE)</f>
        <v>Ñuñoa</v>
      </c>
      <c r="J3" t="s">
        <v>136</v>
      </c>
      <c r="K3" s="3" t="s">
        <v>0</v>
      </c>
      <c r="L3" s="12" t="str">
        <f>VLOOKUP(K3,[2]Hoja4!$A$2:$C$443,2,FALSE)</f>
        <v>Intentional self-harm by hanging, strangulation and suffocation</v>
      </c>
      <c r="M3" s="12" t="str">
        <f>VLOOKUP(K3,[2]Hoja4!$A$2:$C$443,3,FALSE)</f>
        <v>Unspecified place</v>
      </c>
      <c r="N3" s="1">
        <v>13.7</v>
      </c>
      <c r="O3" s="1">
        <v>29.6</v>
      </c>
      <c r="P3" s="1">
        <v>22.3</v>
      </c>
      <c r="Q3" s="1">
        <v>953.7</v>
      </c>
      <c r="R3" s="1">
        <v>0</v>
      </c>
      <c r="S3" s="1">
        <v>41</v>
      </c>
      <c r="T3" s="5">
        <v>7.4399999999999994E-2</v>
      </c>
      <c r="U3" s="9">
        <v>6.0000000000000001E-3</v>
      </c>
    </row>
    <row r="4" spans="1:21" customFormat="1">
      <c r="A4">
        <v>2</v>
      </c>
      <c r="B4">
        <v>63</v>
      </c>
      <c r="C4">
        <v>1</v>
      </c>
      <c r="D4">
        <v>1</v>
      </c>
      <c r="E4">
        <v>2020</v>
      </c>
      <c r="F4">
        <v>10301</v>
      </c>
      <c r="G4" t="str">
        <f>VLOOKUP(F4,'[1]Sheet 1'!$B$2:$E$347,2,FALSE)</f>
        <v>Los Lagos</v>
      </c>
      <c r="H4" t="str">
        <f>VLOOKUP(F4,'[1]Sheet 1'!$B$2:$E$347,3,FALSE)</f>
        <v>Osorno</v>
      </c>
      <c r="I4" t="str">
        <f>VLOOKUP(F4,'[1]Sheet 1'!$B$2:$E$347,4,FALSE)</f>
        <v>Osorno</v>
      </c>
      <c r="J4" t="s">
        <v>136</v>
      </c>
      <c r="K4" s="3" t="s">
        <v>4</v>
      </c>
      <c r="L4" s="12" t="str">
        <f>VLOOKUP(K4,[2]Hoja4!$A$2:$C$443,2,FALSE)</f>
        <v>Intentional self-harm by hanging, strangulation and suffocation</v>
      </c>
      <c r="M4" s="12" t="str">
        <f>VLOOKUP(K4,[2]Hoja4!$A$2:$C$443,3,FALSE)</f>
        <v>At home</v>
      </c>
      <c r="N4" s="1">
        <v>7.6</v>
      </c>
      <c r="O4" s="1">
        <v>25.2</v>
      </c>
      <c r="P4" s="1">
        <v>16.399999999999999</v>
      </c>
      <c r="Q4" s="1">
        <v>1006.1</v>
      </c>
      <c r="R4" s="1">
        <v>0</v>
      </c>
      <c r="S4" s="1">
        <v>64.5</v>
      </c>
      <c r="T4" s="5">
        <v>7.4399999999999994E-2</v>
      </c>
      <c r="U4" s="9">
        <v>6.0000000000000001E-3</v>
      </c>
    </row>
    <row r="5" spans="1:21" customFormat="1">
      <c r="A5">
        <v>1</v>
      </c>
      <c r="B5">
        <v>57</v>
      </c>
      <c r="C5">
        <v>1</v>
      </c>
      <c r="D5">
        <v>1</v>
      </c>
      <c r="E5">
        <v>2020</v>
      </c>
      <c r="F5">
        <v>8102</v>
      </c>
      <c r="G5" t="str">
        <f>VLOOKUP(F5,'[1]Sheet 1'!$B$2:$E$347,2,FALSE)</f>
        <v>Biobío</v>
      </c>
      <c r="H5" t="str">
        <f>VLOOKUP(F5,'[1]Sheet 1'!$B$2:$E$347,3,FALSE)</f>
        <v>Concepción</v>
      </c>
      <c r="I5" t="str">
        <f>VLOOKUP(F5,'[1]Sheet 1'!$B$2:$E$347,4,FALSE)</f>
        <v>Coronel</v>
      </c>
      <c r="J5" t="s">
        <v>136</v>
      </c>
      <c r="K5" s="3" t="s">
        <v>4</v>
      </c>
      <c r="L5" s="12" t="str">
        <f>VLOOKUP(K5,[2]Hoja4!$A$2:$C$443,2,FALSE)</f>
        <v>Intentional self-harm by hanging, strangulation and suffocation</v>
      </c>
      <c r="M5" s="12" t="str">
        <f>VLOOKUP(K5,[2]Hoja4!$A$2:$C$443,3,FALSE)</f>
        <v>At home</v>
      </c>
      <c r="N5" s="1">
        <v>11.6</v>
      </c>
      <c r="O5" s="1">
        <v>17.8</v>
      </c>
      <c r="P5" s="1">
        <v>15.1</v>
      </c>
      <c r="Q5" s="1">
        <v>1013.1</v>
      </c>
      <c r="R5" s="1">
        <v>0</v>
      </c>
      <c r="S5" s="1">
        <v>82</v>
      </c>
      <c r="T5" s="5">
        <v>7.4399999999999994E-2</v>
      </c>
      <c r="U5" s="9">
        <v>6.0000000000000001E-3</v>
      </c>
    </row>
    <row r="6" spans="1:21" customFormat="1">
      <c r="A6">
        <v>1</v>
      </c>
      <c r="B6">
        <v>53</v>
      </c>
      <c r="C6">
        <v>1</v>
      </c>
      <c r="D6">
        <v>1</v>
      </c>
      <c r="E6">
        <v>2020</v>
      </c>
      <c r="F6">
        <v>9113</v>
      </c>
      <c r="G6" t="str">
        <f>VLOOKUP(F6,'[1]Sheet 1'!$B$2:$E$347,2,FALSE)</f>
        <v>La Araucanía</v>
      </c>
      <c r="H6" t="str">
        <f>VLOOKUP(F6,'[1]Sheet 1'!$B$2:$E$347,3,FALSE)</f>
        <v>Cautín</v>
      </c>
      <c r="I6" t="str">
        <f>VLOOKUP(F6,'[1]Sheet 1'!$B$2:$E$347,4,FALSE)</f>
        <v>Perquenco</v>
      </c>
      <c r="J6" t="s">
        <v>136</v>
      </c>
      <c r="K6" s="3" t="s">
        <v>0</v>
      </c>
      <c r="L6" s="12" t="str">
        <f>VLOOKUP(K6,[2]Hoja4!$A$2:$C$443,2,FALSE)</f>
        <v>Intentional self-harm by hanging, strangulation and suffocation</v>
      </c>
      <c r="M6" s="12" t="str">
        <f>VLOOKUP(K6,[2]Hoja4!$A$2:$C$443,3,FALSE)</f>
        <v>Unspecified place</v>
      </c>
      <c r="N6" s="1">
        <v>9.1999999999999993</v>
      </c>
      <c r="O6" s="1">
        <v>29.1</v>
      </c>
      <c r="P6" s="1">
        <v>18</v>
      </c>
      <c r="Q6" s="1">
        <v>1001</v>
      </c>
      <c r="R6" s="1">
        <v>0</v>
      </c>
      <c r="S6" s="1">
        <v>59.8</v>
      </c>
      <c r="T6" s="5">
        <v>7.4399999999999994E-2</v>
      </c>
      <c r="U6" s="9">
        <v>6.0000000000000001E-3</v>
      </c>
    </row>
    <row r="7" spans="1:21" customFormat="1">
      <c r="A7">
        <v>1</v>
      </c>
      <c r="B7">
        <v>51</v>
      </c>
      <c r="C7">
        <v>1</v>
      </c>
      <c r="D7">
        <v>1</v>
      </c>
      <c r="E7">
        <v>2020</v>
      </c>
      <c r="F7">
        <v>8102</v>
      </c>
      <c r="G7" t="str">
        <f>VLOOKUP(F7,'[1]Sheet 1'!$B$2:$E$347,2,FALSE)</f>
        <v>Biobío</v>
      </c>
      <c r="H7" t="str">
        <f>VLOOKUP(F7,'[1]Sheet 1'!$B$2:$E$347,3,FALSE)</f>
        <v>Concepción</v>
      </c>
      <c r="I7" t="str">
        <f>VLOOKUP(F7,'[1]Sheet 1'!$B$2:$E$347,4,FALSE)</f>
        <v>Coronel</v>
      </c>
      <c r="J7" t="s">
        <v>136</v>
      </c>
      <c r="K7" s="3" t="s">
        <v>4</v>
      </c>
      <c r="L7" s="12" t="str">
        <f>VLOOKUP(K7,[2]Hoja4!$A$2:$C$443,2,FALSE)</f>
        <v>Intentional self-harm by hanging, strangulation and suffocation</v>
      </c>
      <c r="M7" s="12" t="str">
        <f>VLOOKUP(K7,[2]Hoja4!$A$2:$C$443,3,FALSE)</f>
        <v>At home</v>
      </c>
      <c r="N7" s="1">
        <v>11.6</v>
      </c>
      <c r="O7" s="1">
        <v>17.8</v>
      </c>
      <c r="P7" s="1">
        <v>15.1</v>
      </c>
      <c r="Q7" s="1">
        <v>1013.1</v>
      </c>
      <c r="R7" s="1">
        <v>0</v>
      </c>
      <c r="S7" s="1">
        <v>82</v>
      </c>
      <c r="T7" s="5">
        <v>7.4399999999999994E-2</v>
      </c>
      <c r="U7" s="9">
        <v>6.0000000000000001E-3</v>
      </c>
    </row>
    <row r="8" spans="1:21" customFormat="1">
      <c r="A8">
        <v>1</v>
      </c>
      <c r="B8">
        <v>48</v>
      </c>
      <c r="C8">
        <v>1</v>
      </c>
      <c r="D8">
        <v>1</v>
      </c>
      <c r="E8">
        <v>2020</v>
      </c>
      <c r="F8">
        <v>13124</v>
      </c>
      <c r="G8" t="str">
        <f>VLOOKUP(F8,'[1]Sheet 1'!$B$2:$E$347,2,FALSE)</f>
        <v>Metropolitana de Santiago</v>
      </c>
      <c r="H8" t="str">
        <f>VLOOKUP(F8,'[1]Sheet 1'!$B$2:$E$347,3,FALSE)</f>
        <v>Santiago</v>
      </c>
      <c r="I8" t="str">
        <f>VLOOKUP(F8,'[1]Sheet 1'!$B$2:$E$347,4,FALSE)</f>
        <v>Pudahuel</v>
      </c>
      <c r="J8" t="s">
        <v>136</v>
      </c>
      <c r="K8" s="3" t="s">
        <v>0</v>
      </c>
      <c r="L8" s="12" t="str">
        <f>VLOOKUP(K8,[2]Hoja4!$A$2:$C$443,2,FALSE)</f>
        <v>Intentional self-harm by hanging, strangulation and suffocation</v>
      </c>
      <c r="M8" s="12" t="str">
        <f>VLOOKUP(K8,[2]Hoja4!$A$2:$C$443,3,FALSE)</f>
        <v>Unspecified place</v>
      </c>
      <c r="N8" s="1">
        <v>13.7</v>
      </c>
      <c r="O8" s="1">
        <v>29.6</v>
      </c>
      <c r="P8" s="1">
        <v>22.3</v>
      </c>
      <c r="Q8" s="1">
        <v>953.7</v>
      </c>
      <c r="R8" s="1">
        <v>0</v>
      </c>
      <c r="S8" s="1">
        <v>41</v>
      </c>
      <c r="T8" s="5">
        <v>7.4399999999999994E-2</v>
      </c>
      <c r="U8" s="9">
        <v>6.0000000000000001E-3</v>
      </c>
    </row>
    <row r="9" spans="1:21" customFormat="1">
      <c r="A9">
        <v>1</v>
      </c>
      <c r="B9">
        <v>44</v>
      </c>
      <c r="C9">
        <v>1</v>
      </c>
      <c r="D9">
        <v>1</v>
      </c>
      <c r="E9">
        <v>2020</v>
      </c>
      <c r="F9">
        <v>5107</v>
      </c>
      <c r="G9" t="str">
        <f>VLOOKUP(F9,'[1]Sheet 1'!$B$2:$E$347,2,FALSE)</f>
        <v>Valparaíso</v>
      </c>
      <c r="H9" t="str">
        <f>VLOOKUP(F9,'[1]Sheet 1'!$B$2:$E$347,3,FALSE)</f>
        <v>Valparaíso</v>
      </c>
      <c r="I9" t="str">
        <f>VLOOKUP(F9,'[1]Sheet 1'!$B$2:$E$347,4,FALSE)</f>
        <v>Quintero</v>
      </c>
      <c r="J9" t="s">
        <v>136</v>
      </c>
      <c r="K9" s="3" t="s">
        <v>0</v>
      </c>
      <c r="L9" s="12" t="str">
        <f>VLOOKUP(K9,[2]Hoja4!$A$2:$C$443,2,FALSE)</f>
        <v>Intentional self-harm by hanging, strangulation and suffocation</v>
      </c>
      <c r="M9" s="12" t="str">
        <f>VLOOKUP(K9,[2]Hoja4!$A$2:$C$443,3,FALSE)</f>
        <v>Unspecified place</v>
      </c>
      <c r="N9" s="1">
        <v>11.4</v>
      </c>
      <c r="O9" s="1">
        <v>18.5</v>
      </c>
      <c r="P9" s="1">
        <v>14</v>
      </c>
      <c r="Q9" s="1">
        <v>976.4</v>
      </c>
      <c r="R9" s="1">
        <v>0</v>
      </c>
      <c r="S9" s="1">
        <v>86.5</v>
      </c>
      <c r="T9" s="5">
        <v>7.4399999999999994E-2</v>
      </c>
      <c r="U9" s="9">
        <v>6.0000000000000001E-3</v>
      </c>
    </row>
    <row r="10" spans="1:21" customFormat="1">
      <c r="A10">
        <v>1</v>
      </c>
      <c r="B10">
        <v>42</v>
      </c>
      <c r="C10">
        <v>1</v>
      </c>
      <c r="D10">
        <v>1</v>
      </c>
      <c r="E10">
        <v>2020</v>
      </c>
      <c r="F10">
        <v>5603</v>
      </c>
      <c r="G10" t="str">
        <f>VLOOKUP(F10,'[1]Sheet 1'!$B$2:$E$347,2,FALSE)</f>
        <v>Valparaíso</v>
      </c>
      <c r="H10" t="str">
        <f>VLOOKUP(F10,'[1]Sheet 1'!$B$2:$E$347,3,FALSE)</f>
        <v>San Antonio</v>
      </c>
      <c r="I10" t="str">
        <f>VLOOKUP(F10,'[1]Sheet 1'!$B$2:$E$347,4,FALSE)</f>
        <v>Cartagena</v>
      </c>
      <c r="J10" t="s">
        <v>136</v>
      </c>
      <c r="K10" s="3" t="s">
        <v>4</v>
      </c>
      <c r="L10" s="12" t="str">
        <f>VLOOKUP(K10,[2]Hoja4!$A$2:$C$443,2,FALSE)</f>
        <v>Intentional self-harm by hanging, strangulation and suffocation</v>
      </c>
      <c r="M10" s="12" t="str">
        <f>VLOOKUP(K10,[2]Hoja4!$A$2:$C$443,3,FALSE)</f>
        <v>At home</v>
      </c>
      <c r="N10" s="1">
        <v>12.5</v>
      </c>
      <c r="O10" s="1">
        <v>19.2</v>
      </c>
      <c r="P10" s="1">
        <v>15</v>
      </c>
      <c r="Q10" s="1">
        <v>1008</v>
      </c>
      <c r="R10" s="1">
        <v>0</v>
      </c>
      <c r="S10" s="1">
        <v>82.8</v>
      </c>
      <c r="T10" s="5">
        <v>7.4399999999999994E-2</v>
      </c>
      <c r="U10" s="9">
        <v>6.0000000000000001E-3</v>
      </c>
    </row>
    <row r="11" spans="1:21" customFormat="1">
      <c r="A11">
        <v>1</v>
      </c>
      <c r="B11">
        <v>47</v>
      </c>
      <c r="C11">
        <v>1</v>
      </c>
      <c r="D11">
        <v>1</v>
      </c>
      <c r="E11">
        <v>2020</v>
      </c>
      <c r="F11">
        <v>13601</v>
      </c>
      <c r="G11" t="str">
        <f>VLOOKUP(F11,'[1]Sheet 1'!$B$2:$E$347,2,FALSE)</f>
        <v>Metropolitana de Santiago</v>
      </c>
      <c r="H11" t="str">
        <f>VLOOKUP(F11,'[1]Sheet 1'!$B$2:$E$347,3,FALSE)</f>
        <v>Talagante</v>
      </c>
      <c r="I11" t="str">
        <f>VLOOKUP(F11,'[1]Sheet 1'!$B$2:$E$347,4,FALSE)</f>
        <v>Talagante</v>
      </c>
      <c r="J11" t="s">
        <v>136</v>
      </c>
      <c r="K11" s="3" t="s">
        <v>4</v>
      </c>
      <c r="L11" s="12" t="str">
        <f>VLOOKUP(K11,[2]Hoja4!$A$2:$C$443,2,FALSE)</f>
        <v>Intentional self-harm by hanging, strangulation and suffocation</v>
      </c>
      <c r="M11" s="12" t="str">
        <f>VLOOKUP(K11,[2]Hoja4!$A$2:$C$443,3,FALSE)</f>
        <v>At home</v>
      </c>
      <c r="N11" s="1">
        <v>11.1</v>
      </c>
      <c r="O11" s="1">
        <v>27.6</v>
      </c>
      <c r="P11" s="1">
        <v>19.399999999999999</v>
      </c>
      <c r="Q11" s="1">
        <v>1011.8</v>
      </c>
      <c r="R11" s="1">
        <v>0</v>
      </c>
      <c r="S11" s="1">
        <v>66</v>
      </c>
      <c r="T11" s="5">
        <v>7.4399999999999994E-2</v>
      </c>
      <c r="U11" s="9">
        <v>6.0000000000000001E-3</v>
      </c>
    </row>
    <row r="12" spans="1:21" customFormat="1">
      <c r="A12">
        <v>1</v>
      </c>
      <c r="B12">
        <v>45</v>
      </c>
      <c r="C12">
        <v>1</v>
      </c>
      <c r="D12">
        <v>1</v>
      </c>
      <c r="E12">
        <v>2020</v>
      </c>
      <c r="F12">
        <v>7301</v>
      </c>
      <c r="G12" t="str">
        <f>VLOOKUP(F12,'[1]Sheet 1'!$B$2:$E$347,2,FALSE)</f>
        <v>Maule</v>
      </c>
      <c r="H12" t="str">
        <f>VLOOKUP(F12,'[1]Sheet 1'!$B$2:$E$347,3,FALSE)</f>
        <v>Curicó</v>
      </c>
      <c r="I12" t="str">
        <f>VLOOKUP(F12,'[1]Sheet 1'!$B$2:$E$347,4,FALSE)</f>
        <v>Curicó</v>
      </c>
      <c r="J12" t="s">
        <v>136</v>
      </c>
      <c r="K12" s="3" t="s">
        <v>4</v>
      </c>
      <c r="L12" s="12" t="str">
        <f>VLOOKUP(K12,[2]Hoja4!$A$2:$C$443,2,FALSE)</f>
        <v>Intentional self-harm by hanging, strangulation and suffocation</v>
      </c>
      <c r="M12" s="12" t="str">
        <f>VLOOKUP(K12,[2]Hoja4!$A$2:$C$443,3,FALSE)</f>
        <v>At home</v>
      </c>
      <c r="N12" s="1">
        <v>14.2</v>
      </c>
      <c r="O12" s="1">
        <v>35.200000000000003</v>
      </c>
      <c r="P12" s="1">
        <v>23.3</v>
      </c>
      <c r="Q12" s="1">
        <v>986.7</v>
      </c>
      <c r="R12" s="1">
        <v>0</v>
      </c>
      <c r="S12" s="1">
        <v>51</v>
      </c>
      <c r="T12" s="5">
        <v>7.4399999999999994E-2</v>
      </c>
      <c r="U12" s="9">
        <v>6.0000000000000001E-3</v>
      </c>
    </row>
    <row r="13" spans="1:21" customFormat="1">
      <c r="A13">
        <v>1</v>
      </c>
      <c r="B13">
        <v>34</v>
      </c>
      <c r="C13">
        <v>1</v>
      </c>
      <c r="D13">
        <v>1</v>
      </c>
      <c r="E13">
        <v>2020</v>
      </c>
      <c r="F13">
        <v>2201</v>
      </c>
      <c r="G13" t="str">
        <f>VLOOKUP(F13,'[1]Sheet 1'!$B$2:$E$347,2,FALSE)</f>
        <v>Antofagasta</v>
      </c>
      <c r="H13" t="str">
        <f>VLOOKUP(F13,'[1]Sheet 1'!$B$2:$E$347,3,FALSE)</f>
        <v>El Loa</v>
      </c>
      <c r="I13" t="str">
        <f>VLOOKUP(F13,'[1]Sheet 1'!$B$2:$E$347,4,FALSE)</f>
        <v>Calama</v>
      </c>
      <c r="J13" t="s">
        <v>136</v>
      </c>
      <c r="K13" s="3" t="s">
        <v>4</v>
      </c>
      <c r="L13" s="12" t="str">
        <f>VLOOKUP(K13,[2]Hoja4!$A$2:$C$443,2,FALSE)</f>
        <v>Intentional self-harm by hanging, strangulation and suffocation</v>
      </c>
      <c r="M13" s="12" t="str">
        <f>VLOOKUP(K13,[2]Hoja4!$A$2:$C$443,3,FALSE)</f>
        <v>At home</v>
      </c>
      <c r="N13" s="1">
        <v>6.4</v>
      </c>
      <c r="O13" s="1">
        <v>25.9</v>
      </c>
      <c r="P13" s="1">
        <v>17.2</v>
      </c>
      <c r="Q13" s="1">
        <v>771.9</v>
      </c>
      <c r="R13" s="1">
        <v>0</v>
      </c>
      <c r="S13" s="1">
        <v>19.2</v>
      </c>
      <c r="T13" s="5">
        <v>7.4399999999999994E-2</v>
      </c>
      <c r="U13" s="9">
        <v>6.0000000000000001E-3</v>
      </c>
    </row>
    <row r="14" spans="1:21" customFormat="1">
      <c r="A14">
        <v>1</v>
      </c>
      <c r="B14">
        <v>29</v>
      </c>
      <c r="C14">
        <v>1</v>
      </c>
      <c r="D14">
        <v>1</v>
      </c>
      <c r="E14">
        <v>2020</v>
      </c>
      <c r="F14">
        <v>8110</v>
      </c>
      <c r="G14" t="str">
        <f>VLOOKUP(F14,'[1]Sheet 1'!$B$2:$E$347,2,FALSE)</f>
        <v>Biobío</v>
      </c>
      <c r="H14" t="str">
        <f>VLOOKUP(F14,'[1]Sheet 1'!$B$2:$E$347,3,FALSE)</f>
        <v>Concepción</v>
      </c>
      <c r="I14" t="str">
        <f>VLOOKUP(F14,'[1]Sheet 1'!$B$2:$E$347,4,FALSE)</f>
        <v>Talcahuano</v>
      </c>
      <c r="J14" t="s">
        <v>136</v>
      </c>
      <c r="K14" s="3" t="s">
        <v>2</v>
      </c>
      <c r="L14" s="12" t="str">
        <f>VLOOKUP(K14,[2]Hoja4!$A$2:$C$443,2,FALSE)</f>
        <v>Intentional self-harm by hanging, strangulation and suffocation</v>
      </c>
      <c r="M14" s="12" t="str">
        <f>VLOOKUP(K14,[2]Hoja4!$A$2:$C$443,3,FALSE)</f>
        <v>Street and highway</v>
      </c>
      <c r="N14" s="1">
        <v>11.6</v>
      </c>
      <c r="O14" s="1">
        <v>17.8</v>
      </c>
      <c r="P14" s="1">
        <v>15.1</v>
      </c>
      <c r="Q14" s="1">
        <v>1013.1</v>
      </c>
      <c r="R14" s="1">
        <v>0</v>
      </c>
      <c r="S14" s="1">
        <v>82</v>
      </c>
      <c r="T14" s="5">
        <v>7.4399999999999994E-2</v>
      </c>
      <c r="U14" s="9">
        <v>6.0000000000000001E-3</v>
      </c>
    </row>
    <row r="15" spans="1:21" customFormat="1">
      <c r="A15">
        <v>1</v>
      </c>
      <c r="B15">
        <v>30</v>
      </c>
      <c r="C15">
        <v>1</v>
      </c>
      <c r="D15">
        <v>1</v>
      </c>
      <c r="E15">
        <v>2020</v>
      </c>
      <c r="F15">
        <v>6301</v>
      </c>
      <c r="G15" t="str">
        <f>VLOOKUP(F15,'[1]Sheet 1'!$B$2:$E$347,2,FALSE)</f>
        <v>Libertador General Bernardo O'Higgins</v>
      </c>
      <c r="H15" t="str">
        <f>VLOOKUP(F15,'[1]Sheet 1'!$B$2:$E$347,3,FALSE)</f>
        <v>Colchagua</v>
      </c>
      <c r="I15" t="str">
        <f>VLOOKUP(F15,'[1]Sheet 1'!$B$2:$E$347,4,FALSE)</f>
        <v>San Fernando</v>
      </c>
      <c r="J15" t="s">
        <v>136</v>
      </c>
      <c r="K15" s="3" t="s">
        <v>0</v>
      </c>
      <c r="L15" s="12" t="str">
        <f>VLOOKUP(K15,[2]Hoja4!$A$2:$C$443,2,FALSE)</f>
        <v>Intentional self-harm by hanging, strangulation and suffocation</v>
      </c>
      <c r="M15" s="12" t="str">
        <f>VLOOKUP(K15,[2]Hoja4!$A$2:$C$443,3,FALSE)</f>
        <v>Unspecified place</v>
      </c>
      <c r="N15" s="1">
        <v>11.7</v>
      </c>
      <c r="O15" s="1">
        <v>31.4</v>
      </c>
      <c r="P15" s="1">
        <v>22.2</v>
      </c>
      <c r="Q15" s="1">
        <v>978.1</v>
      </c>
      <c r="R15" s="1">
        <v>0</v>
      </c>
      <c r="S15" s="1">
        <v>55.2</v>
      </c>
      <c r="T15" s="5">
        <v>7.4399999999999994E-2</v>
      </c>
      <c r="U15" s="9">
        <v>6.0000000000000001E-3</v>
      </c>
    </row>
    <row r="16" spans="1:21" customFormat="1">
      <c r="A16">
        <v>1</v>
      </c>
      <c r="B16">
        <v>29</v>
      </c>
      <c r="C16">
        <v>1</v>
      </c>
      <c r="D16">
        <v>1</v>
      </c>
      <c r="E16">
        <v>2020</v>
      </c>
      <c r="F16">
        <v>2101</v>
      </c>
      <c r="G16" t="str">
        <f>VLOOKUP(F16,'[1]Sheet 1'!$B$2:$E$347,2,FALSE)</f>
        <v>Antofagasta</v>
      </c>
      <c r="H16" t="str">
        <f>VLOOKUP(F16,'[1]Sheet 1'!$B$2:$E$347,3,FALSE)</f>
        <v>Antofagasta</v>
      </c>
      <c r="I16" t="str">
        <f>VLOOKUP(F16,'[1]Sheet 1'!$B$2:$E$347,4,FALSE)</f>
        <v>Antofagasta</v>
      </c>
      <c r="J16" t="s">
        <v>136</v>
      </c>
      <c r="K16" s="3" t="s">
        <v>4</v>
      </c>
      <c r="L16" s="12" t="str">
        <f>VLOOKUP(K16,[2]Hoja4!$A$2:$C$443,2,FALSE)</f>
        <v>Intentional self-harm by hanging, strangulation and suffocation</v>
      </c>
      <c r="M16" s="12" t="str">
        <f>VLOOKUP(K16,[2]Hoja4!$A$2:$C$443,3,FALSE)</f>
        <v>At home</v>
      </c>
      <c r="N16" s="1">
        <v>19.899999999999999</v>
      </c>
      <c r="O16" s="1">
        <v>23.9</v>
      </c>
      <c r="P16" s="1">
        <v>21.3</v>
      </c>
      <c r="Q16" s="1">
        <v>997.2</v>
      </c>
      <c r="R16" s="1">
        <v>0</v>
      </c>
      <c r="S16" s="1">
        <v>65</v>
      </c>
      <c r="T16" s="5">
        <v>7.4399999999999994E-2</v>
      </c>
      <c r="U16" s="9">
        <v>6.0000000000000001E-3</v>
      </c>
    </row>
    <row r="17" spans="1:21" customFormat="1">
      <c r="A17">
        <v>1</v>
      </c>
      <c r="B17">
        <v>51</v>
      </c>
      <c r="C17">
        <v>1</v>
      </c>
      <c r="D17">
        <v>1</v>
      </c>
      <c r="E17">
        <v>2020</v>
      </c>
      <c r="F17">
        <v>8110</v>
      </c>
      <c r="G17" t="str">
        <f>VLOOKUP(F17,'[1]Sheet 1'!$B$2:$E$347,2,FALSE)</f>
        <v>Biobío</v>
      </c>
      <c r="H17" t="str">
        <f>VLOOKUP(F17,'[1]Sheet 1'!$B$2:$E$347,3,FALSE)</f>
        <v>Concepción</v>
      </c>
      <c r="I17" t="str">
        <f>VLOOKUP(F17,'[1]Sheet 1'!$B$2:$E$347,4,FALSE)</f>
        <v>Talcahuano</v>
      </c>
      <c r="J17" t="s">
        <v>136</v>
      </c>
      <c r="K17" s="3" t="s">
        <v>4</v>
      </c>
      <c r="L17" s="12" t="str">
        <f>VLOOKUP(K17,[2]Hoja4!$A$2:$C$443,2,FALSE)</f>
        <v>Intentional self-harm by hanging, strangulation and suffocation</v>
      </c>
      <c r="M17" s="12" t="str">
        <f>VLOOKUP(K17,[2]Hoja4!$A$2:$C$443,3,FALSE)</f>
        <v>At home</v>
      </c>
      <c r="N17" s="1">
        <v>11.6</v>
      </c>
      <c r="O17" s="1">
        <v>17.8</v>
      </c>
      <c r="P17" s="1">
        <v>15.1</v>
      </c>
      <c r="Q17" s="1">
        <v>1013.1</v>
      </c>
      <c r="R17" s="1">
        <v>0</v>
      </c>
      <c r="S17" s="1">
        <v>82</v>
      </c>
      <c r="T17" s="5">
        <v>7.4399999999999994E-2</v>
      </c>
      <c r="U17" s="9">
        <v>6.0000000000000001E-3</v>
      </c>
    </row>
    <row r="18" spans="1:21" customFormat="1">
      <c r="A18">
        <v>1</v>
      </c>
      <c r="B18">
        <v>68</v>
      </c>
      <c r="C18">
        <v>2</v>
      </c>
      <c r="D18">
        <v>1</v>
      </c>
      <c r="E18">
        <v>2020</v>
      </c>
      <c r="F18">
        <v>16101</v>
      </c>
      <c r="G18" t="str">
        <f>VLOOKUP(F18,'[1]Sheet 1'!$B$2:$E$347,2,FALSE)</f>
        <v>Ñuble</v>
      </c>
      <c r="H18" t="str">
        <f>VLOOKUP(F18,'[1]Sheet 1'!$B$2:$E$347,3,FALSE)</f>
        <v>Diguillín</v>
      </c>
      <c r="I18" t="str">
        <f>VLOOKUP(F18,'[1]Sheet 1'!$B$2:$E$347,4,FALSE)</f>
        <v>Chillán</v>
      </c>
      <c r="J18" t="s">
        <v>136</v>
      </c>
      <c r="K18" s="3" t="s">
        <v>0</v>
      </c>
      <c r="L18" s="12" t="str">
        <f>VLOOKUP(K18,[2]Hoja4!$A$2:$C$443,2,FALSE)</f>
        <v>Intentional self-harm by hanging, strangulation and suffocation</v>
      </c>
      <c r="M18" s="12" t="str">
        <f>VLOOKUP(K18,[2]Hoja4!$A$2:$C$443,3,FALSE)</f>
        <v>Unspecified place</v>
      </c>
      <c r="N18" s="1">
        <v>9.5</v>
      </c>
      <c r="O18" s="1">
        <v>34.1</v>
      </c>
      <c r="P18" s="1">
        <v>20.2</v>
      </c>
      <c r="Q18" s="1">
        <v>996.1</v>
      </c>
      <c r="R18" s="1">
        <v>0</v>
      </c>
      <c r="S18" s="1">
        <v>58</v>
      </c>
      <c r="T18" s="5">
        <v>7.4399999999999994E-2</v>
      </c>
      <c r="U18" s="9">
        <v>6.0000000000000001E-3</v>
      </c>
    </row>
    <row r="19" spans="1:21" customFormat="1">
      <c r="A19">
        <v>1</v>
      </c>
      <c r="B19">
        <v>57</v>
      </c>
      <c r="C19">
        <v>2</v>
      </c>
      <c r="D19">
        <v>1</v>
      </c>
      <c r="E19">
        <v>2020</v>
      </c>
      <c r="F19">
        <v>8202</v>
      </c>
      <c r="G19" t="str">
        <f>VLOOKUP(F19,'[1]Sheet 1'!$B$2:$E$347,2,FALSE)</f>
        <v>Biobío</v>
      </c>
      <c r="H19" t="str">
        <f>VLOOKUP(F19,'[1]Sheet 1'!$B$2:$E$347,3,FALSE)</f>
        <v>Arauco</v>
      </c>
      <c r="I19" t="str">
        <f>VLOOKUP(F19,'[1]Sheet 1'!$B$2:$E$347,4,FALSE)</f>
        <v>Arauco</v>
      </c>
      <c r="J19" t="s">
        <v>136</v>
      </c>
      <c r="K19" s="3" t="s">
        <v>4</v>
      </c>
      <c r="L19" s="12" t="str">
        <f>VLOOKUP(K19,[2]Hoja4!$A$2:$C$443,2,FALSE)</f>
        <v>Intentional self-harm by hanging, strangulation and suffocation</v>
      </c>
      <c r="M19" s="12" t="str">
        <f>VLOOKUP(K19,[2]Hoja4!$A$2:$C$443,3,FALSE)</f>
        <v>At home</v>
      </c>
      <c r="N19" s="1">
        <v>13.7</v>
      </c>
      <c r="O19" s="1">
        <v>20.7</v>
      </c>
      <c r="P19" s="1">
        <v>16.399999999999999</v>
      </c>
      <c r="Q19" s="1">
        <v>1014.7</v>
      </c>
      <c r="R19" s="1">
        <v>0</v>
      </c>
      <c r="S19" s="1">
        <v>77.5</v>
      </c>
      <c r="T19" s="5">
        <v>7.4399999999999994E-2</v>
      </c>
      <c r="U19" s="9">
        <v>6.0000000000000001E-3</v>
      </c>
    </row>
    <row r="20" spans="1:21" customFormat="1">
      <c r="A20">
        <v>1</v>
      </c>
      <c r="B20">
        <v>56</v>
      </c>
      <c r="C20">
        <v>2</v>
      </c>
      <c r="D20">
        <v>1</v>
      </c>
      <c r="E20">
        <v>2020</v>
      </c>
      <c r="F20">
        <v>10301</v>
      </c>
      <c r="G20" t="str">
        <f>VLOOKUP(F20,'[1]Sheet 1'!$B$2:$E$347,2,FALSE)</f>
        <v>Los Lagos</v>
      </c>
      <c r="H20" t="str">
        <f>VLOOKUP(F20,'[1]Sheet 1'!$B$2:$E$347,3,FALSE)</f>
        <v>Osorno</v>
      </c>
      <c r="I20" t="str">
        <f>VLOOKUP(F20,'[1]Sheet 1'!$B$2:$E$347,4,FALSE)</f>
        <v>Osorno</v>
      </c>
      <c r="J20" t="s">
        <v>136</v>
      </c>
      <c r="K20" s="3" t="s">
        <v>4</v>
      </c>
      <c r="L20" s="12" t="str">
        <f>VLOOKUP(K20,[2]Hoja4!$A$2:$C$443,2,FALSE)</f>
        <v>Intentional self-harm by hanging, strangulation and suffocation</v>
      </c>
      <c r="M20" s="12" t="str">
        <f>VLOOKUP(K20,[2]Hoja4!$A$2:$C$443,3,FALSE)</f>
        <v>At home</v>
      </c>
      <c r="N20" s="1">
        <v>7.6</v>
      </c>
      <c r="O20" s="1">
        <v>28.2</v>
      </c>
      <c r="P20" s="1">
        <v>17.899999999999999</v>
      </c>
      <c r="Q20" s="1">
        <v>1009.5</v>
      </c>
      <c r="R20" s="1">
        <v>0</v>
      </c>
      <c r="S20" s="1">
        <v>51.2</v>
      </c>
      <c r="T20" s="5">
        <v>7.4399999999999994E-2</v>
      </c>
      <c r="U20" s="9">
        <v>6.0000000000000001E-3</v>
      </c>
    </row>
    <row r="21" spans="1:21" customFormat="1">
      <c r="A21">
        <v>2</v>
      </c>
      <c r="B21">
        <v>51</v>
      </c>
      <c r="C21">
        <v>2</v>
      </c>
      <c r="D21">
        <v>1</v>
      </c>
      <c r="E21">
        <v>2020</v>
      </c>
      <c r="F21">
        <v>6105</v>
      </c>
      <c r="G21" t="str">
        <f>VLOOKUP(F21,'[1]Sheet 1'!$B$2:$E$347,2,FALSE)</f>
        <v>Libertador General Bernardo O'Higgins</v>
      </c>
      <c r="H21" t="str">
        <f>VLOOKUP(F21,'[1]Sheet 1'!$B$2:$E$347,3,FALSE)</f>
        <v>Cachapoal</v>
      </c>
      <c r="I21" t="str">
        <f>VLOOKUP(F21,'[1]Sheet 1'!$B$2:$E$347,4,FALSE)</f>
        <v>Doñihue</v>
      </c>
      <c r="J21" t="s">
        <v>136</v>
      </c>
      <c r="K21" s="3" t="s">
        <v>0</v>
      </c>
      <c r="L21" s="12" t="str">
        <f>VLOOKUP(K21,[2]Hoja4!$A$2:$C$443,2,FALSE)</f>
        <v>Intentional self-harm by hanging, strangulation and suffocation</v>
      </c>
      <c r="M21" s="12" t="str">
        <f>VLOOKUP(K21,[2]Hoja4!$A$2:$C$443,3,FALSE)</f>
        <v>Unspecified place</v>
      </c>
      <c r="N21" s="1">
        <v>12.8</v>
      </c>
      <c r="O21" s="1">
        <v>31.9</v>
      </c>
      <c r="P21" s="1">
        <v>21.5</v>
      </c>
      <c r="Q21" s="1">
        <v>958.4</v>
      </c>
      <c r="R21" s="1">
        <v>0</v>
      </c>
      <c r="S21" s="1">
        <v>56</v>
      </c>
      <c r="T21" s="5">
        <v>7.4399999999999994E-2</v>
      </c>
      <c r="U21" s="9">
        <v>6.0000000000000001E-3</v>
      </c>
    </row>
    <row r="22" spans="1:21" customFormat="1">
      <c r="A22">
        <v>1</v>
      </c>
      <c r="B22">
        <v>53</v>
      </c>
      <c r="C22">
        <v>2</v>
      </c>
      <c r="D22">
        <v>1</v>
      </c>
      <c r="E22">
        <v>2020</v>
      </c>
      <c r="F22">
        <v>16204</v>
      </c>
      <c r="G22" t="str">
        <f>VLOOKUP(F22,'[1]Sheet 1'!$B$2:$E$347,2,FALSE)</f>
        <v>Ñuble</v>
      </c>
      <c r="H22" t="str">
        <f>VLOOKUP(F22,'[1]Sheet 1'!$B$2:$E$347,3,FALSE)</f>
        <v>Itata</v>
      </c>
      <c r="I22" t="str">
        <f>VLOOKUP(F22,'[1]Sheet 1'!$B$2:$E$347,4,FALSE)</f>
        <v>Ninhue</v>
      </c>
      <c r="J22" t="s">
        <v>136</v>
      </c>
      <c r="K22" s="3" t="s">
        <v>0</v>
      </c>
      <c r="L22" s="12" t="str">
        <f>VLOOKUP(K22,[2]Hoja4!$A$2:$C$443,2,FALSE)</f>
        <v>Intentional self-harm by hanging, strangulation and suffocation</v>
      </c>
      <c r="M22" s="12" t="str">
        <f>VLOOKUP(K22,[2]Hoja4!$A$2:$C$443,3,FALSE)</f>
        <v>Unspecified place</v>
      </c>
      <c r="N22" s="1">
        <v>9.8000000000000007</v>
      </c>
      <c r="O22" s="1">
        <v>33.5</v>
      </c>
      <c r="P22" s="1">
        <v>19.899999999999999</v>
      </c>
      <c r="Q22" s="1">
        <v>1002</v>
      </c>
      <c r="R22" s="1">
        <v>0</v>
      </c>
      <c r="S22" s="1">
        <v>56.3</v>
      </c>
      <c r="T22" s="5">
        <v>7.4399999999999994E-2</v>
      </c>
      <c r="U22" s="9">
        <v>6.0000000000000001E-3</v>
      </c>
    </row>
    <row r="23" spans="1:21" customFormat="1">
      <c r="A23">
        <v>1</v>
      </c>
      <c r="B23">
        <v>44</v>
      </c>
      <c r="C23">
        <v>2</v>
      </c>
      <c r="D23">
        <v>1</v>
      </c>
      <c r="E23">
        <v>2020</v>
      </c>
      <c r="F23">
        <v>6115</v>
      </c>
      <c r="G23" t="str">
        <f>VLOOKUP(F23,'[1]Sheet 1'!$B$2:$E$347,2,FALSE)</f>
        <v>Libertador General Bernardo O'Higgins</v>
      </c>
      <c r="H23" t="str">
        <f>VLOOKUP(F23,'[1]Sheet 1'!$B$2:$E$347,3,FALSE)</f>
        <v>Cachapoal</v>
      </c>
      <c r="I23" t="str">
        <f>VLOOKUP(F23,'[1]Sheet 1'!$B$2:$E$347,4,FALSE)</f>
        <v>Rengo</v>
      </c>
      <c r="J23" t="s">
        <v>136</v>
      </c>
      <c r="K23" s="3" t="s">
        <v>0</v>
      </c>
      <c r="L23" s="12" t="str">
        <f>VLOOKUP(K23,[2]Hoja4!$A$2:$C$443,2,FALSE)</f>
        <v>Intentional self-harm by hanging, strangulation and suffocation</v>
      </c>
      <c r="M23" s="12" t="str">
        <f>VLOOKUP(K23,[2]Hoja4!$A$2:$C$443,3,FALSE)</f>
        <v>Unspecified place</v>
      </c>
      <c r="N23" s="1">
        <v>12.8</v>
      </c>
      <c r="O23" s="1">
        <v>31.9</v>
      </c>
      <c r="P23" s="1">
        <v>21.5</v>
      </c>
      <c r="Q23" s="1">
        <v>958.4</v>
      </c>
      <c r="R23" s="1">
        <v>0</v>
      </c>
      <c r="S23" s="1">
        <v>48.8</v>
      </c>
      <c r="T23" s="5">
        <v>7.4399999999999994E-2</v>
      </c>
      <c r="U23" s="9">
        <v>6.0000000000000001E-3</v>
      </c>
    </row>
    <row r="24" spans="1:21" customFormat="1">
      <c r="A24">
        <v>1</v>
      </c>
      <c r="B24">
        <v>42</v>
      </c>
      <c r="C24">
        <v>2</v>
      </c>
      <c r="D24">
        <v>1</v>
      </c>
      <c r="E24">
        <v>2020</v>
      </c>
      <c r="F24">
        <v>7406</v>
      </c>
      <c r="G24" t="str">
        <f>VLOOKUP(F24,'[1]Sheet 1'!$B$2:$E$347,2,FALSE)</f>
        <v>Maule</v>
      </c>
      <c r="H24" t="str">
        <f>VLOOKUP(F24,'[1]Sheet 1'!$B$2:$E$347,3,FALSE)</f>
        <v>Linares</v>
      </c>
      <c r="I24" t="str">
        <f>VLOOKUP(F24,'[1]Sheet 1'!$B$2:$E$347,4,FALSE)</f>
        <v>San Javier</v>
      </c>
      <c r="J24" t="s">
        <v>136</v>
      </c>
      <c r="K24" s="3" t="s">
        <v>4</v>
      </c>
      <c r="L24" s="12" t="str">
        <f>VLOOKUP(K24,[2]Hoja4!$A$2:$C$443,2,FALSE)</f>
        <v>Intentional self-harm by hanging, strangulation and suffocation</v>
      </c>
      <c r="M24" s="12" t="str">
        <f>VLOOKUP(K24,[2]Hoja4!$A$2:$C$443,3,FALSE)</f>
        <v>At home</v>
      </c>
      <c r="N24" s="1"/>
      <c r="O24" s="1">
        <v>33.1</v>
      </c>
      <c r="P24" s="1">
        <v>19.399999999999999</v>
      </c>
      <c r="Q24" s="1">
        <v>994.4</v>
      </c>
      <c r="R24" s="1">
        <v>0</v>
      </c>
      <c r="S24" s="1" t="s">
        <v>93</v>
      </c>
      <c r="T24" s="5">
        <v>7.4399999999999994E-2</v>
      </c>
      <c r="U24" s="9">
        <v>6.0000000000000001E-3</v>
      </c>
    </row>
    <row r="25" spans="1:21" customFormat="1">
      <c r="A25">
        <v>1</v>
      </c>
      <c r="B25">
        <v>33</v>
      </c>
      <c r="C25">
        <v>2</v>
      </c>
      <c r="D25">
        <v>1</v>
      </c>
      <c r="E25">
        <v>2020</v>
      </c>
      <c r="F25">
        <v>5107</v>
      </c>
      <c r="G25" t="str">
        <f>VLOOKUP(F25,'[1]Sheet 1'!$B$2:$E$347,2,FALSE)</f>
        <v>Valparaíso</v>
      </c>
      <c r="H25" t="str">
        <f>VLOOKUP(F25,'[1]Sheet 1'!$B$2:$E$347,3,FALSE)</f>
        <v>Valparaíso</v>
      </c>
      <c r="I25" t="str">
        <f>VLOOKUP(F25,'[1]Sheet 1'!$B$2:$E$347,4,FALSE)</f>
        <v>Quintero</v>
      </c>
      <c r="J25" t="s">
        <v>136</v>
      </c>
      <c r="K25" s="3" t="s">
        <v>0</v>
      </c>
      <c r="L25" s="12" t="str">
        <f>VLOOKUP(K25,[2]Hoja4!$A$2:$C$443,2,FALSE)</f>
        <v>Intentional self-harm by hanging, strangulation and suffocation</v>
      </c>
      <c r="M25" s="12" t="str">
        <f>VLOOKUP(K25,[2]Hoja4!$A$2:$C$443,3,FALSE)</f>
        <v>Unspecified place</v>
      </c>
      <c r="N25" s="1" t="s">
        <v>94</v>
      </c>
      <c r="O25" s="1">
        <v>18.7</v>
      </c>
      <c r="P25" s="1">
        <v>14</v>
      </c>
      <c r="Q25" s="1">
        <v>977.4</v>
      </c>
      <c r="R25" s="1">
        <v>0</v>
      </c>
      <c r="S25" s="1" t="s">
        <v>116</v>
      </c>
      <c r="T25" s="5">
        <v>7.4399999999999994E-2</v>
      </c>
      <c r="U25" s="9">
        <v>6.0000000000000001E-3</v>
      </c>
    </row>
    <row r="26" spans="1:21" customFormat="1">
      <c r="A26">
        <v>1</v>
      </c>
      <c r="B26">
        <v>26</v>
      </c>
      <c r="C26">
        <v>2</v>
      </c>
      <c r="D26">
        <v>1</v>
      </c>
      <c r="E26">
        <v>2020</v>
      </c>
      <c r="F26">
        <v>5501</v>
      </c>
      <c r="G26" t="str">
        <f>VLOOKUP(F26,'[1]Sheet 1'!$B$2:$E$347,2,FALSE)</f>
        <v>Valparaíso</v>
      </c>
      <c r="H26" t="str">
        <f>VLOOKUP(F26,'[1]Sheet 1'!$B$2:$E$347,3,FALSE)</f>
        <v>Quillota</v>
      </c>
      <c r="I26" t="str">
        <f>VLOOKUP(F26,'[1]Sheet 1'!$B$2:$E$347,4,FALSE)</f>
        <v>Quillota</v>
      </c>
      <c r="J26" t="s">
        <v>136</v>
      </c>
      <c r="K26" s="3" t="s">
        <v>4</v>
      </c>
      <c r="L26" s="12" t="str">
        <f>VLOOKUP(K26,[2]Hoja4!$A$2:$C$443,2,FALSE)</f>
        <v>Intentional self-harm by hanging, strangulation and suffocation</v>
      </c>
      <c r="M26" s="12" t="str">
        <f>VLOOKUP(K26,[2]Hoja4!$A$2:$C$443,3,FALSE)</f>
        <v>At home</v>
      </c>
      <c r="N26" s="1">
        <v>8.1999999999999993</v>
      </c>
      <c r="O26" s="1">
        <v>25.9</v>
      </c>
      <c r="P26" s="1">
        <v>16.899999999999999</v>
      </c>
      <c r="Q26" s="1">
        <v>996</v>
      </c>
      <c r="R26" s="1">
        <v>0</v>
      </c>
      <c r="S26" s="1" t="s">
        <v>117</v>
      </c>
      <c r="T26" s="5">
        <v>7.4399999999999994E-2</v>
      </c>
      <c r="U26" s="9">
        <v>6.0000000000000001E-3</v>
      </c>
    </row>
    <row r="27" spans="1:21" customFormat="1" ht="16" customHeight="1">
      <c r="A27">
        <v>1</v>
      </c>
      <c r="B27">
        <v>83</v>
      </c>
      <c r="C27">
        <v>3</v>
      </c>
      <c r="D27">
        <v>1</v>
      </c>
      <c r="E27">
        <v>2020</v>
      </c>
      <c r="F27">
        <v>7101</v>
      </c>
      <c r="G27" t="str">
        <f>VLOOKUP(F27,'[1]Sheet 1'!$B$2:$E$347,2,FALSE)</f>
        <v>Maule</v>
      </c>
      <c r="H27" t="str">
        <f>VLOOKUP(F27,'[1]Sheet 1'!$B$2:$E$347,3,FALSE)</f>
        <v>Talca</v>
      </c>
      <c r="I27" t="str">
        <f>VLOOKUP(F27,'[1]Sheet 1'!$B$2:$E$347,4,FALSE)</f>
        <v>Talca</v>
      </c>
      <c r="J27" t="s">
        <v>136</v>
      </c>
      <c r="K27" s="3" t="s">
        <v>4</v>
      </c>
      <c r="L27" s="12" t="str">
        <f>VLOOKUP(K27,[2]Hoja4!$A$2:$C$443,2,FALSE)</f>
        <v>Intentional self-harm by hanging, strangulation and suffocation</v>
      </c>
      <c r="M27" s="12" t="str">
        <f>VLOOKUP(K27,[2]Hoja4!$A$2:$C$443,3,FALSE)</f>
        <v>At home</v>
      </c>
      <c r="N27" s="1"/>
      <c r="O27" s="1"/>
      <c r="P27" s="1"/>
      <c r="Q27" s="1"/>
      <c r="R27" s="1">
        <v>0</v>
      </c>
      <c r="S27" s="1" t="s">
        <v>118</v>
      </c>
      <c r="T27" s="5">
        <v>7.4399999999999994E-2</v>
      </c>
      <c r="U27" s="9">
        <v>6.0000000000000001E-3</v>
      </c>
    </row>
    <row r="28" spans="1:21" customFormat="1">
      <c r="A28">
        <v>1</v>
      </c>
      <c r="B28">
        <v>66</v>
      </c>
      <c r="C28">
        <v>3</v>
      </c>
      <c r="D28">
        <v>1</v>
      </c>
      <c r="E28">
        <v>2020</v>
      </c>
      <c r="F28">
        <v>10201</v>
      </c>
      <c r="G28" t="str">
        <f>VLOOKUP(F28,'[1]Sheet 1'!$B$2:$E$347,2,FALSE)</f>
        <v>Los Lagos</v>
      </c>
      <c r="H28" t="str">
        <f>VLOOKUP(F28,'[1]Sheet 1'!$B$2:$E$347,3,FALSE)</f>
        <v>Chiloé</v>
      </c>
      <c r="I28" t="str">
        <f>VLOOKUP(F28,'[1]Sheet 1'!$B$2:$E$347,4,FALSE)</f>
        <v>Castro</v>
      </c>
      <c r="J28" t="s">
        <v>136</v>
      </c>
      <c r="K28" s="3" t="s">
        <v>4</v>
      </c>
      <c r="L28" s="12" t="str">
        <f>VLOOKUP(K28,[2]Hoja4!$A$2:$C$443,2,FALSE)</f>
        <v>Intentional self-harm by hanging, strangulation and suffocation</v>
      </c>
      <c r="M28" s="12" t="str">
        <f>VLOOKUP(K28,[2]Hoja4!$A$2:$C$443,3,FALSE)</f>
        <v>At home</v>
      </c>
      <c r="N28" s="1">
        <v>10.6</v>
      </c>
      <c r="O28" s="1">
        <v>23.6</v>
      </c>
      <c r="P28" s="1">
        <v>16.3</v>
      </c>
      <c r="Q28" s="1">
        <v>1000.4</v>
      </c>
      <c r="R28" s="1">
        <v>0.2</v>
      </c>
      <c r="S28" s="1">
        <v>75.599999999999994</v>
      </c>
      <c r="T28" s="5">
        <v>7.4399999999999994E-2</v>
      </c>
      <c r="U28" s="9">
        <v>6.0000000000000001E-3</v>
      </c>
    </row>
    <row r="29" spans="1:21" customFormat="1">
      <c r="A29">
        <v>1</v>
      </c>
      <c r="B29">
        <v>53</v>
      </c>
      <c r="C29">
        <v>3</v>
      </c>
      <c r="D29">
        <v>1</v>
      </c>
      <c r="E29">
        <v>2020</v>
      </c>
      <c r="F29">
        <v>14106</v>
      </c>
      <c r="G29" t="str">
        <f>VLOOKUP(F29,'[1]Sheet 1'!$B$2:$E$347,2,FALSE)</f>
        <v>Los Ríos</v>
      </c>
      <c r="H29" t="str">
        <f>VLOOKUP(F29,'[1]Sheet 1'!$B$2:$E$347,3,FALSE)</f>
        <v>Valdivia</v>
      </c>
      <c r="I29" t="str">
        <f>VLOOKUP(F29,'[1]Sheet 1'!$B$2:$E$347,4,FALSE)</f>
        <v>Mariquina</v>
      </c>
      <c r="J29" t="s">
        <v>136</v>
      </c>
      <c r="K29" s="3" t="s">
        <v>4</v>
      </c>
      <c r="L29" s="12" t="str">
        <f>VLOOKUP(K29,[2]Hoja4!$A$2:$C$443,2,FALSE)</f>
        <v>Intentional self-harm by hanging, strangulation and suffocation</v>
      </c>
      <c r="M29" s="12" t="str">
        <f>VLOOKUP(K29,[2]Hoja4!$A$2:$C$443,3,FALSE)</f>
        <v>At home</v>
      </c>
      <c r="N29" s="1">
        <v>7.2</v>
      </c>
      <c r="O29" s="1">
        <v>29</v>
      </c>
      <c r="P29" s="1">
        <v>18.5</v>
      </c>
      <c r="Q29" s="1">
        <v>1016.9</v>
      </c>
      <c r="R29" s="1">
        <v>0</v>
      </c>
      <c r="S29" s="1">
        <v>78.400000000000006</v>
      </c>
      <c r="T29" s="5">
        <v>7.4399999999999994E-2</v>
      </c>
      <c r="U29" s="9">
        <v>6.0000000000000001E-3</v>
      </c>
    </row>
    <row r="30" spans="1:21" customFormat="1">
      <c r="A30">
        <v>1</v>
      </c>
      <c r="B30">
        <v>43</v>
      </c>
      <c r="C30">
        <v>3</v>
      </c>
      <c r="D30">
        <v>1</v>
      </c>
      <c r="E30">
        <v>2020</v>
      </c>
      <c r="F30">
        <v>13111</v>
      </c>
      <c r="G30" t="str">
        <f>VLOOKUP(F30,'[1]Sheet 1'!$B$2:$E$347,2,FALSE)</f>
        <v>Metropolitana de Santiago</v>
      </c>
      <c r="H30" t="str">
        <f>VLOOKUP(F30,'[1]Sheet 1'!$B$2:$E$347,3,FALSE)</f>
        <v>Santiago</v>
      </c>
      <c r="I30" t="str">
        <f>VLOOKUP(F30,'[1]Sheet 1'!$B$2:$E$347,4,FALSE)</f>
        <v>La Granja</v>
      </c>
      <c r="J30" t="s">
        <v>136</v>
      </c>
      <c r="K30" s="3" t="s">
        <v>0</v>
      </c>
      <c r="L30" s="12" t="str">
        <f>VLOOKUP(K30,[2]Hoja4!$A$2:$C$443,2,FALSE)</f>
        <v>Intentional self-harm by hanging, strangulation and suffocation</v>
      </c>
      <c r="M30" s="12" t="str">
        <f>VLOOKUP(K30,[2]Hoja4!$A$2:$C$443,3,FALSE)</f>
        <v>Unspecified place</v>
      </c>
      <c r="N30" s="1">
        <v>12.2</v>
      </c>
      <c r="O30" s="1">
        <v>30.8</v>
      </c>
      <c r="P30" s="1">
        <v>20.8</v>
      </c>
      <c r="Q30" s="1">
        <v>956.4</v>
      </c>
      <c r="R30" s="1"/>
      <c r="S30" s="1">
        <v>81.5</v>
      </c>
      <c r="T30" s="5">
        <v>7.4399999999999994E-2</v>
      </c>
      <c r="U30" s="9">
        <v>6.0000000000000001E-3</v>
      </c>
    </row>
    <row r="31" spans="1:21" customFormat="1">
      <c r="A31">
        <v>2</v>
      </c>
      <c r="B31">
        <v>39</v>
      </c>
      <c r="C31">
        <v>3</v>
      </c>
      <c r="D31">
        <v>1</v>
      </c>
      <c r="E31">
        <v>2020</v>
      </c>
      <c r="F31">
        <v>8108</v>
      </c>
      <c r="G31" t="str">
        <f>VLOOKUP(F31,'[1]Sheet 1'!$B$2:$E$347,2,FALSE)</f>
        <v>Biobío</v>
      </c>
      <c r="H31" t="str">
        <f>VLOOKUP(F31,'[1]Sheet 1'!$B$2:$E$347,3,FALSE)</f>
        <v>Concepción</v>
      </c>
      <c r="I31" t="str">
        <f>VLOOKUP(F31,'[1]Sheet 1'!$B$2:$E$347,4,FALSE)</f>
        <v>San Pedro de la Paz</v>
      </c>
      <c r="J31" t="s">
        <v>136</v>
      </c>
      <c r="K31" s="3" t="s">
        <v>4</v>
      </c>
      <c r="L31" s="12" t="str">
        <f>VLOOKUP(K31,[2]Hoja4!$A$2:$C$443,2,FALSE)</f>
        <v>Intentional self-harm by hanging, strangulation and suffocation</v>
      </c>
      <c r="M31" s="12" t="str">
        <f>VLOOKUP(K31,[2]Hoja4!$A$2:$C$443,3,FALSE)</f>
        <v>At home</v>
      </c>
      <c r="N31" s="1">
        <v>13.3</v>
      </c>
      <c r="O31" s="1">
        <v>26.4</v>
      </c>
      <c r="P31" s="1">
        <v>18.2</v>
      </c>
      <c r="Q31" s="1">
        <v>1016.8</v>
      </c>
      <c r="R31" s="1">
        <v>0</v>
      </c>
      <c r="S31" s="1">
        <v>99.5</v>
      </c>
      <c r="T31" s="5">
        <v>7.4399999999999994E-2</v>
      </c>
      <c r="U31" s="9">
        <v>6.0000000000000001E-3</v>
      </c>
    </row>
    <row r="32" spans="1:21" customFormat="1">
      <c r="A32">
        <v>1</v>
      </c>
      <c r="B32">
        <v>19</v>
      </c>
      <c r="C32">
        <v>3</v>
      </c>
      <c r="D32">
        <v>1</v>
      </c>
      <c r="E32">
        <v>2020</v>
      </c>
      <c r="F32">
        <v>5502</v>
      </c>
      <c r="G32" t="str">
        <f>VLOOKUP(F32,'[1]Sheet 1'!$B$2:$E$347,2,FALSE)</f>
        <v>Valparaíso</v>
      </c>
      <c r="H32" t="str">
        <f>VLOOKUP(F32,'[1]Sheet 1'!$B$2:$E$347,3,FALSE)</f>
        <v>Quillota</v>
      </c>
      <c r="I32" t="str">
        <f>VLOOKUP(F32,'[1]Sheet 1'!$B$2:$E$347,4,FALSE)</f>
        <v>Calera</v>
      </c>
      <c r="J32" t="s">
        <v>136</v>
      </c>
      <c r="K32" s="3" t="s">
        <v>0</v>
      </c>
      <c r="L32" s="12" t="str">
        <f>VLOOKUP(K32,[2]Hoja4!$A$2:$C$443,2,FALSE)</f>
        <v>Intentional self-harm by hanging, strangulation and suffocation</v>
      </c>
      <c r="M32" s="12" t="str">
        <f>VLOOKUP(K32,[2]Hoja4!$A$2:$C$443,3,FALSE)</f>
        <v>Unspecified place</v>
      </c>
      <c r="N32" s="1">
        <v>11.4</v>
      </c>
      <c r="O32" s="1">
        <v>27.3</v>
      </c>
      <c r="P32" s="1">
        <v>17.7</v>
      </c>
      <c r="Q32" s="1">
        <v>997.3</v>
      </c>
      <c r="R32" s="1">
        <v>0</v>
      </c>
      <c r="S32" s="1" t="s">
        <v>119</v>
      </c>
      <c r="T32" s="5">
        <v>7.4399999999999994E-2</v>
      </c>
      <c r="U32" s="9">
        <v>6.0000000000000001E-3</v>
      </c>
    </row>
    <row r="33" spans="1:21" customFormat="1">
      <c r="A33">
        <v>1</v>
      </c>
      <c r="B33">
        <v>54</v>
      </c>
      <c r="C33">
        <v>4</v>
      </c>
      <c r="D33">
        <v>1</v>
      </c>
      <c r="E33">
        <v>2020</v>
      </c>
      <c r="F33">
        <v>3301</v>
      </c>
      <c r="G33" t="str">
        <f>VLOOKUP(F33,'[1]Sheet 1'!$B$2:$E$347,2,FALSE)</f>
        <v>Atacama</v>
      </c>
      <c r="H33" t="str">
        <f>VLOOKUP(F33,'[1]Sheet 1'!$B$2:$E$347,3,FALSE)</f>
        <v>Huasco</v>
      </c>
      <c r="I33" t="str">
        <f>VLOOKUP(F33,'[1]Sheet 1'!$B$2:$E$347,4,FALSE)</f>
        <v>Vallenar</v>
      </c>
      <c r="J33" t="s">
        <v>136</v>
      </c>
      <c r="K33" s="3" t="s">
        <v>0</v>
      </c>
      <c r="L33" s="12" t="str">
        <f>VLOOKUP(K33,[2]Hoja4!$A$2:$C$443,2,FALSE)</f>
        <v>Intentional self-harm by hanging, strangulation and suffocation</v>
      </c>
      <c r="M33" s="12" t="str">
        <f>VLOOKUP(K33,[2]Hoja4!$A$2:$C$443,3,FALSE)</f>
        <v>Unspecified place</v>
      </c>
      <c r="N33" s="1">
        <v>10.8</v>
      </c>
      <c r="O33" s="1">
        <v>25</v>
      </c>
      <c r="P33" s="1">
        <v>17</v>
      </c>
      <c r="Q33" s="1">
        <v>961.3</v>
      </c>
      <c r="R33" s="1">
        <v>0</v>
      </c>
      <c r="S33" s="1" t="s">
        <v>106</v>
      </c>
      <c r="T33" s="5">
        <v>7.4399999999999994E-2</v>
      </c>
      <c r="U33" s="9">
        <v>6.0000000000000001E-3</v>
      </c>
    </row>
    <row r="34" spans="1:21" customFormat="1">
      <c r="A34">
        <v>1</v>
      </c>
      <c r="B34">
        <v>56</v>
      </c>
      <c r="C34">
        <v>4</v>
      </c>
      <c r="D34">
        <v>1</v>
      </c>
      <c r="E34">
        <v>2020</v>
      </c>
      <c r="F34">
        <v>12101</v>
      </c>
      <c r="G34" t="str">
        <f>VLOOKUP(F34,'[1]Sheet 1'!$B$2:$E$347,2,FALSE)</f>
        <v>Magallanes y de la Antártica Chilena</v>
      </c>
      <c r="H34" t="str">
        <f>VLOOKUP(F34,'[1]Sheet 1'!$B$2:$E$347,3,FALSE)</f>
        <v>Magallanes</v>
      </c>
      <c r="I34" t="str">
        <f>VLOOKUP(F34,'[1]Sheet 1'!$B$2:$E$347,4,FALSE)</f>
        <v>Punta Arenas</v>
      </c>
      <c r="J34" t="s">
        <v>136</v>
      </c>
      <c r="K34" s="3" t="s">
        <v>0</v>
      </c>
      <c r="L34" s="12" t="str">
        <f>VLOOKUP(K34,[2]Hoja4!$A$2:$C$443,2,FALSE)</f>
        <v>Intentional self-harm by hanging, strangulation and suffocation</v>
      </c>
      <c r="M34" s="12" t="str">
        <f>VLOOKUP(K34,[2]Hoja4!$A$2:$C$443,3,FALSE)</f>
        <v>Unspecified place</v>
      </c>
      <c r="N34" s="1">
        <v>6.6</v>
      </c>
      <c r="O34" s="1">
        <v>15.1</v>
      </c>
      <c r="P34" s="1">
        <v>10.5</v>
      </c>
      <c r="Q34" s="1">
        <v>1001.3</v>
      </c>
      <c r="R34" s="1">
        <v>5.6</v>
      </c>
      <c r="S34" s="1">
        <v>43.4</v>
      </c>
      <c r="T34" s="5">
        <v>7.4399999999999994E-2</v>
      </c>
      <c r="U34" s="9">
        <v>6.0000000000000001E-3</v>
      </c>
    </row>
    <row r="35" spans="1:21" customFormat="1">
      <c r="A35">
        <v>1</v>
      </c>
      <c r="B35">
        <v>42</v>
      </c>
      <c r="C35">
        <v>4</v>
      </c>
      <c r="D35">
        <v>1</v>
      </c>
      <c r="E35">
        <v>2020</v>
      </c>
      <c r="F35">
        <v>13110</v>
      </c>
      <c r="G35" t="str">
        <f>VLOOKUP(F35,'[1]Sheet 1'!$B$2:$E$347,2,FALSE)</f>
        <v>Metropolitana de Santiago</v>
      </c>
      <c r="H35" t="str">
        <f>VLOOKUP(F35,'[1]Sheet 1'!$B$2:$E$347,3,FALSE)</f>
        <v>Santiago</v>
      </c>
      <c r="I35" t="str">
        <f>VLOOKUP(F35,'[1]Sheet 1'!$B$2:$E$347,4,FALSE)</f>
        <v>La Florida</v>
      </c>
      <c r="J35" t="s">
        <v>136</v>
      </c>
      <c r="K35" s="3" t="s">
        <v>0</v>
      </c>
      <c r="L35" s="12" t="str">
        <f>VLOOKUP(K35,[2]Hoja4!$A$2:$C$443,2,FALSE)</f>
        <v>Intentional self-harm by hanging, strangulation and suffocation</v>
      </c>
      <c r="M35" s="12" t="str">
        <f>VLOOKUP(K35,[2]Hoja4!$A$2:$C$443,3,FALSE)</f>
        <v>Unspecified place</v>
      </c>
      <c r="N35" s="1">
        <v>15.3</v>
      </c>
      <c r="O35" s="1">
        <v>31.6</v>
      </c>
      <c r="P35" s="1">
        <v>22.9</v>
      </c>
      <c r="Q35" s="1">
        <v>953.9</v>
      </c>
      <c r="R35" s="1"/>
      <c r="S35" s="1">
        <v>48.2</v>
      </c>
      <c r="T35" s="5">
        <v>7.4399999999999994E-2</v>
      </c>
      <c r="U35" s="9">
        <v>6.0000000000000001E-3</v>
      </c>
    </row>
    <row r="36" spans="1:21" customFormat="1">
      <c r="A36">
        <v>1</v>
      </c>
      <c r="B36">
        <v>37</v>
      </c>
      <c r="C36">
        <v>4</v>
      </c>
      <c r="D36">
        <v>1</v>
      </c>
      <c r="E36">
        <v>2020</v>
      </c>
      <c r="F36">
        <v>8108</v>
      </c>
      <c r="G36" t="str">
        <f>VLOOKUP(F36,'[1]Sheet 1'!$B$2:$E$347,2,FALSE)</f>
        <v>Biobío</v>
      </c>
      <c r="H36" t="str">
        <f>VLOOKUP(F36,'[1]Sheet 1'!$B$2:$E$347,3,FALSE)</f>
        <v>Concepción</v>
      </c>
      <c r="I36" t="str">
        <f>VLOOKUP(F36,'[1]Sheet 1'!$B$2:$E$347,4,FALSE)</f>
        <v>San Pedro de la Paz</v>
      </c>
      <c r="J36" t="s">
        <v>136</v>
      </c>
      <c r="K36" s="3" t="s">
        <v>4</v>
      </c>
      <c r="L36" s="12" t="str">
        <f>VLOOKUP(K36,[2]Hoja4!$A$2:$C$443,2,FALSE)</f>
        <v>Intentional self-harm by hanging, strangulation and suffocation</v>
      </c>
      <c r="M36" s="12" t="str">
        <f>VLOOKUP(K36,[2]Hoja4!$A$2:$C$443,3,FALSE)</f>
        <v>At home</v>
      </c>
      <c r="N36" s="1">
        <v>14.7</v>
      </c>
      <c r="O36" s="1">
        <v>24.7</v>
      </c>
      <c r="P36" s="1">
        <v>19.3</v>
      </c>
      <c r="Q36" s="1">
        <v>1014.3</v>
      </c>
      <c r="R36" s="1">
        <v>0</v>
      </c>
      <c r="S36" s="1">
        <v>64.2</v>
      </c>
      <c r="T36" s="5">
        <v>7.4399999999999994E-2</v>
      </c>
      <c r="U36" s="9">
        <v>6.0000000000000001E-3</v>
      </c>
    </row>
    <row r="37" spans="1:21" customFormat="1">
      <c r="A37">
        <v>1</v>
      </c>
      <c r="B37">
        <v>21</v>
      </c>
      <c r="C37">
        <v>4</v>
      </c>
      <c r="D37">
        <v>1</v>
      </c>
      <c r="E37">
        <v>2020</v>
      </c>
      <c r="F37">
        <v>6108</v>
      </c>
      <c r="G37" t="str">
        <f>VLOOKUP(F37,'[1]Sheet 1'!$B$2:$E$347,2,FALSE)</f>
        <v>Libertador General Bernardo O'Higgins</v>
      </c>
      <c r="H37" t="str">
        <f>VLOOKUP(F37,'[1]Sheet 1'!$B$2:$E$347,3,FALSE)</f>
        <v>Cachapoal</v>
      </c>
      <c r="I37" t="str">
        <f>VLOOKUP(F37,'[1]Sheet 1'!$B$2:$E$347,4,FALSE)</f>
        <v>Machalí</v>
      </c>
      <c r="J37" t="s">
        <v>136</v>
      </c>
      <c r="K37" s="3" t="s">
        <v>0</v>
      </c>
      <c r="L37" s="12" t="str">
        <f>VLOOKUP(K37,[2]Hoja4!$A$2:$C$443,2,FALSE)</f>
        <v>Intentional self-harm by hanging, strangulation and suffocation</v>
      </c>
      <c r="M37" s="12" t="str">
        <f>VLOOKUP(K37,[2]Hoja4!$A$2:$C$443,3,FALSE)</f>
        <v>Unspecified place</v>
      </c>
      <c r="N37" s="1">
        <v>16.399999999999999</v>
      </c>
      <c r="O37" s="1">
        <v>33</v>
      </c>
      <c r="P37" s="1">
        <v>24.7</v>
      </c>
      <c r="Q37" s="1">
        <v>957.3</v>
      </c>
      <c r="R37" s="1">
        <v>0</v>
      </c>
      <c r="S37" s="1">
        <v>47.9</v>
      </c>
      <c r="T37" s="5">
        <v>7.4399999999999994E-2</v>
      </c>
      <c r="U37" s="9">
        <v>6.0000000000000001E-3</v>
      </c>
    </row>
    <row r="38" spans="1:21" customFormat="1">
      <c r="A38">
        <v>1</v>
      </c>
      <c r="B38">
        <v>27</v>
      </c>
      <c r="C38">
        <v>4</v>
      </c>
      <c r="D38">
        <v>1</v>
      </c>
      <c r="E38">
        <v>2020</v>
      </c>
      <c r="F38">
        <v>13110</v>
      </c>
      <c r="G38" t="str">
        <f>VLOOKUP(F38,'[1]Sheet 1'!$B$2:$E$347,2,FALSE)</f>
        <v>Metropolitana de Santiago</v>
      </c>
      <c r="H38" t="str">
        <f>VLOOKUP(F38,'[1]Sheet 1'!$B$2:$E$347,3,FALSE)</f>
        <v>Santiago</v>
      </c>
      <c r="I38" t="str">
        <f>VLOOKUP(F38,'[1]Sheet 1'!$B$2:$E$347,4,FALSE)</f>
        <v>La Florida</v>
      </c>
      <c r="J38" t="s">
        <v>136</v>
      </c>
      <c r="K38" s="3" t="s">
        <v>0</v>
      </c>
      <c r="L38" s="12" t="str">
        <f>VLOOKUP(K38,[2]Hoja4!$A$2:$C$443,2,FALSE)</f>
        <v>Intentional self-harm by hanging, strangulation and suffocation</v>
      </c>
      <c r="M38" s="12" t="str">
        <f>VLOOKUP(K38,[2]Hoja4!$A$2:$C$443,3,FALSE)</f>
        <v>Unspecified place</v>
      </c>
      <c r="N38" s="1">
        <v>15.3</v>
      </c>
      <c r="O38" s="1">
        <v>31.6</v>
      </c>
      <c r="P38" s="1">
        <v>22.9</v>
      </c>
      <c r="Q38" s="1">
        <v>953.9</v>
      </c>
      <c r="R38" s="1"/>
      <c r="S38" s="1">
        <v>48.2</v>
      </c>
      <c r="T38" s="5">
        <v>7.4399999999999994E-2</v>
      </c>
      <c r="U38" s="9">
        <v>6.0000000000000001E-3</v>
      </c>
    </row>
    <row r="39" spans="1:21" customFormat="1">
      <c r="A39">
        <v>1</v>
      </c>
      <c r="B39">
        <v>74</v>
      </c>
      <c r="C39">
        <v>5</v>
      </c>
      <c r="D39">
        <v>1</v>
      </c>
      <c r="E39">
        <v>2020</v>
      </c>
      <c r="F39">
        <v>8203</v>
      </c>
      <c r="G39" t="str">
        <f>VLOOKUP(F39,'[1]Sheet 1'!$B$2:$E$347,2,FALSE)</f>
        <v>Biobío</v>
      </c>
      <c r="H39" t="str">
        <f>VLOOKUP(F39,'[1]Sheet 1'!$B$2:$E$347,3,FALSE)</f>
        <v>Arauco</v>
      </c>
      <c r="I39" t="str">
        <f>VLOOKUP(F39,'[1]Sheet 1'!$B$2:$E$347,4,FALSE)</f>
        <v>Cañete</v>
      </c>
      <c r="J39" t="s">
        <v>136</v>
      </c>
      <c r="K39" s="3" t="s">
        <v>4</v>
      </c>
      <c r="L39" s="12" t="str">
        <f>VLOOKUP(K39,[2]Hoja4!$A$2:$C$443,2,FALSE)</f>
        <v>Intentional self-harm by hanging, strangulation and suffocation</v>
      </c>
      <c r="M39" s="12" t="str">
        <f>VLOOKUP(K39,[2]Hoja4!$A$2:$C$443,3,FALSE)</f>
        <v>At home</v>
      </c>
      <c r="N39" s="1">
        <v>11.7</v>
      </c>
      <c r="O39" s="1">
        <v>20.6</v>
      </c>
      <c r="P39" s="1">
        <v>15.6</v>
      </c>
      <c r="Q39" s="1">
        <v>1017.5</v>
      </c>
      <c r="R39" s="1">
        <v>0</v>
      </c>
      <c r="S39" s="1">
        <v>65.8</v>
      </c>
      <c r="T39" s="5">
        <v>7.4399999999999994E-2</v>
      </c>
      <c r="U39" s="9">
        <v>6.0000000000000001E-3</v>
      </c>
    </row>
    <row r="40" spans="1:21" customFormat="1">
      <c r="A40">
        <v>1</v>
      </c>
      <c r="B40">
        <v>57</v>
      </c>
      <c r="C40">
        <v>5</v>
      </c>
      <c r="D40">
        <v>1</v>
      </c>
      <c r="E40">
        <v>2020</v>
      </c>
      <c r="F40">
        <v>13301</v>
      </c>
      <c r="G40" t="str">
        <f>VLOOKUP(F40,'[1]Sheet 1'!$B$2:$E$347,2,FALSE)</f>
        <v>Metropolitana de Santiago</v>
      </c>
      <c r="H40" t="str">
        <f>VLOOKUP(F40,'[1]Sheet 1'!$B$2:$E$347,3,FALSE)</f>
        <v>Chacabuco</v>
      </c>
      <c r="I40" t="str">
        <f>VLOOKUP(F40,'[1]Sheet 1'!$B$2:$E$347,4,FALSE)</f>
        <v>Colina</v>
      </c>
      <c r="J40" t="s">
        <v>136</v>
      </c>
      <c r="K40" s="3" t="s">
        <v>0</v>
      </c>
      <c r="L40" s="12" t="str">
        <f>VLOOKUP(K40,[2]Hoja4!$A$2:$C$443,2,FALSE)</f>
        <v>Intentional self-harm by hanging, strangulation and suffocation</v>
      </c>
      <c r="M40" s="12" t="str">
        <f>VLOOKUP(K40,[2]Hoja4!$A$2:$C$443,3,FALSE)</f>
        <v>Unspecified place</v>
      </c>
      <c r="N40" s="1"/>
      <c r="O40" s="1"/>
      <c r="P40" s="1"/>
      <c r="Q40" s="1"/>
      <c r="R40" s="1"/>
      <c r="S40" s="1"/>
      <c r="T40" s="5">
        <v>7.4399999999999994E-2</v>
      </c>
      <c r="U40" s="9">
        <v>6.0000000000000001E-3</v>
      </c>
    </row>
    <row r="41" spans="1:21" customFormat="1">
      <c r="A41">
        <v>1</v>
      </c>
      <c r="B41">
        <v>39</v>
      </c>
      <c r="C41">
        <v>5</v>
      </c>
      <c r="D41">
        <v>1</v>
      </c>
      <c r="E41">
        <v>2020</v>
      </c>
      <c r="F41">
        <v>7407</v>
      </c>
      <c r="G41" t="str">
        <f>VLOOKUP(F41,'[1]Sheet 1'!$B$2:$E$347,2,FALSE)</f>
        <v>Maule</v>
      </c>
      <c r="H41" t="str">
        <f>VLOOKUP(F41,'[1]Sheet 1'!$B$2:$E$347,3,FALSE)</f>
        <v>Linares</v>
      </c>
      <c r="I41" t="str">
        <f>VLOOKUP(F41,'[1]Sheet 1'!$B$2:$E$347,4,FALSE)</f>
        <v>Villa Alegre</v>
      </c>
      <c r="J41" t="s">
        <v>136</v>
      </c>
      <c r="K41" s="3" t="s">
        <v>4</v>
      </c>
      <c r="L41" s="12" t="str">
        <f>VLOOKUP(K41,[2]Hoja4!$A$2:$C$443,2,FALSE)</f>
        <v>Intentional self-harm by hanging, strangulation and suffocation</v>
      </c>
      <c r="M41" s="12" t="str">
        <f>VLOOKUP(K41,[2]Hoja4!$A$2:$C$443,3,FALSE)</f>
        <v>At home</v>
      </c>
      <c r="N41" s="1">
        <v>10.8</v>
      </c>
      <c r="O41" s="1">
        <v>23.6</v>
      </c>
      <c r="P41" s="1">
        <v>17.2</v>
      </c>
      <c r="Q41" s="1">
        <v>995.3</v>
      </c>
      <c r="R41" s="1">
        <v>0</v>
      </c>
      <c r="S41" s="1">
        <v>50.2</v>
      </c>
      <c r="T41" s="5">
        <v>7.4399999999999994E-2</v>
      </c>
      <c r="U41" s="9">
        <v>6.0000000000000001E-3</v>
      </c>
    </row>
    <row r="42" spans="1:21" customFormat="1">
      <c r="A42">
        <v>1</v>
      </c>
      <c r="B42">
        <v>29</v>
      </c>
      <c r="C42">
        <v>5</v>
      </c>
      <c r="D42">
        <v>1</v>
      </c>
      <c r="E42">
        <v>2020</v>
      </c>
      <c r="F42">
        <v>9101</v>
      </c>
      <c r="G42" t="str">
        <f>VLOOKUP(F42,'[1]Sheet 1'!$B$2:$E$347,2,FALSE)</f>
        <v>La Araucanía</v>
      </c>
      <c r="H42" t="str">
        <f>VLOOKUP(F42,'[1]Sheet 1'!$B$2:$E$347,3,FALSE)</f>
        <v>Cautín</v>
      </c>
      <c r="I42" t="str">
        <f>VLOOKUP(F42,'[1]Sheet 1'!$B$2:$E$347,4,FALSE)</f>
        <v>Temuco</v>
      </c>
      <c r="J42" t="s">
        <v>136</v>
      </c>
      <c r="K42" s="3" t="s">
        <v>2</v>
      </c>
      <c r="L42" s="12" t="str">
        <f>VLOOKUP(K42,[2]Hoja4!$A$2:$C$443,2,FALSE)</f>
        <v>Intentional self-harm by hanging, strangulation and suffocation</v>
      </c>
      <c r="M42" s="12" t="str">
        <f>VLOOKUP(K42,[2]Hoja4!$A$2:$C$443,3,FALSE)</f>
        <v>Street and highway</v>
      </c>
      <c r="N42" s="1">
        <v>7.9</v>
      </c>
      <c r="O42" s="1">
        <v>19.100000000000001</v>
      </c>
      <c r="P42" s="1">
        <v>13.3</v>
      </c>
      <c r="Q42" s="1">
        <v>1005.6</v>
      </c>
      <c r="R42" s="1">
        <v>0.6</v>
      </c>
      <c r="S42" s="1">
        <v>79.2</v>
      </c>
      <c r="T42" s="5">
        <v>7.4399999999999994E-2</v>
      </c>
      <c r="U42" s="9">
        <v>6.0000000000000001E-3</v>
      </c>
    </row>
    <row r="43" spans="1:21" customFormat="1">
      <c r="A43">
        <v>1</v>
      </c>
      <c r="B43">
        <v>22</v>
      </c>
      <c r="C43">
        <v>5</v>
      </c>
      <c r="D43">
        <v>1</v>
      </c>
      <c r="E43">
        <v>2020</v>
      </c>
      <c r="F43">
        <v>8101</v>
      </c>
      <c r="G43" t="str">
        <f>VLOOKUP(F43,'[1]Sheet 1'!$B$2:$E$347,2,FALSE)</f>
        <v>Biobío</v>
      </c>
      <c r="H43" t="str">
        <f>VLOOKUP(F43,'[1]Sheet 1'!$B$2:$E$347,3,FALSE)</f>
        <v>Concepción</v>
      </c>
      <c r="I43" t="str">
        <f>VLOOKUP(F43,'[1]Sheet 1'!$B$2:$E$347,4,FALSE)</f>
        <v>Concepción</v>
      </c>
      <c r="J43" t="s">
        <v>136</v>
      </c>
      <c r="K43" s="3" t="s">
        <v>0</v>
      </c>
      <c r="L43" s="12" t="str">
        <f>VLOOKUP(K43,[2]Hoja4!$A$2:$C$443,2,FALSE)</f>
        <v>Intentional self-harm by hanging, strangulation and suffocation</v>
      </c>
      <c r="M43" s="12" t="str">
        <f>VLOOKUP(K43,[2]Hoja4!$A$2:$C$443,3,FALSE)</f>
        <v>Unspecified place</v>
      </c>
      <c r="N43" s="1">
        <v>11.7</v>
      </c>
      <c r="O43" s="1">
        <v>20.6</v>
      </c>
      <c r="P43" s="1">
        <v>15.6</v>
      </c>
      <c r="Q43" s="1">
        <v>1017.5</v>
      </c>
      <c r="R43" s="1">
        <v>0</v>
      </c>
      <c r="S43" s="1">
        <v>65.8</v>
      </c>
      <c r="T43" s="5">
        <v>7.4399999999999994E-2</v>
      </c>
      <c r="U43" s="9">
        <v>6.0000000000000001E-3</v>
      </c>
    </row>
    <row r="44" spans="1:21" customFormat="1">
      <c r="A44">
        <v>1</v>
      </c>
      <c r="B44">
        <v>57</v>
      </c>
      <c r="C44">
        <v>6</v>
      </c>
      <c r="D44">
        <v>1</v>
      </c>
      <c r="E44">
        <v>2020</v>
      </c>
      <c r="F44">
        <v>9204</v>
      </c>
      <c r="G44" t="str">
        <f>VLOOKUP(F44,'[1]Sheet 1'!$B$2:$E$347,2,FALSE)</f>
        <v>La Araucanía</v>
      </c>
      <c r="H44" t="str">
        <f>VLOOKUP(F44,'[1]Sheet 1'!$B$2:$E$347,3,FALSE)</f>
        <v>Malleco</v>
      </c>
      <c r="I44" t="str">
        <f>VLOOKUP(F44,'[1]Sheet 1'!$B$2:$E$347,4,FALSE)</f>
        <v>Ercilla</v>
      </c>
      <c r="J44" t="s">
        <v>136</v>
      </c>
      <c r="K44" s="3" t="s">
        <v>0</v>
      </c>
      <c r="L44" s="12" t="str">
        <f>VLOOKUP(K44,[2]Hoja4!$A$2:$C$443,2,FALSE)</f>
        <v>Intentional self-harm by hanging, strangulation and suffocation</v>
      </c>
      <c r="M44" s="12" t="str">
        <f>VLOOKUP(K44,[2]Hoja4!$A$2:$C$443,3,FALSE)</f>
        <v>Unspecified place</v>
      </c>
      <c r="N44" s="1">
        <v>6.9</v>
      </c>
      <c r="O44" s="1"/>
      <c r="P44" s="1"/>
      <c r="Q44" s="1">
        <v>1009.9</v>
      </c>
      <c r="R44" s="1">
        <v>0</v>
      </c>
      <c r="S44" s="1">
        <v>60.2</v>
      </c>
      <c r="T44" s="5">
        <v>7.4399999999999994E-2</v>
      </c>
      <c r="U44" s="9">
        <v>6.0000000000000001E-3</v>
      </c>
    </row>
    <row r="45" spans="1:21" customFormat="1">
      <c r="A45">
        <v>1</v>
      </c>
      <c r="B45">
        <v>55</v>
      </c>
      <c r="C45">
        <v>6</v>
      </c>
      <c r="D45">
        <v>1</v>
      </c>
      <c r="E45">
        <v>2020</v>
      </c>
      <c r="F45">
        <v>13201</v>
      </c>
      <c r="G45" t="str">
        <f>VLOOKUP(F45,'[1]Sheet 1'!$B$2:$E$347,2,FALSE)</f>
        <v>Metropolitana de Santiago</v>
      </c>
      <c r="H45" t="str">
        <f>VLOOKUP(F45,'[1]Sheet 1'!$B$2:$E$347,3,FALSE)</f>
        <v>Cordillera</v>
      </c>
      <c r="I45" t="str">
        <f>VLOOKUP(F45,'[1]Sheet 1'!$B$2:$E$347,4,FALSE)</f>
        <v>Puente Alto</v>
      </c>
      <c r="J45" t="s">
        <v>136</v>
      </c>
      <c r="K45" s="3" t="s">
        <v>0</v>
      </c>
      <c r="L45" s="12" t="str">
        <f>VLOOKUP(K45,[2]Hoja4!$A$2:$C$443,2,FALSE)</f>
        <v>Intentional self-harm by hanging, strangulation and suffocation</v>
      </c>
      <c r="M45" s="12" t="str">
        <f>VLOOKUP(K45,[2]Hoja4!$A$2:$C$443,3,FALSE)</f>
        <v>Unspecified place</v>
      </c>
      <c r="N45" s="1">
        <v>8.8000000000000007</v>
      </c>
      <c r="O45" s="1">
        <v>27.4</v>
      </c>
      <c r="P45" s="1">
        <v>17.2</v>
      </c>
      <c r="Q45" s="1">
        <v>939.6</v>
      </c>
      <c r="R45" s="1">
        <v>0</v>
      </c>
      <c r="S45" s="1">
        <v>61.4</v>
      </c>
      <c r="T45" s="5">
        <v>7.4399999999999994E-2</v>
      </c>
      <c r="U45" s="9">
        <v>6.0000000000000001E-3</v>
      </c>
    </row>
    <row r="46" spans="1:21" customFormat="1">
      <c r="A46">
        <v>1</v>
      </c>
      <c r="B46">
        <v>35</v>
      </c>
      <c r="C46">
        <v>6</v>
      </c>
      <c r="D46">
        <v>1</v>
      </c>
      <c r="E46">
        <v>2020</v>
      </c>
      <c r="F46">
        <v>13119</v>
      </c>
      <c r="G46" t="str">
        <f>VLOOKUP(F46,'[1]Sheet 1'!$B$2:$E$347,2,FALSE)</f>
        <v>Metropolitana de Santiago</v>
      </c>
      <c r="H46" t="str">
        <f>VLOOKUP(F46,'[1]Sheet 1'!$B$2:$E$347,3,FALSE)</f>
        <v>Santiago</v>
      </c>
      <c r="I46" t="str">
        <f>VLOOKUP(F46,'[1]Sheet 1'!$B$2:$E$347,4,FALSE)</f>
        <v>Maipú</v>
      </c>
      <c r="J46" t="s">
        <v>136</v>
      </c>
      <c r="K46" s="3" t="s">
        <v>0</v>
      </c>
      <c r="L46" s="12" t="str">
        <f>VLOOKUP(K46,[2]Hoja4!$A$2:$C$443,2,FALSE)</f>
        <v>Intentional self-harm by hanging, strangulation and suffocation</v>
      </c>
      <c r="M46" s="12" t="str">
        <f>VLOOKUP(K46,[2]Hoja4!$A$2:$C$443,3,FALSE)</f>
        <v>Unspecified place</v>
      </c>
      <c r="N46" s="1">
        <v>11.3</v>
      </c>
      <c r="O46" s="1">
        <v>27.2</v>
      </c>
      <c r="P46" s="1">
        <v>18.100000000000001</v>
      </c>
      <c r="Q46" s="1">
        <v>955.8</v>
      </c>
      <c r="R46" s="1"/>
      <c r="S46" s="1">
        <v>54.5</v>
      </c>
      <c r="T46" s="5">
        <v>7.4399999999999994E-2</v>
      </c>
      <c r="U46" s="9">
        <v>6.0000000000000001E-3</v>
      </c>
    </row>
    <row r="47" spans="1:21" customFormat="1">
      <c r="A47">
        <v>1</v>
      </c>
      <c r="B47">
        <v>32</v>
      </c>
      <c r="C47">
        <v>6</v>
      </c>
      <c r="D47">
        <v>1</v>
      </c>
      <c r="E47">
        <v>2020</v>
      </c>
      <c r="F47">
        <v>9116</v>
      </c>
      <c r="G47" t="str">
        <f>VLOOKUP(F47,'[1]Sheet 1'!$B$2:$E$347,2,FALSE)</f>
        <v>La Araucanía</v>
      </c>
      <c r="H47" t="str">
        <f>VLOOKUP(F47,'[1]Sheet 1'!$B$2:$E$347,3,FALSE)</f>
        <v>Cautín</v>
      </c>
      <c r="I47" t="str">
        <f>VLOOKUP(F47,'[1]Sheet 1'!$B$2:$E$347,4,FALSE)</f>
        <v>Saavedra</v>
      </c>
      <c r="J47" t="s">
        <v>136</v>
      </c>
      <c r="K47" s="3" t="s">
        <v>0</v>
      </c>
      <c r="L47" s="12" t="str">
        <f>VLOOKUP(K47,[2]Hoja4!$A$2:$C$443,2,FALSE)</f>
        <v>Intentional self-harm by hanging, strangulation and suffocation</v>
      </c>
      <c r="M47" s="12" t="str">
        <f>VLOOKUP(K47,[2]Hoja4!$A$2:$C$443,3,FALSE)</f>
        <v>Unspecified place</v>
      </c>
      <c r="N47" s="1">
        <v>7.9</v>
      </c>
      <c r="O47" s="1">
        <v>19.7</v>
      </c>
      <c r="P47" s="1">
        <v>13.9</v>
      </c>
      <c r="Q47" s="1">
        <v>1007</v>
      </c>
      <c r="R47" s="1">
        <v>0</v>
      </c>
      <c r="S47" s="1">
        <v>79.2</v>
      </c>
      <c r="T47" s="5">
        <v>7.4399999999999994E-2</v>
      </c>
      <c r="U47" s="9">
        <v>6.0000000000000001E-3</v>
      </c>
    </row>
    <row r="48" spans="1:21" customFormat="1">
      <c r="A48">
        <v>1</v>
      </c>
      <c r="B48">
        <v>28</v>
      </c>
      <c r="C48">
        <v>6</v>
      </c>
      <c r="D48">
        <v>1</v>
      </c>
      <c r="E48">
        <v>2020</v>
      </c>
      <c r="F48">
        <v>6305</v>
      </c>
      <c r="G48" t="str">
        <f>VLOOKUP(F48,'[1]Sheet 1'!$B$2:$E$347,2,FALSE)</f>
        <v>Libertador General Bernardo O'Higgins</v>
      </c>
      <c r="H48" t="str">
        <f>VLOOKUP(F48,'[1]Sheet 1'!$B$2:$E$347,3,FALSE)</f>
        <v>Colchagua</v>
      </c>
      <c r="I48" t="str">
        <f>VLOOKUP(F48,'[1]Sheet 1'!$B$2:$E$347,4,FALSE)</f>
        <v>Nancagua</v>
      </c>
      <c r="J48" t="s">
        <v>136</v>
      </c>
      <c r="K48" s="3" t="s">
        <v>0</v>
      </c>
      <c r="L48" s="12" t="str">
        <f>VLOOKUP(K48,[2]Hoja4!$A$2:$C$443,2,FALSE)</f>
        <v>Intentional self-harm by hanging, strangulation and suffocation</v>
      </c>
      <c r="M48" s="12" t="str">
        <f>VLOOKUP(K48,[2]Hoja4!$A$2:$C$443,3,FALSE)</f>
        <v>Unspecified place</v>
      </c>
      <c r="N48" s="1">
        <v>10.9</v>
      </c>
      <c r="O48" s="1">
        <v>28</v>
      </c>
      <c r="P48" s="1">
        <v>18.399999999999999</v>
      </c>
      <c r="Q48" s="1">
        <v>980.9</v>
      </c>
      <c r="R48" s="1">
        <v>0</v>
      </c>
      <c r="S48" s="1">
        <v>62.5</v>
      </c>
      <c r="T48" s="5">
        <v>7.4399999999999994E-2</v>
      </c>
      <c r="U48" s="9">
        <v>6.0000000000000001E-3</v>
      </c>
    </row>
    <row r="49" spans="1:21" customFormat="1">
      <c r="A49">
        <v>1</v>
      </c>
      <c r="B49">
        <v>19</v>
      </c>
      <c r="C49">
        <v>6</v>
      </c>
      <c r="D49">
        <v>1</v>
      </c>
      <c r="E49">
        <v>2020</v>
      </c>
      <c r="F49">
        <v>13126</v>
      </c>
      <c r="G49" t="str">
        <f>VLOOKUP(F49,'[1]Sheet 1'!$B$2:$E$347,2,FALSE)</f>
        <v>Metropolitana de Santiago</v>
      </c>
      <c r="H49" t="str">
        <f>VLOOKUP(F49,'[1]Sheet 1'!$B$2:$E$347,3,FALSE)</f>
        <v>Santiago</v>
      </c>
      <c r="I49" t="str">
        <f>VLOOKUP(F49,'[1]Sheet 1'!$B$2:$E$347,4,FALSE)</f>
        <v>Quinta Normal</v>
      </c>
      <c r="J49" t="s">
        <v>136</v>
      </c>
      <c r="K49" s="3" t="s">
        <v>0</v>
      </c>
      <c r="L49" s="12" t="str">
        <f>VLOOKUP(K49,[2]Hoja4!$A$2:$C$443,2,FALSE)</f>
        <v>Intentional self-harm by hanging, strangulation and suffocation</v>
      </c>
      <c r="M49" s="12" t="str">
        <f>VLOOKUP(K49,[2]Hoja4!$A$2:$C$443,3,FALSE)</f>
        <v>Unspecified place</v>
      </c>
      <c r="N49" s="1">
        <v>11.3</v>
      </c>
      <c r="O49" s="1">
        <v>27.2</v>
      </c>
      <c r="P49" s="1">
        <v>18.100000000000001</v>
      </c>
      <c r="Q49" s="1">
        <v>955.8</v>
      </c>
      <c r="R49" s="1"/>
      <c r="S49" s="1">
        <v>54.5</v>
      </c>
      <c r="T49" s="5">
        <v>7.4399999999999994E-2</v>
      </c>
      <c r="U49" s="9">
        <v>6.0000000000000001E-3</v>
      </c>
    </row>
    <row r="50" spans="1:21" customFormat="1">
      <c r="A50">
        <v>1</v>
      </c>
      <c r="B50">
        <v>70</v>
      </c>
      <c r="C50">
        <v>7</v>
      </c>
      <c r="D50">
        <v>1</v>
      </c>
      <c r="E50">
        <v>2020</v>
      </c>
      <c r="F50">
        <v>7304</v>
      </c>
      <c r="G50" t="str">
        <f>VLOOKUP(F50,'[1]Sheet 1'!$B$2:$E$347,2,FALSE)</f>
        <v>Maule</v>
      </c>
      <c r="H50" t="str">
        <f>VLOOKUP(F50,'[1]Sheet 1'!$B$2:$E$347,3,FALSE)</f>
        <v>Curicó</v>
      </c>
      <c r="I50" t="str">
        <f>VLOOKUP(F50,'[1]Sheet 1'!$B$2:$E$347,4,FALSE)</f>
        <v>Molina</v>
      </c>
      <c r="J50" t="s">
        <v>137</v>
      </c>
      <c r="K50" s="3" t="s">
        <v>3</v>
      </c>
      <c r="L50" s="12" t="str">
        <f>VLOOKUP(K50,[2]Hoja4!$A$2:$C$443,2,FALSE)</f>
        <v>Intentional self-poisoning by and exposure to pesticides</v>
      </c>
      <c r="M50" s="12" t="str">
        <f>VLOOKUP(K50,[2]Hoja4!$A$2:$C$443,3,FALSE)</f>
        <v>Unspecified place</v>
      </c>
      <c r="N50" s="1">
        <v>11.6</v>
      </c>
      <c r="O50" s="1">
        <v>30.1</v>
      </c>
      <c r="P50" s="1">
        <v>21</v>
      </c>
      <c r="Q50" s="1">
        <v>986.9</v>
      </c>
      <c r="R50" s="1">
        <v>0</v>
      </c>
      <c r="S50" s="1">
        <v>43.2</v>
      </c>
      <c r="T50" s="5">
        <v>7.4399999999999994E-2</v>
      </c>
      <c r="U50" s="9">
        <v>6.0000000000000001E-3</v>
      </c>
    </row>
    <row r="51" spans="1:21" customFormat="1">
      <c r="A51">
        <v>2</v>
      </c>
      <c r="B51">
        <v>57</v>
      </c>
      <c r="C51">
        <v>7</v>
      </c>
      <c r="D51">
        <v>1</v>
      </c>
      <c r="E51">
        <v>2020</v>
      </c>
      <c r="F51">
        <v>10202</v>
      </c>
      <c r="G51" t="str">
        <f>VLOOKUP(F51,'[1]Sheet 1'!$B$2:$E$347,2,FALSE)</f>
        <v>Los Lagos</v>
      </c>
      <c r="H51" t="str">
        <f>VLOOKUP(F51,'[1]Sheet 1'!$B$2:$E$347,3,FALSE)</f>
        <v>Chiloé</v>
      </c>
      <c r="I51" t="str">
        <f>VLOOKUP(F51,'[1]Sheet 1'!$B$2:$E$347,4,FALSE)</f>
        <v>Ancud</v>
      </c>
      <c r="J51" t="s">
        <v>136</v>
      </c>
      <c r="K51" s="3" t="s">
        <v>4</v>
      </c>
      <c r="L51" s="12" t="str">
        <f>VLOOKUP(K51,[2]Hoja4!$A$2:$C$443,2,FALSE)</f>
        <v>Intentional self-harm by hanging, strangulation and suffocation</v>
      </c>
      <c r="M51" s="12" t="str">
        <f>VLOOKUP(K51,[2]Hoja4!$A$2:$C$443,3,FALSE)</f>
        <v>At home</v>
      </c>
      <c r="N51" s="1">
        <v>10.9</v>
      </c>
      <c r="O51" s="1">
        <v>14.2</v>
      </c>
      <c r="P51" s="1">
        <v>12.3</v>
      </c>
      <c r="Q51" s="1">
        <v>985.1</v>
      </c>
      <c r="R51" s="1">
        <v>5.6</v>
      </c>
      <c r="S51" s="1">
        <v>92.8</v>
      </c>
      <c r="T51" s="5">
        <v>7.4399999999999994E-2</v>
      </c>
      <c r="U51" s="9">
        <v>6.0000000000000001E-3</v>
      </c>
    </row>
    <row r="52" spans="1:21" customFormat="1">
      <c r="A52">
        <v>1</v>
      </c>
      <c r="B52">
        <v>54</v>
      </c>
      <c r="C52">
        <v>7</v>
      </c>
      <c r="D52">
        <v>1</v>
      </c>
      <c r="E52">
        <v>2020</v>
      </c>
      <c r="F52">
        <v>8107</v>
      </c>
      <c r="G52" t="str">
        <f>VLOOKUP(F52,'[1]Sheet 1'!$B$2:$E$347,2,FALSE)</f>
        <v>Biobío</v>
      </c>
      <c r="H52" t="str">
        <f>VLOOKUP(F52,'[1]Sheet 1'!$B$2:$E$347,3,FALSE)</f>
        <v>Concepción</v>
      </c>
      <c r="I52" t="str">
        <f>VLOOKUP(F52,'[1]Sheet 1'!$B$2:$E$347,4,FALSE)</f>
        <v>Penco</v>
      </c>
      <c r="J52" t="s">
        <v>136</v>
      </c>
      <c r="K52" s="3" t="s">
        <v>4</v>
      </c>
      <c r="L52" s="12" t="str">
        <f>VLOOKUP(K52,[2]Hoja4!$A$2:$C$443,2,FALSE)</f>
        <v>Intentional self-harm by hanging, strangulation and suffocation</v>
      </c>
      <c r="M52" s="12" t="str">
        <f>VLOOKUP(K52,[2]Hoja4!$A$2:$C$443,3,FALSE)</f>
        <v>At home</v>
      </c>
      <c r="N52" s="1">
        <v>10.5</v>
      </c>
      <c r="O52" s="1">
        <v>21.1</v>
      </c>
      <c r="P52" s="1">
        <v>16</v>
      </c>
      <c r="Q52" s="1">
        <v>1013.2</v>
      </c>
      <c r="R52" s="1">
        <v>1.6</v>
      </c>
      <c r="S52" s="1">
        <v>67</v>
      </c>
      <c r="T52" s="5">
        <v>7.4399999999999994E-2</v>
      </c>
      <c r="U52" s="9">
        <v>6.0000000000000001E-3</v>
      </c>
    </row>
    <row r="53" spans="1:21" customFormat="1">
      <c r="A53">
        <v>1</v>
      </c>
      <c r="B53">
        <v>32</v>
      </c>
      <c r="C53">
        <v>7</v>
      </c>
      <c r="D53">
        <v>1</v>
      </c>
      <c r="E53">
        <v>2020</v>
      </c>
      <c r="F53">
        <v>13103</v>
      </c>
      <c r="G53" t="str">
        <f>VLOOKUP(F53,'[1]Sheet 1'!$B$2:$E$347,2,FALSE)</f>
        <v>Metropolitana de Santiago</v>
      </c>
      <c r="H53" t="str">
        <f>VLOOKUP(F53,'[1]Sheet 1'!$B$2:$E$347,3,FALSE)</f>
        <v>Santiago</v>
      </c>
      <c r="I53" t="str">
        <f>VLOOKUP(F53,'[1]Sheet 1'!$B$2:$E$347,4,FALSE)</f>
        <v>Cerro Navia</v>
      </c>
      <c r="J53" t="s">
        <v>136</v>
      </c>
      <c r="K53" s="3" t="s">
        <v>0</v>
      </c>
      <c r="L53" s="12" t="str">
        <f>VLOOKUP(K53,[2]Hoja4!$A$2:$C$443,2,FALSE)</f>
        <v>Intentional self-harm by hanging, strangulation and suffocation</v>
      </c>
      <c r="M53" s="12" t="str">
        <f>VLOOKUP(K53,[2]Hoja4!$A$2:$C$443,3,FALSE)</f>
        <v>Unspecified place</v>
      </c>
      <c r="N53" s="1">
        <v>11.9</v>
      </c>
      <c r="O53" s="1">
        <v>29.6</v>
      </c>
      <c r="P53" s="1">
        <v>20.7</v>
      </c>
      <c r="Q53" s="1">
        <v>953.7</v>
      </c>
      <c r="R53" s="1"/>
      <c r="S53" s="1">
        <v>46.5</v>
      </c>
      <c r="T53" s="5">
        <v>7.4399999999999994E-2</v>
      </c>
      <c r="U53" s="9">
        <v>6.0000000000000001E-3</v>
      </c>
    </row>
    <row r="54" spans="1:21" customFormat="1">
      <c r="A54">
        <v>1</v>
      </c>
      <c r="B54">
        <v>85</v>
      </c>
      <c r="C54">
        <v>8</v>
      </c>
      <c r="D54">
        <v>1</v>
      </c>
      <c r="E54">
        <v>2020</v>
      </c>
      <c r="F54">
        <v>13605</v>
      </c>
      <c r="G54" t="str">
        <f>VLOOKUP(F54,'[1]Sheet 1'!$B$2:$E$347,2,FALSE)</f>
        <v>Metropolitana de Santiago</v>
      </c>
      <c r="H54" t="str">
        <f>VLOOKUP(F54,'[1]Sheet 1'!$B$2:$E$347,3,FALSE)</f>
        <v>Talagante</v>
      </c>
      <c r="I54" t="str">
        <f>VLOOKUP(F54,'[1]Sheet 1'!$B$2:$E$347,4,FALSE)</f>
        <v>Peñaflor</v>
      </c>
      <c r="J54" t="s">
        <v>136</v>
      </c>
      <c r="K54" s="3" t="s">
        <v>4</v>
      </c>
      <c r="L54" s="12" t="str">
        <f>VLOOKUP(K54,[2]Hoja4!$A$2:$C$443,2,FALSE)</f>
        <v>Intentional self-harm by hanging, strangulation and suffocation</v>
      </c>
      <c r="M54" s="12" t="str">
        <f>VLOOKUP(K54,[2]Hoja4!$A$2:$C$443,3,FALSE)</f>
        <v>At home</v>
      </c>
      <c r="N54" s="1">
        <v>10.6</v>
      </c>
      <c r="O54" s="1">
        <v>25.5</v>
      </c>
      <c r="P54" s="1">
        <v>18.5</v>
      </c>
      <c r="Q54" s="1">
        <v>1014.8</v>
      </c>
      <c r="R54" s="1">
        <v>0</v>
      </c>
      <c r="S54" s="1">
        <v>67.2</v>
      </c>
      <c r="T54" s="5">
        <v>7.4399999999999994E-2</v>
      </c>
      <c r="U54" s="9">
        <v>6.0000000000000001E-3</v>
      </c>
    </row>
    <row r="55" spans="1:21" customFormat="1">
      <c r="A55">
        <v>1</v>
      </c>
      <c r="B55">
        <v>56</v>
      </c>
      <c r="C55">
        <v>8</v>
      </c>
      <c r="D55">
        <v>1</v>
      </c>
      <c r="E55">
        <v>2020</v>
      </c>
      <c r="F55">
        <v>13112</v>
      </c>
      <c r="G55" t="str">
        <f>VLOOKUP(F55,'[1]Sheet 1'!$B$2:$E$347,2,FALSE)</f>
        <v>Metropolitana de Santiago</v>
      </c>
      <c r="H55" t="str">
        <f>VLOOKUP(F55,'[1]Sheet 1'!$B$2:$E$347,3,FALSE)</f>
        <v>Santiago</v>
      </c>
      <c r="I55" t="str">
        <f>VLOOKUP(F55,'[1]Sheet 1'!$B$2:$E$347,4,FALSE)</f>
        <v>La Pintana</v>
      </c>
      <c r="J55" t="s">
        <v>136</v>
      </c>
      <c r="K55" s="3" t="s">
        <v>0</v>
      </c>
      <c r="L55" s="12" t="str">
        <f>VLOOKUP(K55,[2]Hoja4!$A$2:$C$443,2,FALSE)</f>
        <v>Intentional self-harm by hanging, strangulation and suffocation</v>
      </c>
      <c r="M55" s="12" t="str">
        <f>VLOOKUP(K55,[2]Hoja4!$A$2:$C$443,3,FALSE)</f>
        <v>Unspecified place</v>
      </c>
      <c r="N55" s="1">
        <v>12.9</v>
      </c>
      <c r="O55" s="1">
        <v>24</v>
      </c>
      <c r="P55" s="1">
        <v>19</v>
      </c>
      <c r="Q55" s="1">
        <v>957.4</v>
      </c>
      <c r="R55" s="1"/>
      <c r="S55" s="1">
        <v>50.2</v>
      </c>
      <c r="T55" s="5">
        <v>7.4399999999999994E-2</v>
      </c>
      <c r="U55" s="9">
        <v>6.0000000000000001E-3</v>
      </c>
    </row>
    <row r="56" spans="1:21" customFormat="1">
      <c r="A56">
        <v>1</v>
      </c>
      <c r="B56">
        <v>53</v>
      </c>
      <c r="C56">
        <v>8</v>
      </c>
      <c r="D56">
        <v>1</v>
      </c>
      <c r="E56">
        <v>2020</v>
      </c>
      <c r="F56">
        <v>4303</v>
      </c>
      <c r="G56" t="str">
        <f>VLOOKUP(F56,'[1]Sheet 1'!$B$2:$E$347,2,FALSE)</f>
        <v>Coquimbo</v>
      </c>
      <c r="H56" t="str">
        <f>VLOOKUP(F56,'[1]Sheet 1'!$B$2:$E$347,3,FALSE)</f>
        <v>Limarí</v>
      </c>
      <c r="I56" t="str">
        <f>VLOOKUP(F56,'[1]Sheet 1'!$B$2:$E$347,4,FALSE)</f>
        <v>Monte Patria</v>
      </c>
      <c r="J56" t="s">
        <v>136</v>
      </c>
      <c r="K56" s="3" t="s">
        <v>2</v>
      </c>
      <c r="L56" s="12" t="str">
        <f>VLOOKUP(K56,[2]Hoja4!$A$2:$C$443,2,FALSE)</f>
        <v>Intentional self-harm by hanging, strangulation and suffocation</v>
      </c>
      <c r="M56" s="12" t="str">
        <f>VLOOKUP(K56,[2]Hoja4!$A$2:$C$443,3,FALSE)</f>
        <v>Street and highway</v>
      </c>
      <c r="N56" s="1">
        <v>13.2</v>
      </c>
      <c r="O56" s="1">
        <v>27.1</v>
      </c>
      <c r="P56" s="1">
        <v>19.2</v>
      </c>
      <c r="Q56" s="1">
        <v>980.9</v>
      </c>
      <c r="R56" s="1">
        <v>0</v>
      </c>
      <c r="S56" s="1">
        <v>67.3</v>
      </c>
      <c r="T56" s="5">
        <v>7.4399999999999994E-2</v>
      </c>
      <c r="U56" s="9">
        <v>6.0000000000000001E-3</v>
      </c>
    </row>
    <row r="57" spans="1:21" customFormat="1">
      <c r="A57">
        <v>1</v>
      </c>
      <c r="B57">
        <v>33</v>
      </c>
      <c r="C57">
        <v>8</v>
      </c>
      <c r="D57">
        <v>1</v>
      </c>
      <c r="E57">
        <v>2020</v>
      </c>
      <c r="F57">
        <v>13101</v>
      </c>
      <c r="G57" t="str">
        <f>VLOOKUP(F57,'[1]Sheet 1'!$B$2:$E$347,2,FALSE)</f>
        <v>Metropolitana de Santiago</v>
      </c>
      <c r="H57" t="str">
        <f>VLOOKUP(F57,'[1]Sheet 1'!$B$2:$E$347,3,FALSE)</f>
        <v>Santiago</v>
      </c>
      <c r="I57" t="str">
        <f>VLOOKUP(F57,'[1]Sheet 1'!$B$2:$E$347,4,FALSE)</f>
        <v>Santiago</v>
      </c>
      <c r="J57" t="s">
        <v>136</v>
      </c>
      <c r="K57" s="3" t="s">
        <v>0</v>
      </c>
      <c r="L57" s="12" t="str">
        <f>VLOOKUP(K57,[2]Hoja4!$A$2:$C$443,2,FALSE)</f>
        <v>Intentional self-harm by hanging, strangulation and suffocation</v>
      </c>
      <c r="M57" s="12" t="str">
        <f>VLOOKUP(K57,[2]Hoja4!$A$2:$C$443,3,FALSE)</f>
        <v>Unspecified place</v>
      </c>
      <c r="N57" s="1">
        <v>12.9</v>
      </c>
      <c r="O57" s="1">
        <v>24</v>
      </c>
      <c r="P57" s="1">
        <v>19</v>
      </c>
      <c r="Q57" s="1">
        <v>957.4</v>
      </c>
      <c r="R57" s="1"/>
      <c r="S57" s="1">
        <v>50.2</v>
      </c>
      <c r="T57" s="5">
        <v>7.4399999999999994E-2</v>
      </c>
      <c r="U57" s="9">
        <v>6.0000000000000001E-3</v>
      </c>
    </row>
    <row r="58" spans="1:21" customFormat="1">
      <c r="A58">
        <v>1</v>
      </c>
      <c r="B58">
        <v>63</v>
      </c>
      <c r="C58">
        <v>9</v>
      </c>
      <c r="D58">
        <v>1</v>
      </c>
      <c r="E58">
        <v>2020</v>
      </c>
      <c r="F58">
        <v>14101</v>
      </c>
      <c r="G58" t="str">
        <f>VLOOKUP(F58,'[1]Sheet 1'!$B$2:$E$347,2,FALSE)</f>
        <v>Los Ríos</v>
      </c>
      <c r="H58" t="str">
        <f>VLOOKUP(F58,'[1]Sheet 1'!$B$2:$E$347,3,FALSE)</f>
        <v>Valdivia</v>
      </c>
      <c r="I58" t="str">
        <f>VLOOKUP(F58,'[1]Sheet 1'!$B$2:$E$347,4,FALSE)</f>
        <v>Valdivia</v>
      </c>
      <c r="J58" t="s">
        <v>136</v>
      </c>
      <c r="K58" s="3" t="s">
        <v>4</v>
      </c>
      <c r="L58" s="12" t="str">
        <f>VLOOKUP(K58,[2]Hoja4!$A$2:$C$443,2,FALSE)</f>
        <v>Intentional self-harm by hanging, strangulation and suffocation</v>
      </c>
      <c r="M58" s="12" t="str">
        <f>VLOOKUP(K58,[2]Hoja4!$A$2:$C$443,3,FALSE)</f>
        <v>At home</v>
      </c>
      <c r="N58" s="1">
        <v>9.9</v>
      </c>
      <c r="O58" s="1">
        <v>17.2</v>
      </c>
      <c r="P58" s="1">
        <v>12.7</v>
      </c>
      <c r="Q58" s="1">
        <v>1016.6</v>
      </c>
      <c r="R58" s="1">
        <v>1.2</v>
      </c>
      <c r="S58" s="1">
        <v>91.2</v>
      </c>
      <c r="T58" s="5">
        <v>7.4399999999999994E-2</v>
      </c>
      <c r="U58" s="9">
        <v>6.0000000000000001E-3</v>
      </c>
    </row>
    <row r="59" spans="1:21" customFormat="1">
      <c r="A59">
        <v>1</v>
      </c>
      <c r="B59">
        <v>45</v>
      </c>
      <c r="C59">
        <v>9</v>
      </c>
      <c r="D59">
        <v>1</v>
      </c>
      <c r="E59">
        <v>2020</v>
      </c>
      <c r="F59">
        <v>13401</v>
      </c>
      <c r="G59" t="str">
        <f>VLOOKUP(F59,'[1]Sheet 1'!$B$2:$E$347,2,FALSE)</f>
        <v>Metropolitana de Santiago</v>
      </c>
      <c r="H59" t="str">
        <f>VLOOKUP(F59,'[1]Sheet 1'!$B$2:$E$347,3,FALSE)</f>
        <v>Maipo</v>
      </c>
      <c r="I59" t="str">
        <f>VLOOKUP(F59,'[1]Sheet 1'!$B$2:$E$347,4,FALSE)</f>
        <v>San Bernardo</v>
      </c>
      <c r="J59" t="s">
        <v>136</v>
      </c>
      <c r="K59" s="3" t="s">
        <v>0</v>
      </c>
      <c r="L59" s="12" t="str">
        <f>VLOOKUP(K59,[2]Hoja4!$A$2:$C$443,2,FALSE)</f>
        <v>Intentional self-harm by hanging, strangulation and suffocation</v>
      </c>
      <c r="M59" s="12" t="str">
        <f>VLOOKUP(K59,[2]Hoja4!$A$2:$C$443,3,FALSE)</f>
        <v>Unspecified place</v>
      </c>
      <c r="N59" s="1">
        <v>8</v>
      </c>
      <c r="O59" s="1">
        <v>30.1</v>
      </c>
      <c r="P59" s="1">
        <v>18.399999999999999</v>
      </c>
      <c r="Q59" s="1">
        <v>964.9</v>
      </c>
      <c r="R59" s="1">
        <v>0</v>
      </c>
      <c r="S59" s="1">
        <v>53.3</v>
      </c>
      <c r="T59" s="5">
        <v>7.4399999999999994E-2</v>
      </c>
      <c r="U59" s="9">
        <v>6.0000000000000001E-3</v>
      </c>
    </row>
    <row r="60" spans="1:21" customFormat="1">
      <c r="A60">
        <v>1</v>
      </c>
      <c r="B60">
        <v>34</v>
      </c>
      <c r="C60">
        <v>9</v>
      </c>
      <c r="D60">
        <v>1</v>
      </c>
      <c r="E60">
        <v>2020</v>
      </c>
      <c r="F60">
        <v>13108</v>
      </c>
      <c r="G60" t="str">
        <f>VLOOKUP(F60,'[1]Sheet 1'!$B$2:$E$347,2,FALSE)</f>
        <v>Metropolitana de Santiago</v>
      </c>
      <c r="H60" t="str">
        <f>VLOOKUP(F60,'[1]Sheet 1'!$B$2:$E$347,3,FALSE)</f>
        <v>Santiago</v>
      </c>
      <c r="I60" t="str">
        <f>VLOOKUP(F60,'[1]Sheet 1'!$B$2:$E$347,4,FALSE)</f>
        <v>Independencia</v>
      </c>
      <c r="J60" t="s">
        <v>136</v>
      </c>
      <c r="K60" s="3" t="s">
        <v>0</v>
      </c>
      <c r="L60" s="12" t="str">
        <f>VLOOKUP(K60,[2]Hoja4!$A$2:$C$443,2,FALSE)</f>
        <v>Intentional self-harm by hanging, strangulation and suffocation</v>
      </c>
      <c r="M60" s="12" t="str">
        <f>VLOOKUP(K60,[2]Hoja4!$A$2:$C$443,3,FALSE)</f>
        <v>Unspecified place</v>
      </c>
      <c r="N60" s="1">
        <v>10.3</v>
      </c>
      <c r="O60" s="1">
        <v>29.8</v>
      </c>
      <c r="P60" s="1">
        <v>19.399999999999999</v>
      </c>
      <c r="Q60" s="1">
        <v>955.9</v>
      </c>
      <c r="R60" s="1"/>
      <c r="S60" s="1">
        <v>53</v>
      </c>
      <c r="T60" s="5">
        <v>7.4399999999999994E-2</v>
      </c>
      <c r="U60" s="9">
        <v>6.0000000000000001E-3</v>
      </c>
    </row>
    <row r="61" spans="1:21" customFormat="1">
      <c r="A61">
        <v>1</v>
      </c>
      <c r="B61">
        <v>20</v>
      </c>
      <c r="C61">
        <v>9</v>
      </c>
      <c r="D61">
        <v>1</v>
      </c>
      <c r="E61">
        <v>2020</v>
      </c>
      <c r="F61">
        <v>4101</v>
      </c>
      <c r="G61" t="str">
        <f>VLOOKUP(F61,'[1]Sheet 1'!$B$2:$E$347,2,FALSE)</f>
        <v>Coquimbo</v>
      </c>
      <c r="H61" t="str">
        <f>VLOOKUP(F61,'[1]Sheet 1'!$B$2:$E$347,3,FALSE)</f>
        <v>Elqui</v>
      </c>
      <c r="I61" t="str">
        <f>VLOOKUP(F61,'[1]Sheet 1'!$B$2:$E$347,4,FALSE)</f>
        <v>La Serena</v>
      </c>
      <c r="J61" t="s">
        <v>136</v>
      </c>
      <c r="K61" s="3" t="s">
        <v>4</v>
      </c>
      <c r="L61" s="12" t="str">
        <f>VLOOKUP(K61,[2]Hoja4!$A$2:$C$443,2,FALSE)</f>
        <v>Intentional self-harm by hanging, strangulation and suffocation</v>
      </c>
      <c r="M61" s="12" t="str">
        <f>VLOOKUP(K61,[2]Hoja4!$A$2:$C$443,3,FALSE)</f>
        <v>At home</v>
      </c>
      <c r="N61" s="1">
        <v>13.6</v>
      </c>
      <c r="O61" s="1">
        <v>22.2</v>
      </c>
      <c r="P61" s="1">
        <v>17.8</v>
      </c>
      <c r="Q61" s="1">
        <v>999.4</v>
      </c>
      <c r="R61" s="1">
        <v>0</v>
      </c>
      <c r="S61" s="1">
        <v>67.5</v>
      </c>
      <c r="T61" s="5">
        <v>7.4399999999999994E-2</v>
      </c>
      <c r="U61" s="9">
        <v>6.0000000000000001E-3</v>
      </c>
    </row>
    <row r="62" spans="1:21" customFormat="1">
      <c r="A62">
        <v>1</v>
      </c>
      <c r="B62">
        <v>23</v>
      </c>
      <c r="C62">
        <v>9</v>
      </c>
      <c r="D62">
        <v>1</v>
      </c>
      <c r="E62">
        <v>2020</v>
      </c>
      <c r="F62">
        <v>9113</v>
      </c>
      <c r="G62" t="str">
        <f>VLOOKUP(F62,'[1]Sheet 1'!$B$2:$E$347,2,FALSE)</f>
        <v>La Araucanía</v>
      </c>
      <c r="H62" t="str">
        <f>VLOOKUP(F62,'[1]Sheet 1'!$B$2:$E$347,3,FALSE)</f>
        <v>Cautín</v>
      </c>
      <c r="I62" t="str">
        <f>VLOOKUP(F62,'[1]Sheet 1'!$B$2:$E$347,4,FALSE)</f>
        <v>Perquenco</v>
      </c>
      <c r="J62" t="s">
        <v>136</v>
      </c>
      <c r="K62" s="3" t="s">
        <v>0</v>
      </c>
      <c r="L62" s="12" t="str">
        <f>VLOOKUP(K62,[2]Hoja4!$A$2:$C$443,2,FALSE)</f>
        <v>Intentional self-harm by hanging, strangulation and suffocation</v>
      </c>
      <c r="M62" s="12" t="str">
        <f>VLOOKUP(K62,[2]Hoja4!$A$2:$C$443,3,FALSE)</f>
        <v>Unspecified place</v>
      </c>
      <c r="N62" s="1">
        <v>10.1</v>
      </c>
      <c r="O62" s="1">
        <v>19.2</v>
      </c>
      <c r="P62" s="1">
        <v>13.7</v>
      </c>
      <c r="Q62" s="1">
        <v>1007.5</v>
      </c>
      <c r="R62" s="1">
        <v>0.2</v>
      </c>
      <c r="S62" s="1">
        <v>79.5</v>
      </c>
      <c r="T62" s="5">
        <v>7.4399999999999994E-2</v>
      </c>
      <c r="U62" s="9">
        <v>6.0000000000000001E-3</v>
      </c>
    </row>
    <row r="63" spans="1:21" customFormat="1">
      <c r="A63">
        <v>1</v>
      </c>
      <c r="B63">
        <v>69</v>
      </c>
      <c r="C63">
        <v>10</v>
      </c>
      <c r="D63">
        <v>1</v>
      </c>
      <c r="E63">
        <v>2020</v>
      </c>
      <c r="F63">
        <v>8301</v>
      </c>
      <c r="G63" t="str">
        <f>VLOOKUP(F63,'[1]Sheet 1'!$B$2:$E$347,2,FALSE)</f>
        <v>Biobío</v>
      </c>
      <c r="H63" t="str">
        <f>VLOOKUP(F63,'[1]Sheet 1'!$B$2:$E$347,3,FALSE)</f>
        <v>Biobío</v>
      </c>
      <c r="I63" t="str">
        <f>VLOOKUP(F63,'[1]Sheet 1'!$B$2:$E$347,4,FALSE)</f>
        <v>Los Angeles</v>
      </c>
      <c r="J63" t="s">
        <v>136</v>
      </c>
      <c r="K63" s="3" t="s">
        <v>4</v>
      </c>
      <c r="L63" s="12" t="str">
        <f>VLOOKUP(K63,[2]Hoja4!$A$2:$C$443,2,FALSE)</f>
        <v>Intentional self-harm by hanging, strangulation and suffocation</v>
      </c>
      <c r="M63" s="12" t="str">
        <f>VLOOKUP(K63,[2]Hoja4!$A$2:$C$443,3,FALSE)</f>
        <v>At home</v>
      </c>
      <c r="N63" s="1">
        <v>10</v>
      </c>
      <c r="O63" s="1"/>
      <c r="P63" s="1">
        <v>21.7</v>
      </c>
      <c r="Q63" s="1">
        <v>1003.6</v>
      </c>
      <c r="R63" s="1">
        <v>0</v>
      </c>
      <c r="S63" s="1">
        <v>51.4</v>
      </c>
      <c r="T63" s="5">
        <v>7.4399999999999994E-2</v>
      </c>
      <c r="U63" s="9">
        <v>6.0000000000000001E-3</v>
      </c>
    </row>
    <row r="64" spans="1:21" customFormat="1">
      <c r="A64">
        <v>1</v>
      </c>
      <c r="B64">
        <v>58</v>
      </c>
      <c r="C64">
        <v>10</v>
      </c>
      <c r="D64">
        <v>1</v>
      </c>
      <c r="E64">
        <v>2020</v>
      </c>
      <c r="F64">
        <v>9105</v>
      </c>
      <c r="G64" t="str">
        <f>VLOOKUP(F64,'[1]Sheet 1'!$B$2:$E$347,2,FALSE)</f>
        <v>La Araucanía</v>
      </c>
      <c r="H64" t="str">
        <f>VLOOKUP(F64,'[1]Sheet 1'!$B$2:$E$347,3,FALSE)</f>
        <v>Cautín</v>
      </c>
      <c r="I64" t="str">
        <f>VLOOKUP(F64,'[1]Sheet 1'!$B$2:$E$347,4,FALSE)</f>
        <v>Freire</v>
      </c>
      <c r="J64" t="s">
        <v>137</v>
      </c>
      <c r="K64" s="3" t="s">
        <v>23</v>
      </c>
      <c r="L64" s="12" t="str">
        <f>VLOOKUP(K64,[2]Hoja4!$A$2:$C$443,2,FALSE)</f>
        <v>Intentional self-poisoning by and exposure to pesticides</v>
      </c>
      <c r="M64" s="12" t="str">
        <f>VLOOKUP(K64,[2]Hoja4!$A$2:$C$443,3,FALSE)</f>
        <v>At home</v>
      </c>
      <c r="N64" s="1">
        <v>7.8</v>
      </c>
      <c r="O64" s="1">
        <v>23.1</v>
      </c>
      <c r="P64" s="1">
        <v>15</v>
      </c>
      <c r="Q64" s="1">
        <v>1006.5</v>
      </c>
      <c r="R64" s="1">
        <v>0</v>
      </c>
      <c r="S64" s="1">
        <v>80.8</v>
      </c>
      <c r="T64" s="5">
        <v>7.4399999999999994E-2</v>
      </c>
      <c r="U64" s="9">
        <v>6.0000000000000001E-3</v>
      </c>
    </row>
    <row r="65" spans="1:21" customFormat="1">
      <c r="A65">
        <v>1</v>
      </c>
      <c r="B65">
        <v>37</v>
      </c>
      <c r="C65">
        <v>10</v>
      </c>
      <c r="D65">
        <v>1</v>
      </c>
      <c r="E65">
        <v>2020</v>
      </c>
      <c r="F65">
        <v>3201</v>
      </c>
      <c r="G65" t="str">
        <f>VLOOKUP(F65,'[1]Sheet 1'!$B$2:$E$347,2,FALSE)</f>
        <v>Atacama</v>
      </c>
      <c r="H65" t="str">
        <f>VLOOKUP(F65,'[1]Sheet 1'!$B$2:$E$347,3,FALSE)</f>
        <v>Chañaral</v>
      </c>
      <c r="I65" t="str">
        <f>VLOOKUP(F65,'[1]Sheet 1'!$B$2:$E$347,4,FALSE)</f>
        <v>Chañaral</v>
      </c>
      <c r="J65" t="s">
        <v>136</v>
      </c>
      <c r="K65" s="3" t="s">
        <v>4</v>
      </c>
      <c r="L65" s="12" t="str">
        <f>VLOOKUP(K65,[2]Hoja4!$A$2:$C$443,2,FALSE)</f>
        <v>Intentional self-harm by hanging, strangulation and suffocation</v>
      </c>
      <c r="M65" s="12" t="str">
        <f>VLOOKUP(K65,[2]Hoja4!$A$2:$C$443,3,FALSE)</f>
        <v>At home</v>
      </c>
      <c r="N65" s="1">
        <v>16.100000000000001</v>
      </c>
      <c r="O65" s="1">
        <v>22</v>
      </c>
      <c r="P65" s="1">
        <v>18.100000000000001</v>
      </c>
      <c r="Q65" s="1" t="s">
        <v>76</v>
      </c>
      <c r="R65" s="1">
        <v>0</v>
      </c>
      <c r="S65" s="1" t="s">
        <v>82</v>
      </c>
      <c r="T65" s="5">
        <v>7.4399999999999994E-2</v>
      </c>
      <c r="U65" s="9">
        <v>6.0000000000000001E-3</v>
      </c>
    </row>
    <row r="66" spans="1:21" customFormat="1">
      <c r="A66">
        <v>1</v>
      </c>
      <c r="B66">
        <v>37</v>
      </c>
      <c r="C66">
        <v>10</v>
      </c>
      <c r="D66">
        <v>1</v>
      </c>
      <c r="E66">
        <v>2020</v>
      </c>
      <c r="F66">
        <v>7301</v>
      </c>
      <c r="G66" t="str">
        <f>VLOOKUP(F66,'[1]Sheet 1'!$B$2:$E$347,2,FALSE)</f>
        <v>Maule</v>
      </c>
      <c r="H66" t="str">
        <f>VLOOKUP(F66,'[1]Sheet 1'!$B$2:$E$347,3,FALSE)</f>
        <v>Curicó</v>
      </c>
      <c r="I66" t="str">
        <f>VLOOKUP(F66,'[1]Sheet 1'!$B$2:$E$347,4,FALSE)</f>
        <v>Curicó</v>
      </c>
      <c r="J66" t="s">
        <v>138</v>
      </c>
      <c r="K66" s="3" t="s">
        <v>16</v>
      </c>
      <c r="L66" s="12" t="str">
        <f>VLOOKUP(K66,[2]Hoja4!$A$2:$C$443,2,FALSE)</f>
        <v>Intentional self-harm by jumping or lying before moving object</v>
      </c>
      <c r="M66" s="12" t="str">
        <f>VLOOKUP(K66,[2]Hoja4!$A$2:$C$443,3,FALSE)</f>
        <v>Street and highway</v>
      </c>
      <c r="N66" s="1">
        <v>11.2</v>
      </c>
      <c r="O66" s="1">
        <v>30.5</v>
      </c>
      <c r="P66" s="1">
        <v>20.100000000000001</v>
      </c>
      <c r="Q66" s="1">
        <v>987.1</v>
      </c>
      <c r="R66" s="1">
        <v>0</v>
      </c>
      <c r="S66" s="1">
        <v>49.2</v>
      </c>
      <c r="T66" s="5">
        <v>7.4399999999999994E-2</v>
      </c>
      <c r="U66" s="9">
        <v>6.0000000000000001E-3</v>
      </c>
    </row>
    <row r="67" spans="1:21" customFormat="1">
      <c r="A67">
        <v>2</v>
      </c>
      <c r="B67">
        <v>46</v>
      </c>
      <c r="C67">
        <v>10</v>
      </c>
      <c r="D67">
        <v>1</v>
      </c>
      <c r="E67">
        <v>2020</v>
      </c>
      <c r="F67">
        <v>3202</v>
      </c>
      <c r="G67" t="str">
        <f>VLOOKUP(F67,'[1]Sheet 1'!$B$2:$E$347,2,FALSE)</f>
        <v>Atacama</v>
      </c>
      <c r="H67" t="str">
        <f>VLOOKUP(F67,'[1]Sheet 1'!$B$2:$E$347,3,FALSE)</f>
        <v>Chañaral</v>
      </c>
      <c r="I67" t="str">
        <f>VLOOKUP(F67,'[1]Sheet 1'!$B$2:$E$347,4,FALSE)</f>
        <v>Diego de Almagro</v>
      </c>
      <c r="J67" t="s">
        <v>139</v>
      </c>
      <c r="K67" s="3" t="s">
        <v>27</v>
      </c>
      <c r="L67" s="12" t="str">
        <f>VLOOKUP(K67,[2]Hoja4!$A$2:$C$443,2,FALSE)</f>
        <v>Intentional self-poisoning by and exposure to other and unspecified chemicals and noxious substances</v>
      </c>
      <c r="M67" s="12" t="str">
        <f>VLOOKUP(K67,[2]Hoja4!$A$2:$C$443,3,FALSE)</f>
        <v>At home</v>
      </c>
      <c r="N67" s="1">
        <v>16.100000000000001</v>
      </c>
      <c r="O67" s="1">
        <v>22</v>
      </c>
      <c r="P67" s="1">
        <v>18.100000000000001</v>
      </c>
      <c r="Q67" s="1" t="s">
        <v>76</v>
      </c>
      <c r="R67" s="1">
        <v>0</v>
      </c>
      <c r="S67" s="1" t="s">
        <v>82</v>
      </c>
      <c r="T67" s="5">
        <v>7.4399999999999994E-2</v>
      </c>
      <c r="U67" s="9">
        <v>6.0000000000000001E-3</v>
      </c>
    </row>
    <row r="68" spans="1:21" customFormat="1">
      <c r="A68">
        <v>1</v>
      </c>
      <c r="B68">
        <v>26</v>
      </c>
      <c r="C68">
        <v>10</v>
      </c>
      <c r="D68">
        <v>1</v>
      </c>
      <c r="E68">
        <v>2020</v>
      </c>
      <c r="F68">
        <v>4102</v>
      </c>
      <c r="G68" t="str">
        <f>VLOOKUP(F68,'[1]Sheet 1'!$B$2:$E$347,2,FALSE)</f>
        <v>Coquimbo</v>
      </c>
      <c r="H68" t="str">
        <f>VLOOKUP(F68,'[1]Sheet 1'!$B$2:$E$347,3,FALSE)</f>
        <v>Elqui</v>
      </c>
      <c r="I68" t="str">
        <f>VLOOKUP(F68,'[1]Sheet 1'!$B$2:$E$347,4,FALSE)</f>
        <v>Coquimbo</v>
      </c>
      <c r="J68" t="s">
        <v>136</v>
      </c>
      <c r="K68" s="3" t="s">
        <v>0</v>
      </c>
      <c r="L68" s="12" t="str">
        <f>VLOOKUP(K68,[2]Hoja4!$A$2:$C$443,2,FALSE)</f>
        <v>Intentional self-harm by hanging, strangulation and suffocation</v>
      </c>
      <c r="M68" s="12" t="str">
        <f>VLOOKUP(K68,[2]Hoja4!$A$2:$C$443,3,FALSE)</f>
        <v>Unspecified place</v>
      </c>
      <c r="N68" s="1">
        <v>13.9</v>
      </c>
      <c r="O68" s="1">
        <v>20.9</v>
      </c>
      <c r="P68" s="1">
        <v>17.100000000000001</v>
      </c>
      <c r="Q68" s="1">
        <v>995.2</v>
      </c>
      <c r="R68" s="1">
        <v>0</v>
      </c>
      <c r="S68" s="1">
        <v>80</v>
      </c>
      <c r="T68" s="5">
        <v>7.4399999999999994E-2</v>
      </c>
      <c r="U68" s="9">
        <v>6.0000000000000001E-3</v>
      </c>
    </row>
    <row r="69" spans="1:21" customFormat="1">
      <c r="A69">
        <v>1</v>
      </c>
      <c r="B69">
        <v>51</v>
      </c>
      <c r="C69">
        <v>11</v>
      </c>
      <c r="D69">
        <v>1</v>
      </c>
      <c r="E69">
        <v>2020</v>
      </c>
      <c r="F69">
        <v>10107</v>
      </c>
      <c r="G69" t="str">
        <f>VLOOKUP(F69,'[1]Sheet 1'!$B$2:$E$347,2,FALSE)</f>
        <v>Los Lagos</v>
      </c>
      <c r="H69" t="str">
        <f>VLOOKUP(F69,'[1]Sheet 1'!$B$2:$E$347,3,FALSE)</f>
        <v>Llanquihue</v>
      </c>
      <c r="I69" t="str">
        <f>VLOOKUP(F69,'[1]Sheet 1'!$B$2:$E$347,4,FALSE)</f>
        <v>Llanquihue</v>
      </c>
      <c r="J69" t="s">
        <v>136</v>
      </c>
      <c r="K69" s="3" t="s">
        <v>0</v>
      </c>
      <c r="L69" s="12" t="str">
        <f>VLOOKUP(K69,[2]Hoja4!$A$2:$C$443,2,FALSE)</f>
        <v>Intentional self-harm by hanging, strangulation and suffocation</v>
      </c>
      <c r="M69" s="12" t="str">
        <f>VLOOKUP(K69,[2]Hoja4!$A$2:$C$443,3,FALSE)</f>
        <v>Unspecified place</v>
      </c>
      <c r="N69" s="1">
        <v>8.1</v>
      </c>
      <c r="O69" s="1" t="s">
        <v>46</v>
      </c>
      <c r="P69" s="1">
        <v>14</v>
      </c>
      <c r="Q69" s="1">
        <v>1008.9</v>
      </c>
      <c r="R69" s="1">
        <v>0</v>
      </c>
      <c r="S69" s="1">
        <v>73.8</v>
      </c>
      <c r="T69" s="5">
        <v>7.4399999999999994E-2</v>
      </c>
      <c r="U69" s="9">
        <v>6.0000000000000001E-3</v>
      </c>
    </row>
    <row r="70" spans="1:21" customFormat="1">
      <c r="A70">
        <v>2</v>
      </c>
      <c r="B70">
        <v>30</v>
      </c>
      <c r="C70">
        <v>11</v>
      </c>
      <c r="D70">
        <v>1</v>
      </c>
      <c r="E70">
        <v>2020</v>
      </c>
      <c r="F70">
        <v>11101</v>
      </c>
      <c r="G70" t="str">
        <f>VLOOKUP(F70,'[1]Sheet 1'!$B$2:$E$347,2,FALSE)</f>
        <v>Aysén del General Carlos Ibáñez del Campo</v>
      </c>
      <c r="H70" t="str">
        <f>VLOOKUP(F70,'[1]Sheet 1'!$B$2:$E$347,3,FALSE)</f>
        <v>Coihaique</v>
      </c>
      <c r="I70" t="str">
        <f>VLOOKUP(F70,'[1]Sheet 1'!$B$2:$E$347,4,FALSE)</f>
        <v>Coihaique</v>
      </c>
      <c r="J70" t="s">
        <v>136</v>
      </c>
      <c r="K70" s="3" t="s">
        <v>4</v>
      </c>
      <c r="L70" s="12" t="str">
        <f>VLOOKUP(K70,[2]Hoja4!$A$2:$C$443,2,FALSE)</f>
        <v>Intentional self-harm by hanging, strangulation and suffocation</v>
      </c>
      <c r="M70" s="12" t="str">
        <f>VLOOKUP(K70,[2]Hoja4!$A$2:$C$443,3,FALSE)</f>
        <v>At home</v>
      </c>
      <c r="N70" s="1">
        <v>9.1</v>
      </c>
      <c r="O70" s="1">
        <v>21.5</v>
      </c>
      <c r="P70" s="1">
        <v>14.8</v>
      </c>
      <c r="Q70" s="1">
        <v>978.7</v>
      </c>
      <c r="R70" s="1">
        <v>0</v>
      </c>
      <c r="S70" s="1">
        <v>55.8</v>
      </c>
      <c r="T70" s="5">
        <v>7.4399999999999994E-2</v>
      </c>
      <c r="U70" s="9">
        <v>6.0000000000000001E-3</v>
      </c>
    </row>
    <row r="71" spans="1:21" customFormat="1">
      <c r="A71">
        <v>1</v>
      </c>
      <c r="B71">
        <v>66</v>
      </c>
      <c r="C71">
        <v>12</v>
      </c>
      <c r="D71">
        <v>1</v>
      </c>
      <c r="E71">
        <v>2020</v>
      </c>
      <c r="F71">
        <v>7101</v>
      </c>
      <c r="G71" t="str">
        <f>VLOOKUP(F71,'[1]Sheet 1'!$B$2:$E$347,2,FALSE)</f>
        <v>Maule</v>
      </c>
      <c r="H71" t="str">
        <f>VLOOKUP(F71,'[1]Sheet 1'!$B$2:$E$347,3,FALSE)</f>
        <v>Talca</v>
      </c>
      <c r="I71" t="str">
        <f>VLOOKUP(F71,'[1]Sheet 1'!$B$2:$E$347,4,FALSE)</f>
        <v>Talca</v>
      </c>
      <c r="J71" t="s">
        <v>136</v>
      </c>
      <c r="K71" s="3" t="s">
        <v>4</v>
      </c>
      <c r="L71" s="12" t="str">
        <f>VLOOKUP(K71,[2]Hoja4!$A$2:$C$443,2,FALSE)</f>
        <v>Intentional self-harm by hanging, strangulation and suffocation</v>
      </c>
      <c r="M71" s="12" t="str">
        <f>VLOOKUP(K71,[2]Hoja4!$A$2:$C$443,3,FALSE)</f>
        <v>At home</v>
      </c>
      <c r="N71" s="1">
        <v>12.2</v>
      </c>
      <c r="O71" s="1">
        <v>35.200000000000003</v>
      </c>
      <c r="P71" s="1">
        <v>23.9</v>
      </c>
      <c r="Q71" s="1">
        <v>997.8</v>
      </c>
      <c r="R71" s="1">
        <v>0</v>
      </c>
      <c r="S71" s="1">
        <v>48.5</v>
      </c>
      <c r="T71" s="5">
        <v>7.4399999999999994E-2</v>
      </c>
      <c r="U71" s="9">
        <v>6.0000000000000001E-3</v>
      </c>
    </row>
    <row r="72" spans="1:21" customFormat="1">
      <c r="A72">
        <v>1</v>
      </c>
      <c r="B72">
        <v>41</v>
      </c>
      <c r="C72">
        <v>12</v>
      </c>
      <c r="D72">
        <v>1</v>
      </c>
      <c r="E72">
        <v>2020</v>
      </c>
      <c r="F72">
        <v>12101</v>
      </c>
      <c r="G72" t="str">
        <f>VLOOKUP(F72,'[1]Sheet 1'!$B$2:$E$347,2,FALSE)</f>
        <v>Magallanes y de la Antártica Chilena</v>
      </c>
      <c r="H72" t="str">
        <f>VLOOKUP(F72,'[1]Sheet 1'!$B$2:$E$347,3,FALSE)</f>
        <v>Magallanes</v>
      </c>
      <c r="I72" t="str">
        <f>VLOOKUP(F72,'[1]Sheet 1'!$B$2:$E$347,4,FALSE)</f>
        <v>Punta Arenas</v>
      </c>
      <c r="J72" t="s">
        <v>140</v>
      </c>
      <c r="K72" s="3" t="s">
        <v>20</v>
      </c>
      <c r="L72" s="12" t="str">
        <f>VLOOKUP(K72,[2]Hoja4!$A$2:$C$443,2,FALSE)</f>
        <v>Intentional self-poisoning by and exposure to other and unspecified drugs, medicaments and biological substances</v>
      </c>
      <c r="M72" s="12" t="str">
        <f>VLOOKUP(K72,[2]Hoja4!$A$2:$C$443,3,FALSE)</f>
        <v>Unspecified place</v>
      </c>
      <c r="N72" s="1">
        <v>10.6</v>
      </c>
      <c r="O72" s="1">
        <v>17.2</v>
      </c>
      <c r="P72" s="1">
        <v>13.4</v>
      </c>
      <c r="Q72" s="1">
        <v>1001.7</v>
      </c>
      <c r="R72" s="1">
        <v>0</v>
      </c>
      <c r="S72" s="1">
        <v>67.8</v>
      </c>
      <c r="T72" s="5">
        <v>7.4399999999999994E-2</v>
      </c>
      <c r="U72" s="9">
        <v>6.0000000000000001E-3</v>
      </c>
    </row>
    <row r="73" spans="1:21" customFormat="1">
      <c r="A73">
        <v>1</v>
      </c>
      <c r="B73">
        <v>43</v>
      </c>
      <c r="C73">
        <v>12</v>
      </c>
      <c r="D73">
        <v>1</v>
      </c>
      <c r="E73">
        <v>2020</v>
      </c>
      <c r="F73">
        <v>2301</v>
      </c>
      <c r="G73" t="str">
        <f>VLOOKUP(F73,'[1]Sheet 1'!$B$2:$E$347,2,FALSE)</f>
        <v>Antofagasta</v>
      </c>
      <c r="H73" t="str">
        <f>VLOOKUP(F73,'[1]Sheet 1'!$B$2:$E$347,3,FALSE)</f>
        <v>Tocopilla</v>
      </c>
      <c r="I73" t="str">
        <f>VLOOKUP(F73,'[1]Sheet 1'!$B$2:$E$347,4,FALSE)</f>
        <v>Tocopilla</v>
      </c>
      <c r="J73" t="s">
        <v>136</v>
      </c>
      <c r="K73" s="3" t="s">
        <v>2</v>
      </c>
      <c r="L73" s="12" t="str">
        <f>VLOOKUP(K73,[2]Hoja4!$A$2:$C$443,2,FALSE)</f>
        <v>Intentional self-harm by hanging, strangulation and suffocation</v>
      </c>
      <c r="M73" s="12" t="str">
        <f>VLOOKUP(K73,[2]Hoja4!$A$2:$C$443,3,FALSE)</f>
        <v>Street and highway</v>
      </c>
      <c r="N73" s="1">
        <v>18.5</v>
      </c>
      <c r="O73" s="1">
        <v>22.4</v>
      </c>
      <c r="P73" s="1">
        <v>19.899999999999999</v>
      </c>
      <c r="Q73" s="1">
        <v>995</v>
      </c>
      <c r="R73" s="1">
        <v>0</v>
      </c>
      <c r="S73" s="1">
        <v>71.8</v>
      </c>
      <c r="T73" s="5">
        <v>7.4399999999999994E-2</v>
      </c>
      <c r="U73" s="9">
        <v>6.0000000000000001E-3</v>
      </c>
    </row>
    <row r="74" spans="1:21" customFormat="1">
      <c r="A74">
        <v>1</v>
      </c>
      <c r="B74">
        <v>42</v>
      </c>
      <c r="C74">
        <v>12</v>
      </c>
      <c r="D74">
        <v>1</v>
      </c>
      <c r="E74">
        <v>2020</v>
      </c>
      <c r="F74">
        <v>7304</v>
      </c>
      <c r="G74" t="str">
        <f>VLOOKUP(F74,'[1]Sheet 1'!$B$2:$E$347,2,FALSE)</f>
        <v>Maule</v>
      </c>
      <c r="H74" t="str">
        <f>VLOOKUP(F74,'[1]Sheet 1'!$B$2:$E$347,3,FALSE)</f>
        <v>Curicó</v>
      </c>
      <c r="I74" t="str">
        <f>VLOOKUP(F74,'[1]Sheet 1'!$B$2:$E$347,4,FALSE)</f>
        <v>Molina</v>
      </c>
      <c r="J74" t="s">
        <v>141</v>
      </c>
      <c r="K74" s="3" t="s">
        <v>5</v>
      </c>
      <c r="L74" s="12" t="str">
        <f>VLOOKUP(K74,[2]Hoja4!$A$2:$C$443,2,FALSE)</f>
        <v>Intentional self-harm by other and unspecified firearm discharge</v>
      </c>
      <c r="M74" s="12" t="str">
        <f>VLOOKUP(K74,[2]Hoja4!$A$2:$C$443,3,FALSE)</f>
        <v>At home</v>
      </c>
      <c r="N74" s="1">
        <v>14.3</v>
      </c>
      <c r="O74" s="1">
        <v>34.9</v>
      </c>
      <c r="P74" s="1">
        <v>24.5</v>
      </c>
      <c r="Q74" s="1">
        <v>984.7</v>
      </c>
      <c r="R74" s="1">
        <v>0</v>
      </c>
      <c r="S74" s="1">
        <v>47</v>
      </c>
      <c r="T74" s="5">
        <v>7.4399999999999994E-2</v>
      </c>
      <c r="U74" s="9">
        <v>6.0000000000000001E-3</v>
      </c>
    </row>
    <row r="75" spans="1:21" customFormat="1">
      <c r="A75">
        <v>1</v>
      </c>
      <c r="B75">
        <v>31</v>
      </c>
      <c r="C75">
        <v>12</v>
      </c>
      <c r="D75">
        <v>1</v>
      </c>
      <c r="E75">
        <v>2020</v>
      </c>
      <c r="F75">
        <v>13201</v>
      </c>
      <c r="G75" t="str">
        <f>VLOOKUP(F75,'[1]Sheet 1'!$B$2:$E$347,2,FALSE)</f>
        <v>Metropolitana de Santiago</v>
      </c>
      <c r="H75" t="str">
        <f>VLOOKUP(F75,'[1]Sheet 1'!$B$2:$E$347,3,FALSE)</f>
        <v>Cordillera</v>
      </c>
      <c r="I75" t="str">
        <f>VLOOKUP(F75,'[1]Sheet 1'!$B$2:$E$347,4,FALSE)</f>
        <v>Puente Alto</v>
      </c>
      <c r="J75" t="s">
        <v>141</v>
      </c>
      <c r="K75" s="3" t="s">
        <v>35</v>
      </c>
      <c r="L75" s="12" t="str">
        <f>VLOOKUP(K75,[2]Hoja4!$A$2:$C$443,2,FALSE)</f>
        <v>Intentional self-harm by crashing of motor vehicle</v>
      </c>
      <c r="M75" s="12" t="str">
        <f>VLOOKUP(K75,[2]Hoja4!$A$2:$C$443,3,FALSE)</f>
        <v>Street and highway</v>
      </c>
      <c r="N75" s="1">
        <v>9.5</v>
      </c>
      <c r="O75" s="1">
        <v>33.700000000000003</v>
      </c>
      <c r="P75" s="1">
        <v>21.7</v>
      </c>
      <c r="Q75" s="1">
        <v>936.2</v>
      </c>
      <c r="R75" s="1">
        <v>0</v>
      </c>
      <c r="S75" s="1">
        <v>42</v>
      </c>
      <c r="T75" s="5">
        <v>7.4399999999999994E-2</v>
      </c>
      <c r="U75" s="9">
        <v>6.0000000000000001E-3</v>
      </c>
    </row>
    <row r="76" spans="1:21" customFormat="1">
      <c r="A76">
        <v>1</v>
      </c>
      <c r="B76">
        <v>27</v>
      </c>
      <c r="C76">
        <v>12</v>
      </c>
      <c r="D76">
        <v>1</v>
      </c>
      <c r="E76">
        <v>2020</v>
      </c>
      <c r="F76">
        <v>13119</v>
      </c>
      <c r="G76" t="str">
        <f>VLOOKUP(F76,'[1]Sheet 1'!$B$2:$E$347,2,FALSE)</f>
        <v>Metropolitana de Santiago</v>
      </c>
      <c r="H76" t="str">
        <f>VLOOKUP(F76,'[1]Sheet 1'!$B$2:$E$347,3,FALSE)</f>
        <v>Santiago</v>
      </c>
      <c r="I76" t="str">
        <f>VLOOKUP(F76,'[1]Sheet 1'!$B$2:$E$347,4,FALSE)</f>
        <v>Maipú</v>
      </c>
      <c r="J76" t="s">
        <v>136</v>
      </c>
      <c r="K76" s="3" t="s">
        <v>0</v>
      </c>
      <c r="L76" s="12" t="str">
        <f>VLOOKUP(K76,[2]Hoja4!$A$2:$C$443,2,FALSE)</f>
        <v>Intentional self-harm by hanging, strangulation and suffocation</v>
      </c>
      <c r="M76" s="12" t="str">
        <f>VLOOKUP(K76,[2]Hoja4!$A$2:$C$443,3,FALSE)</f>
        <v>Unspecified place</v>
      </c>
      <c r="N76" s="1">
        <v>12.9</v>
      </c>
      <c r="O76" s="1">
        <v>32.700000000000003</v>
      </c>
      <c r="P76" s="1">
        <v>23.4</v>
      </c>
      <c r="Q76" s="1">
        <v>952</v>
      </c>
      <c r="R76" s="1"/>
      <c r="S76" s="1">
        <v>37</v>
      </c>
      <c r="T76" s="5">
        <v>7.4399999999999994E-2</v>
      </c>
      <c r="U76" s="9">
        <v>6.0000000000000001E-3</v>
      </c>
    </row>
    <row r="77" spans="1:21" customFormat="1">
      <c r="A77">
        <v>2</v>
      </c>
      <c r="B77">
        <v>19</v>
      </c>
      <c r="C77">
        <v>12</v>
      </c>
      <c r="D77">
        <v>1</v>
      </c>
      <c r="E77">
        <v>2020</v>
      </c>
      <c r="F77">
        <v>13604</v>
      </c>
      <c r="G77" t="str">
        <f>VLOOKUP(F77,'[1]Sheet 1'!$B$2:$E$347,2,FALSE)</f>
        <v>Metropolitana de Santiago</v>
      </c>
      <c r="H77" t="str">
        <f>VLOOKUP(F77,'[1]Sheet 1'!$B$2:$E$347,3,FALSE)</f>
        <v>Talagante</v>
      </c>
      <c r="I77" t="str">
        <f>VLOOKUP(F77,'[1]Sheet 1'!$B$2:$E$347,4,FALSE)</f>
        <v>Padre Hurtado</v>
      </c>
      <c r="J77" t="s">
        <v>136</v>
      </c>
      <c r="K77" s="3" t="s">
        <v>4</v>
      </c>
      <c r="L77" s="12" t="str">
        <f>VLOOKUP(K77,[2]Hoja4!$A$2:$C$443,2,FALSE)</f>
        <v>Intentional self-harm by hanging, strangulation and suffocation</v>
      </c>
      <c r="M77" s="12" t="str">
        <f>VLOOKUP(K77,[2]Hoja4!$A$2:$C$443,3,FALSE)</f>
        <v>At home</v>
      </c>
      <c r="N77" s="1">
        <v>10.6</v>
      </c>
      <c r="O77" s="1">
        <v>31.1</v>
      </c>
      <c r="P77" s="1">
        <v>20.9</v>
      </c>
      <c r="Q77" s="1">
        <v>1008.5</v>
      </c>
      <c r="R77" s="1">
        <v>0</v>
      </c>
      <c r="S77" s="1">
        <v>57.5</v>
      </c>
      <c r="T77" s="5">
        <v>7.4399999999999994E-2</v>
      </c>
      <c r="U77" s="9">
        <v>6.0000000000000001E-3</v>
      </c>
    </row>
    <row r="78" spans="1:21" customFormat="1">
      <c r="A78">
        <v>1</v>
      </c>
      <c r="B78">
        <v>85</v>
      </c>
      <c r="C78">
        <v>13</v>
      </c>
      <c r="D78">
        <v>1</v>
      </c>
      <c r="E78">
        <v>2020</v>
      </c>
      <c r="F78">
        <v>13118</v>
      </c>
      <c r="G78" t="str">
        <f>VLOOKUP(F78,'[1]Sheet 1'!$B$2:$E$347,2,FALSE)</f>
        <v>Metropolitana de Santiago</v>
      </c>
      <c r="H78" t="str">
        <f>VLOOKUP(F78,'[1]Sheet 1'!$B$2:$E$347,3,FALSE)</f>
        <v>Santiago</v>
      </c>
      <c r="I78" t="str">
        <f>VLOOKUP(F78,'[1]Sheet 1'!$B$2:$E$347,4,FALSE)</f>
        <v>Macul</v>
      </c>
      <c r="J78" t="s">
        <v>136</v>
      </c>
      <c r="K78" s="3" t="s">
        <v>0</v>
      </c>
      <c r="L78" s="12" t="str">
        <f>VLOOKUP(K78,[2]Hoja4!$A$2:$C$443,2,FALSE)</f>
        <v>Intentional self-harm by hanging, strangulation and suffocation</v>
      </c>
      <c r="M78" s="12" t="str">
        <f>VLOOKUP(K78,[2]Hoja4!$A$2:$C$443,3,FALSE)</f>
        <v>Unspecified place</v>
      </c>
      <c r="N78" s="1">
        <v>12.6</v>
      </c>
      <c r="O78" s="1">
        <v>33</v>
      </c>
      <c r="P78" s="1">
        <v>23</v>
      </c>
      <c r="Q78" s="1">
        <v>951.8</v>
      </c>
      <c r="R78" s="1"/>
      <c r="S78" s="1">
        <v>48.8</v>
      </c>
      <c r="T78" s="5">
        <v>7.4399999999999994E-2</v>
      </c>
      <c r="U78" s="9">
        <v>6.0000000000000001E-3</v>
      </c>
    </row>
    <row r="79" spans="1:21" customFormat="1">
      <c r="A79">
        <v>1</v>
      </c>
      <c r="B79">
        <v>52</v>
      </c>
      <c r="C79">
        <v>13</v>
      </c>
      <c r="D79">
        <v>1</v>
      </c>
      <c r="E79">
        <v>2020</v>
      </c>
      <c r="F79">
        <v>8101</v>
      </c>
      <c r="G79" t="str">
        <f>VLOOKUP(F79,'[1]Sheet 1'!$B$2:$E$347,2,FALSE)</f>
        <v>Biobío</v>
      </c>
      <c r="H79" t="str">
        <f>VLOOKUP(F79,'[1]Sheet 1'!$B$2:$E$347,3,FALSE)</f>
        <v>Concepción</v>
      </c>
      <c r="I79" t="str">
        <f>VLOOKUP(F79,'[1]Sheet 1'!$B$2:$E$347,4,FALSE)</f>
        <v>Concepción</v>
      </c>
      <c r="J79" t="s">
        <v>136</v>
      </c>
      <c r="K79" s="3" t="s">
        <v>4</v>
      </c>
      <c r="L79" s="12" t="str">
        <f>VLOOKUP(K79,[2]Hoja4!$A$2:$C$443,2,FALSE)</f>
        <v>Intentional self-harm by hanging, strangulation and suffocation</v>
      </c>
      <c r="M79" s="12" t="str">
        <f>VLOOKUP(K79,[2]Hoja4!$A$2:$C$443,3,FALSE)</f>
        <v>At home</v>
      </c>
      <c r="N79" s="1">
        <v>13.8</v>
      </c>
      <c r="O79" s="1" t="s">
        <v>48</v>
      </c>
      <c r="P79" s="1">
        <v>17.2</v>
      </c>
      <c r="Q79" s="1">
        <v>1012.9</v>
      </c>
      <c r="R79" s="1">
        <v>0</v>
      </c>
      <c r="S79" s="1">
        <v>77</v>
      </c>
      <c r="T79" s="5">
        <v>7.4399999999999994E-2</v>
      </c>
      <c r="U79" s="9">
        <v>6.0000000000000001E-3</v>
      </c>
    </row>
    <row r="80" spans="1:21" customFormat="1">
      <c r="A80">
        <v>1</v>
      </c>
      <c r="B80">
        <v>34</v>
      </c>
      <c r="C80">
        <v>13</v>
      </c>
      <c r="D80">
        <v>1</v>
      </c>
      <c r="E80">
        <v>2020</v>
      </c>
      <c r="F80">
        <v>16301</v>
      </c>
      <c r="G80" t="str">
        <f>VLOOKUP(F80,'[1]Sheet 1'!$B$2:$E$347,2,FALSE)</f>
        <v>Ñuble</v>
      </c>
      <c r="H80" t="str">
        <f>VLOOKUP(F80,'[1]Sheet 1'!$B$2:$E$347,3,FALSE)</f>
        <v>Punilla</v>
      </c>
      <c r="I80" t="str">
        <f>VLOOKUP(F80,'[1]Sheet 1'!$B$2:$E$347,4,FALSE)</f>
        <v>San Carlos</v>
      </c>
      <c r="J80" t="s">
        <v>136</v>
      </c>
      <c r="K80" s="3" t="s">
        <v>0</v>
      </c>
      <c r="L80" s="12" t="str">
        <f>VLOOKUP(K80,[2]Hoja4!$A$2:$C$443,2,FALSE)</f>
        <v>Intentional self-harm by hanging, strangulation and suffocation</v>
      </c>
      <c r="M80" s="12" t="str">
        <f>VLOOKUP(K80,[2]Hoja4!$A$2:$C$443,3,FALSE)</f>
        <v>Unspecified place</v>
      </c>
      <c r="N80" s="1">
        <v>7.5</v>
      </c>
      <c r="O80" s="1">
        <v>31.7</v>
      </c>
      <c r="P80" s="1">
        <v>18.3</v>
      </c>
      <c r="Q80" s="1">
        <v>986.8</v>
      </c>
      <c r="R80" s="1">
        <v>0</v>
      </c>
      <c r="S80" s="1">
        <v>77.5</v>
      </c>
      <c r="T80" s="5">
        <v>7.4399999999999994E-2</v>
      </c>
      <c r="U80" s="9">
        <v>6.0000000000000001E-3</v>
      </c>
    </row>
    <row r="81" spans="1:21" customFormat="1">
      <c r="A81">
        <v>1</v>
      </c>
      <c r="B81">
        <v>32</v>
      </c>
      <c r="C81">
        <v>13</v>
      </c>
      <c r="D81">
        <v>1</v>
      </c>
      <c r="E81">
        <v>2020</v>
      </c>
      <c r="F81">
        <v>4102</v>
      </c>
      <c r="G81" t="str">
        <f>VLOOKUP(F81,'[1]Sheet 1'!$B$2:$E$347,2,FALSE)</f>
        <v>Coquimbo</v>
      </c>
      <c r="H81" t="str">
        <f>VLOOKUP(F81,'[1]Sheet 1'!$B$2:$E$347,3,FALSE)</f>
        <v>Elqui</v>
      </c>
      <c r="I81" t="str">
        <f>VLOOKUP(F81,'[1]Sheet 1'!$B$2:$E$347,4,FALSE)</f>
        <v>Coquimbo</v>
      </c>
      <c r="J81" t="s">
        <v>136</v>
      </c>
      <c r="K81" s="3" t="s">
        <v>4</v>
      </c>
      <c r="L81" s="12" t="str">
        <f>VLOOKUP(K81,[2]Hoja4!$A$2:$C$443,2,FALSE)</f>
        <v>Intentional self-harm by hanging, strangulation and suffocation</v>
      </c>
      <c r="M81" s="12" t="str">
        <f>VLOOKUP(K81,[2]Hoja4!$A$2:$C$443,3,FALSE)</f>
        <v>At home</v>
      </c>
      <c r="N81" s="1">
        <v>14.5</v>
      </c>
      <c r="O81" s="1">
        <v>20.2</v>
      </c>
      <c r="P81" s="1">
        <v>16.2</v>
      </c>
      <c r="Q81" s="1">
        <v>995.2</v>
      </c>
      <c r="R81" s="1">
        <v>0</v>
      </c>
      <c r="S81" s="1">
        <v>82.2</v>
      </c>
      <c r="T81" s="5">
        <v>7.4399999999999994E-2</v>
      </c>
      <c r="U81" s="9">
        <v>6.0000000000000001E-3</v>
      </c>
    </row>
    <row r="82" spans="1:21" customFormat="1">
      <c r="A82">
        <v>2</v>
      </c>
      <c r="B82">
        <v>30</v>
      </c>
      <c r="C82">
        <v>13</v>
      </c>
      <c r="D82">
        <v>1</v>
      </c>
      <c r="E82">
        <v>2020</v>
      </c>
      <c r="F82">
        <v>6101</v>
      </c>
      <c r="G82" t="str">
        <f>VLOOKUP(F82,'[1]Sheet 1'!$B$2:$E$347,2,FALSE)</f>
        <v>Libertador General Bernardo O'Higgins</v>
      </c>
      <c r="H82" t="str">
        <f>VLOOKUP(F82,'[1]Sheet 1'!$B$2:$E$347,3,FALSE)</f>
        <v>Cachapoal</v>
      </c>
      <c r="I82" t="str">
        <f>VLOOKUP(F82,'[1]Sheet 1'!$B$2:$E$347,4,FALSE)</f>
        <v>Rancagua</v>
      </c>
      <c r="J82" t="s">
        <v>136</v>
      </c>
      <c r="K82" s="3" t="s">
        <v>0</v>
      </c>
      <c r="L82" s="12" t="str">
        <f>VLOOKUP(K82,[2]Hoja4!$A$2:$C$443,2,FALSE)</f>
        <v>Intentional self-harm by hanging, strangulation and suffocation</v>
      </c>
      <c r="M82" s="12" t="str">
        <f>VLOOKUP(K82,[2]Hoja4!$A$2:$C$443,3,FALSE)</f>
        <v>Unspecified place</v>
      </c>
      <c r="N82" s="1">
        <v>12.8</v>
      </c>
      <c r="O82" s="1">
        <v>32.9</v>
      </c>
      <c r="P82" s="1">
        <v>23.2</v>
      </c>
      <c r="Q82" s="1">
        <v>955.6</v>
      </c>
      <c r="R82" s="1">
        <v>0</v>
      </c>
      <c r="S82" s="1">
        <v>45.8</v>
      </c>
      <c r="T82" s="5">
        <v>7.4399999999999994E-2</v>
      </c>
      <c r="U82" s="9">
        <v>6.0000000000000001E-3</v>
      </c>
    </row>
    <row r="83" spans="1:21" customFormat="1">
      <c r="A83">
        <v>2</v>
      </c>
      <c r="B83">
        <v>33</v>
      </c>
      <c r="C83">
        <v>14</v>
      </c>
      <c r="D83">
        <v>1</v>
      </c>
      <c r="E83">
        <v>2020</v>
      </c>
      <c r="F83">
        <v>13125</v>
      </c>
      <c r="G83" t="str">
        <f>VLOOKUP(F83,'[1]Sheet 1'!$B$2:$E$347,2,FALSE)</f>
        <v>Metropolitana de Santiago</v>
      </c>
      <c r="H83" t="str">
        <f>VLOOKUP(F83,'[1]Sheet 1'!$B$2:$E$347,3,FALSE)</f>
        <v>Santiago</v>
      </c>
      <c r="I83" t="str">
        <f>VLOOKUP(F83,'[1]Sheet 1'!$B$2:$E$347,4,FALSE)</f>
        <v>Quilicura</v>
      </c>
      <c r="J83" t="s">
        <v>136</v>
      </c>
      <c r="K83" s="3" t="s">
        <v>0</v>
      </c>
      <c r="L83" s="12" t="str">
        <f>VLOOKUP(K83,[2]Hoja4!$A$2:$C$443,2,FALSE)</f>
        <v>Intentional self-harm by hanging, strangulation and suffocation</v>
      </c>
      <c r="M83" s="12" t="str">
        <f>VLOOKUP(K83,[2]Hoja4!$A$2:$C$443,3,FALSE)</f>
        <v>Unspecified place</v>
      </c>
      <c r="N83" s="1">
        <v>13</v>
      </c>
      <c r="O83" s="1">
        <v>31.9</v>
      </c>
      <c r="P83" s="1">
        <v>22.9</v>
      </c>
      <c r="Q83" s="1">
        <v>951.8</v>
      </c>
      <c r="R83" s="1"/>
      <c r="S83" s="1">
        <v>44.2</v>
      </c>
      <c r="T83" s="5">
        <v>7.4399999999999994E-2</v>
      </c>
      <c r="U83" s="9">
        <v>6.0000000000000001E-3</v>
      </c>
    </row>
    <row r="84" spans="1:21" customFormat="1">
      <c r="A84">
        <v>1</v>
      </c>
      <c r="B84">
        <v>23</v>
      </c>
      <c r="C84">
        <v>14</v>
      </c>
      <c r="D84">
        <v>1</v>
      </c>
      <c r="E84">
        <v>2020</v>
      </c>
      <c r="F84">
        <v>7403</v>
      </c>
      <c r="G84" t="str">
        <f>VLOOKUP(F84,'[1]Sheet 1'!$B$2:$E$347,2,FALSE)</f>
        <v>Maule</v>
      </c>
      <c r="H84" t="str">
        <f>VLOOKUP(F84,'[1]Sheet 1'!$B$2:$E$347,3,FALSE)</f>
        <v>Linares</v>
      </c>
      <c r="I84" t="str">
        <f>VLOOKUP(F84,'[1]Sheet 1'!$B$2:$E$347,4,FALSE)</f>
        <v>Longaví</v>
      </c>
      <c r="J84" t="s">
        <v>136</v>
      </c>
      <c r="K84" s="3" t="s">
        <v>0</v>
      </c>
      <c r="L84" s="12" t="str">
        <f>VLOOKUP(K84,[2]Hoja4!$A$2:$C$443,2,FALSE)</f>
        <v>Intentional self-harm by hanging, strangulation and suffocation</v>
      </c>
      <c r="M84" s="12" t="str">
        <f>VLOOKUP(K84,[2]Hoja4!$A$2:$C$443,3,FALSE)</f>
        <v>Unspecified place</v>
      </c>
      <c r="N84" s="1">
        <v>11.9</v>
      </c>
      <c r="O84" s="1">
        <v>29.8</v>
      </c>
      <c r="P84" s="1">
        <v>20.399999999999999</v>
      </c>
      <c r="Q84" s="1">
        <v>993.5</v>
      </c>
      <c r="R84" s="1">
        <v>0</v>
      </c>
      <c r="S84" s="1">
        <v>59.5</v>
      </c>
      <c r="T84" s="5">
        <v>7.4399999999999994E-2</v>
      </c>
      <c r="U84" s="9">
        <v>6.0000000000000001E-3</v>
      </c>
    </row>
    <row r="85" spans="1:21" customFormat="1">
      <c r="A85">
        <v>1</v>
      </c>
      <c r="B85">
        <v>34</v>
      </c>
      <c r="C85">
        <v>15</v>
      </c>
      <c r="D85">
        <v>1</v>
      </c>
      <c r="E85">
        <v>2020</v>
      </c>
      <c r="F85">
        <v>4301</v>
      </c>
      <c r="G85" t="str">
        <f>VLOOKUP(F85,'[1]Sheet 1'!$B$2:$E$347,2,FALSE)</f>
        <v>Coquimbo</v>
      </c>
      <c r="H85" t="str">
        <f>VLOOKUP(F85,'[1]Sheet 1'!$B$2:$E$347,3,FALSE)</f>
        <v>Limarí</v>
      </c>
      <c r="I85" t="str">
        <f>VLOOKUP(F85,'[1]Sheet 1'!$B$2:$E$347,4,FALSE)</f>
        <v>Ovalle</v>
      </c>
      <c r="J85" t="s">
        <v>136</v>
      </c>
      <c r="K85" s="3" t="s">
        <v>0</v>
      </c>
      <c r="L85" s="12" t="str">
        <f>VLOOKUP(K85,[2]Hoja4!$A$2:$C$443,2,FALSE)</f>
        <v>Intentional self-harm by hanging, strangulation and suffocation</v>
      </c>
      <c r="M85" s="12" t="str">
        <f>VLOOKUP(K85,[2]Hoja4!$A$2:$C$443,3,FALSE)</f>
        <v>Unspecified place</v>
      </c>
      <c r="N85" s="1">
        <v>12.3</v>
      </c>
      <c r="O85" s="1">
        <v>29.3</v>
      </c>
      <c r="P85" s="1">
        <v>18.899999999999999</v>
      </c>
      <c r="Q85" s="1">
        <v>975</v>
      </c>
      <c r="R85" s="1">
        <v>0</v>
      </c>
      <c r="S85" s="1">
        <v>62.8</v>
      </c>
      <c r="T85" s="5">
        <v>7.4399999999999994E-2</v>
      </c>
      <c r="U85" s="9">
        <v>6.0000000000000001E-3</v>
      </c>
    </row>
    <row r="86" spans="1:21" customFormat="1">
      <c r="A86">
        <v>1</v>
      </c>
      <c r="B86">
        <v>30</v>
      </c>
      <c r="C86">
        <v>15</v>
      </c>
      <c r="D86">
        <v>1</v>
      </c>
      <c r="E86">
        <v>2020</v>
      </c>
      <c r="F86">
        <v>13201</v>
      </c>
      <c r="G86" t="str">
        <f>VLOOKUP(F86,'[1]Sheet 1'!$B$2:$E$347,2,FALSE)</f>
        <v>Metropolitana de Santiago</v>
      </c>
      <c r="H86" t="str">
        <f>VLOOKUP(F86,'[1]Sheet 1'!$B$2:$E$347,3,FALSE)</f>
        <v>Cordillera</v>
      </c>
      <c r="I86" t="str">
        <f>VLOOKUP(F86,'[1]Sheet 1'!$B$2:$E$347,4,FALSE)</f>
        <v>Puente Alto</v>
      </c>
      <c r="J86" t="s">
        <v>136</v>
      </c>
      <c r="K86" s="3" t="s">
        <v>0</v>
      </c>
      <c r="L86" s="12" t="str">
        <f>VLOOKUP(K86,[2]Hoja4!$A$2:$C$443,2,FALSE)</f>
        <v>Intentional self-harm by hanging, strangulation and suffocation</v>
      </c>
      <c r="M86" s="12" t="str">
        <f>VLOOKUP(K86,[2]Hoja4!$A$2:$C$443,3,FALSE)</f>
        <v>Unspecified place</v>
      </c>
      <c r="N86" s="1">
        <v>9.8000000000000007</v>
      </c>
      <c r="O86" s="1">
        <v>33.6</v>
      </c>
      <c r="P86" s="1">
        <v>22.2</v>
      </c>
      <c r="Q86" s="1">
        <v>936</v>
      </c>
      <c r="R86" s="1">
        <v>0</v>
      </c>
      <c r="S86" s="1">
        <v>40.6</v>
      </c>
      <c r="T86" s="5">
        <v>7.4399999999999994E-2</v>
      </c>
      <c r="U86" s="9">
        <v>6.0000000000000001E-3</v>
      </c>
    </row>
    <row r="87" spans="1:21" customFormat="1">
      <c r="A87">
        <v>1</v>
      </c>
      <c r="B87">
        <v>27</v>
      </c>
      <c r="C87">
        <v>15</v>
      </c>
      <c r="D87">
        <v>1</v>
      </c>
      <c r="E87">
        <v>2020</v>
      </c>
      <c r="F87">
        <v>8101</v>
      </c>
      <c r="G87" t="str">
        <f>VLOOKUP(F87,'[1]Sheet 1'!$B$2:$E$347,2,FALSE)</f>
        <v>Biobío</v>
      </c>
      <c r="H87" t="str">
        <f>VLOOKUP(F87,'[1]Sheet 1'!$B$2:$E$347,3,FALSE)</f>
        <v>Concepción</v>
      </c>
      <c r="I87" t="str">
        <f>VLOOKUP(F87,'[1]Sheet 1'!$B$2:$E$347,4,FALSE)</f>
        <v>Concepción</v>
      </c>
      <c r="J87" t="s">
        <v>136</v>
      </c>
      <c r="K87" s="3" t="s">
        <v>2</v>
      </c>
      <c r="L87" s="12" t="str">
        <f>VLOOKUP(K87,[2]Hoja4!$A$2:$C$443,2,FALSE)</f>
        <v>Intentional self-harm by hanging, strangulation and suffocation</v>
      </c>
      <c r="M87" s="12" t="str">
        <f>VLOOKUP(K87,[2]Hoja4!$A$2:$C$443,3,FALSE)</f>
        <v>Street and highway</v>
      </c>
      <c r="N87" s="1">
        <v>9.9</v>
      </c>
      <c r="O87" s="1">
        <v>22.6</v>
      </c>
      <c r="P87" s="1">
        <v>16.100000000000001</v>
      </c>
      <c r="Q87" s="1">
        <v>1018.1</v>
      </c>
      <c r="R87" s="1">
        <v>0</v>
      </c>
      <c r="S87" s="1">
        <v>50.5</v>
      </c>
      <c r="T87" s="5">
        <v>7.4399999999999994E-2</v>
      </c>
      <c r="U87" s="9">
        <v>6.0000000000000001E-3</v>
      </c>
    </row>
    <row r="88" spans="1:21" customFormat="1">
      <c r="A88">
        <v>2</v>
      </c>
      <c r="B88">
        <v>89</v>
      </c>
      <c r="C88">
        <v>16</v>
      </c>
      <c r="D88">
        <v>1</v>
      </c>
      <c r="E88">
        <v>2020</v>
      </c>
      <c r="F88">
        <v>14203</v>
      </c>
      <c r="G88" t="str">
        <f>VLOOKUP(F88,'[1]Sheet 1'!$B$2:$E$347,2,FALSE)</f>
        <v>Los Ríos</v>
      </c>
      <c r="H88" t="str">
        <f>VLOOKUP(F88,'[1]Sheet 1'!$B$2:$E$347,3,FALSE)</f>
        <v>Ranco</v>
      </c>
      <c r="I88" t="str">
        <f>VLOOKUP(F88,'[1]Sheet 1'!$B$2:$E$347,4,FALSE)</f>
        <v>Lago Ranco</v>
      </c>
      <c r="J88" t="s">
        <v>136</v>
      </c>
      <c r="K88" s="3" t="s">
        <v>0</v>
      </c>
      <c r="L88" s="12" t="str">
        <f>VLOOKUP(K88,[2]Hoja4!$A$2:$C$443,2,FALSE)</f>
        <v>Intentional self-harm by hanging, strangulation and suffocation</v>
      </c>
      <c r="M88" s="12" t="str">
        <f>VLOOKUP(K88,[2]Hoja4!$A$2:$C$443,3,FALSE)</f>
        <v>Unspecified place</v>
      </c>
      <c r="N88" s="1">
        <v>7.6</v>
      </c>
      <c r="O88" s="1">
        <v>21.6</v>
      </c>
      <c r="P88" s="1">
        <v>13.6</v>
      </c>
      <c r="Q88" s="1">
        <v>1013.3</v>
      </c>
      <c r="R88" s="1">
        <v>0</v>
      </c>
      <c r="S88" s="1">
        <v>56.3</v>
      </c>
      <c r="T88" s="5">
        <v>7.4399999999999994E-2</v>
      </c>
      <c r="U88" s="9">
        <v>6.0000000000000001E-3</v>
      </c>
    </row>
    <row r="89" spans="1:21" customFormat="1">
      <c r="A89">
        <v>2</v>
      </c>
      <c r="B89">
        <v>30</v>
      </c>
      <c r="C89">
        <v>16</v>
      </c>
      <c r="D89">
        <v>1</v>
      </c>
      <c r="E89">
        <v>2020</v>
      </c>
      <c r="F89">
        <v>9207</v>
      </c>
      <c r="G89" t="str">
        <f>VLOOKUP(F89,'[1]Sheet 1'!$B$2:$E$347,2,FALSE)</f>
        <v>La Araucanía</v>
      </c>
      <c r="H89" t="str">
        <f>VLOOKUP(F89,'[1]Sheet 1'!$B$2:$E$347,3,FALSE)</f>
        <v>Malleco</v>
      </c>
      <c r="I89" t="str">
        <f>VLOOKUP(F89,'[1]Sheet 1'!$B$2:$E$347,4,FALSE)</f>
        <v>Lumaco</v>
      </c>
      <c r="J89" t="s">
        <v>139</v>
      </c>
      <c r="K89" s="3" t="s">
        <v>36</v>
      </c>
      <c r="L89" s="12" t="str">
        <f>VLOOKUP(K89,[2]Hoja4!$A$2:$C$443,2,FALSE)</f>
        <v>Intentional self-poisoning by and exposure to other and unspecified chemicals and noxious substances</v>
      </c>
      <c r="M89" s="12" t="str">
        <f>VLOOKUP(K89,[2]Hoja4!$A$2:$C$443,3,FALSE)</f>
        <v>Industrial and construction area</v>
      </c>
      <c r="N89" s="1">
        <v>11.5</v>
      </c>
      <c r="O89" s="1">
        <v>28.4</v>
      </c>
      <c r="P89" s="1">
        <v>18</v>
      </c>
      <c r="Q89" s="1">
        <v>1009</v>
      </c>
      <c r="R89" s="1">
        <v>0</v>
      </c>
      <c r="S89" s="1">
        <v>36.799999999999997</v>
      </c>
      <c r="T89" s="5">
        <v>7.4399999999999994E-2</v>
      </c>
      <c r="U89" s="9">
        <v>6.0000000000000001E-3</v>
      </c>
    </row>
    <row r="90" spans="1:21" customFormat="1">
      <c r="A90">
        <v>1</v>
      </c>
      <c r="B90">
        <v>22</v>
      </c>
      <c r="C90">
        <v>16</v>
      </c>
      <c r="D90">
        <v>1</v>
      </c>
      <c r="E90">
        <v>2020</v>
      </c>
      <c r="F90">
        <v>14101</v>
      </c>
      <c r="G90" t="str">
        <f>VLOOKUP(F90,'[1]Sheet 1'!$B$2:$E$347,2,FALSE)</f>
        <v>Los Ríos</v>
      </c>
      <c r="H90" t="str">
        <f>VLOOKUP(F90,'[1]Sheet 1'!$B$2:$E$347,3,FALSE)</f>
        <v>Valdivia</v>
      </c>
      <c r="I90" t="str">
        <f>VLOOKUP(F90,'[1]Sheet 1'!$B$2:$E$347,4,FALSE)</f>
        <v>Valdivia</v>
      </c>
      <c r="J90" t="s">
        <v>136</v>
      </c>
      <c r="K90" s="3" t="s">
        <v>0</v>
      </c>
      <c r="L90" s="12" t="str">
        <f>VLOOKUP(K90,[2]Hoja4!$A$2:$C$443,2,FALSE)</f>
        <v>Intentional self-harm by hanging, strangulation and suffocation</v>
      </c>
      <c r="M90" s="12" t="str">
        <f>VLOOKUP(K90,[2]Hoja4!$A$2:$C$443,3,FALSE)</f>
        <v>Unspecified place</v>
      </c>
      <c r="N90" s="1">
        <v>4</v>
      </c>
      <c r="O90" s="1">
        <v>23.4</v>
      </c>
      <c r="P90" s="1">
        <v>14.1</v>
      </c>
      <c r="Q90" s="1">
        <v>1018.8</v>
      </c>
      <c r="R90" s="1">
        <v>0</v>
      </c>
      <c r="S90" s="1">
        <v>58.5</v>
      </c>
      <c r="T90" s="5">
        <v>7.4399999999999994E-2</v>
      </c>
      <c r="U90" s="9">
        <v>6.0000000000000001E-3</v>
      </c>
    </row>
    <row r="91" spans="1:21" customFormat="1">
      <c r="A91">
        <v>1</v>
      </c>
      <c r="B91">
        <v>51</v>
      </c>
      <c r="C91">
        <v>17</v>
      </c>
      <c r="D91">
        <v>1</v>
      </c>
      <c r="E91">
        <v>2020</v>
      </c>
      <c r="F91">
        <v>13120</v>
      </c>
      <c r="G91" t="str">
        <f>VLOOKUP(F91,'[1]Sheet 1'!$B$2:$E$347,2,FALSE)</f>
        <v>Metropolitana de Santiago</v>
      </c>
      <c r="H91" t="str">
        <f>VLOOKUP(F91,'[1]Sheet 1'!$B$2:$E$347,3,FALSE)</f>
        <v>Santiago</v>
      </c>
      <c r="I91" t="str">
        <f>VLOOKUP(F91,'[1]Sheet 1'!$B$2:$E$347,4,FALSE)</f>
        <v>Ñuñoa</v>
      </c>
      <c r="J91" t="s">
        <v>136</v>
      </c>
      <c r="K91" s="3" t="s">
        <v>0</v>
      </c>
      <c r="L91" s="12" t="str">
        <f>VLOOKUP(K91,[2]Hoja4!$A$2:$C$443,2,FALSE)</f>
        <v>Intentional self-harm by hanging, strangulation and suffocation</v>
      </c>
      <c r="M91" s="12" t="str">
        <f>VLOOKUP(K91,[2]Hoja4!$A$2:$C$443,3,FALSE)</f>
        <v>Unspecified place</v>
      </c>
      <c r="N91" s="1">
        <v>13.9</v>
      </c>
      <c r="O91" s="1">
        <v>33.6</v>
      </c>
      <c r="P91" s="1">
        <v>23.8</v>
      </c>
      <c r="Q91" s="1">
        <v>950.4</v>
      </c>
      <c r="R91" s="1"/>
      <c r="S91" s="1">
        <v>41.2</v>
      </c>
      <c r="T91" s="5">
        <v>7.4399999999999994E-2</v>
      </c>
      <c r="U91" s="9">
        <v>6.0000000000000001E-3</v>
      </c>
    </row>
    <row r="92" spans="1:21" customFormat="1">
      <c r="A92">
        <v>1</v>
      </c>
      <c r="B92">
        <v>43</v>
      </c>
      <c r="C92">
        <v>17</v>
      </c>
      <c r="D92">
        <v>1</v>
      </c>
      <c r="E92">
        <v>2020</v>
      </c>
      <c r="F92">
        <v>2201</v>
      </c>
      <c r="G92" t="str">
        <f>VLOOKUP(F92,'[1]Sheet 1'!$B$2:$E$347,2,FALSE)</f>
        <v>Antofagasta</v>
      </c>
      <c r="H92" t="str">
        <f>VLOOKUP(F92,'[1]Sheet 1'!$B$2:$E$347,3,FALSE)</f>
        <v>El Loa</v>
      </c>
      <c r="I92" t="str">
        <f>VLOOKUP(F92,'[1]Sheet 1'!$B$2:$E$347,4,FALSE)</f>
        <v>Calama</v>
      </c>
      <c r="J92" t="s">
        <v>136</v>
      </c>
      <c r="K92" s="3" t="s">
        <v>0</v>
      </c>
      <c r="L92" s="12" t="str">
        <f>VLOOKUP(K92,[2]Hoja4!$A$2:$C$443,2,FALSE)</f>
        <v>Intentional self-harm by hanging, strangulation and suffocation</v>
      </c>
      <c r="M92" s="12" t="str">
        <f>VLOOKUP(K92,[2]Hoja4!$A$2:$C$443,3,FALSE)</f>
        <v>Unspecified place</v>
      </c>
      <c r="N92" s="1">
        <v>10.4</v>
      </c>
      <c r="O92" s="1">
        <v>28.5</v>
      </c>
      <c r="P92" s="1">
        <v>20.100000000000001</v>
      </c>
      <c r="Q92" s="1">
        <v>771.3</v>
      </c>
      <c r="R92" s="1">
        <v>0</v>
      </c>
      <c r="S92" s="1">
        <v>26</v>
      </c>
      <c r="T92" s="5">
        <v>7.4399999999999994E-2</v>
      </c>
      <c r="U92" s="9">
        <v>6.0000000000000001E-3</v>
      </c>
    </row>
    <row r="93" spans="1:21" customFormat="1">
      <c r="A93">
        <v>1</v>
      </c>
      <c r="B93">
        <v>26</v>
      </c>
      <c r="C93">
        <v>17</v>
      </c>
      <c r="D93">
        <v>1</v>
      </c>
      <c r="E93">
        <v>2020</v>
      </c>
      <c r="F93">
        <v>8101</v>
      </c>
      <c r="G93" t="str">
        <f>VLOOKUP(F93,'[1]Sheet 1'!$B$2:$E$347,2,FALSE)</f>
        <v>Biobío</v>
      </c>
      <c r="H93" t="str">
        <f>VLOOKUP(F93,'[1]Sheet 1'!$B$2:$E$347,3,FALSE)</f>
        <v>Concepción</v>
      </c>
      <c r="I93" t="str">
        <f>VLOOKUP(F93,'[1]Sheet 1'!$B$2:$E$347,4,FALSE)</f>
        <v>Concepción</v>
      </c>
      <c r="J93" t="s">
        <v>136</v>
      </c>
      <c r="K93" s="3" t="s">
        <v>4</v>
      </c>
      <c r="L93" s="12" t="str">
        <f>VLOOKUP(K93,[2]Hoja4!$A$2:$C$443,2,FALSE)</f>
        <v>Intentional self-harm by hanging, strangulation and suffocation</v>
      </c>
      <c r="M93" s="12" t="str">
        <f>VLOOKUP(K93,[2]Hoja4!$A$2:$C$443,3,FALSE)</f>
        <v>At home</v>
      </c>
      <c r="N93" s="1">
        <v>10.199999999999999</v>
      </c>
      <c r="O93" s="1">
        <v>24.5</v>
      </c>
      <c r="P93" s="1">
        <v>17.100000000000001</v>
      </c>
      <c r="Q93" s="1">
        <v>1009.9</v>
      </c>
      <c r="R93" s="1">
        <v>0</v>
      </c>
      <c r="S93" s="1">
        <v>64.2</v>
      </c>
      <c r="T93" s="5">
        <v>7.4399999999999994E-2</v>
      </c>
      <c r="U93" s="9">
        <v>6.0000000000000001E-3</v>
      </c>
    </row>
    <row r="94" spans="1:21" customFormat="1">
      <c r="A94">
        <v>2</v>
      </c>
      <c r="B94">
        <v>49</v>
      </c>
      <c r="C94">
        <v>18</v>
      </c>
      <c r="D94">
        <v>1</v>
      </c>
      <c r="E94">
        <v>2020</v>
      </c>
      <c r="F94">
        <v>13128</v>
      </c>
      <c r="G94" t="str">
        <f>VLOOKUP(F94,'[1]Sheet 1'!$B$2:$E$347,2,FALSE)</f>
        <v>Metropolitana de Santiago</v>
      </c>
      <c r="H94" t="str">
        <f>VLOOKUP(F94,'[1]Sheet 1'!$B$2:$E$347,3,FALSE)</f>
        <v>Santiago</v>
      </c>
      <c r="I94" t="str">
        <f>VLOOKUP(F94,'[1]Sheet 1'!$B$2:$E$347,4,FALSE)</f>
        <v>Renca</v>
      </c>
      <c r="J94" t="s">
        <v>136</v>
      </c>
      <c r="K94" s="3" t="s">
        <v>0</v>
      </c>
      <c r="L94" s="12" t="str">
        <f>VLOOKUP(K94,[2]Hoja4!$A$2:$C$443,2,FALSE)</f>
        <v>Intentional self-harm by hanging, strangulation and suffocation</v>
      </c>
      <c r="M94" s="12" t="str">
        <f>VLOOKUP(K94,[2]Hoja4!$A$2:$C$443,3,FALSE)</f>
        <v>Unspecified place</v>
      </c>
      <c r="N94" s="1">
        <v>17.600000000000001</v>
      </c>
      <c r="O94" s="1">
        <v>33.9</v>
      </c>
      <c r="P94" s="1">
        <v>24.6</v>
      </c>
      <c r="Q94" s="1">
        <v>949.7</v>
      </c>
      <c r="R94" s="1"/>
      <c r="S94" s="1">
        <v>45.8</v>
      </c>
      <c r="T94" s="5">
        <v>7.4399999999999994E-2</v>
      </c>
      <c r="U94" s="9">
        <v>6.0000000000000001E-3</v>
      </c>
    </row>
    <row r="95" spans="1:21" customFormat="1">
      <c r="A95">
        <v>1</v>
      </c>
      <c r="B95">
        <v>50</v>
      </c>
      <c r="C95">
        <v>18</v>
      </c>
      <c r="D95">
        <v>1</v>
      </c>
      <c r="E95">
        <v>2020</v>
      </c>
      <c r="F95">
        <v>14107</v>
      </c>
      <c r="G95" t="str">
        <f>VLOOKUP(F95,'[1]Sheet 1'!$B$2:$E$347,2,FALSE)</f>
        <v>Los Ríos</v>
      </c>
      <c r="H95" t="str">
        <f>VLOOKUP(F95,'[1]Sheet 1'!$B$2:$E$347,3,FALSE)</f>
        <v>Valdivia</v>
      </c>
      <c r="I95" t="str">
        <f>VLOOKUP(F95,'[1]Sheet 1'!$B$2:$E$347,4,FALSE)</f>
        <v>Paillaco</v>
      </c>
      <c r="J95" t="s">
        <v>136</v>
      </c>
      <c r="K95" s="3" t="s">
        <v>0</v>
      </c>
      <c r="L95" s="12" t="str">
        <f>VLOOKUP(K95,[2]Hoja4!$A$2:$C$443,2,FALSE)</f>
        <v>Intentional self-harm by hanging, strangulation and suffocation</v>
      </c>
      <c r="M95" s="12" t="str">
        <f>VLOOKUP(K95,[2]Hoja4!$A$2:$C$443,3,FALSE)</f>
        <v>Unspecified place</v>
      </c>
      <c r="N95" s="1">
        <v>9.1999999999999993</v>
      </c>
      <c r="O95" s="1">
        <v>26.8</v>
      </c>
      <c r="P95" s="1">
        <v>20</v>
      </c>
      <c r="Q95" s="1">
        <v>1011</v>
      </c>
      <c r="R95" s="1">
        <v>0</v>
      </c>
      <c r="S95" s="1">
        <v>63.2</v>
      </c>
      <c r="T95" s="5">
        <v>7.4399999999999994E-2</v>
      </c>
      <c r="U95" s="9">
        <v>6.0000000000000001E-3</v>
      </c>
    </row>
    <row r="96" spans="1:21" customFormat="1">
      <c r="A96">
        <v>1</v>
      </c>
      <c r="B96">
        <v>46</v>
      </c>
      <c r="C96">
        <v>18</v>
      </c>
      <c r="D96">
        <v>1</v>
      </c>
      <c r="E96">
        <v>2020</v>
      </c>
      <c r="F96">
        <v>13128</v>
      </c>
      <c r="G96" t="str">
        <f>VLOOKUP(F96,'[1]Sheet 1'!$B$2:$E$347,2,FALSE)</f>
        <v>Metropolitana de Santiago</v>
      </c>
      <c r="H96" t="str">
        <f>VLOOKUP(F96,'[1]Sheet 1'!$B$2:$E$347,3,FALSE)</f>
        <v>Santiago</v>
      </c>
      <c r="I96" t="str">
        <f>VLOOKUP(F96,'[1]Sheet 1'!$B$2:$E$347,4,FALSE)</f>
        <v>Renca</v>
      </c>
      <c r="J96" t="s">
        <v>136</v>
      </c>
      <c r="K96" s="3" t="s">
        <v>0</v>
      </c>
      <c r="L96" s="12" t="str">
        <f>VLOOKUP(K96,[2]Hoja4!$A$2:$C$443,2,FALSE)</f>
        <v>Intentional self-harm by hanging, strangulation and suffocation</v>
      </c>
      <c r="M96" s="12" t="str">
        <f>VLOOKUP(K96,[2]Hoja4!$A$2:$C$443,3,FALSE)</f>
        <v>Unspecified place</v>
      </c>
      <c r="N96" s="1">
        <v>17.600000000000001</v>
      </c>
      <c r="O96" s="1">
        <v>33.9</v>
      </c>
      <c r="P96" s="1">
        <v>24.6</v>
      </c>
      <c r="Q96" s="1">
        <v>949.7</v>
      </c>
      <c r="R96" s="1"/>
      <c r="S96" s="1">
        <v>45.8</v>
      </c>
      <c r="T96" s="5">
        <v>7.4399999999999994E-2</v>
      </c>
      <c r="U96" s="9">
        <v>6.0000000000000001E-3</v>
      </c>
    </row>
    <row r="97" spans="1:21" customFormat="1">
      <c r="A97">
        <v>1</v>
      </c>
      <c r="B97">
        <v>43</v>
      </c>
      <c r="C97">
        <v>18</v>
      </c>
      <c r="D97">
        <v>1</v>
      </c>
      <c r="E97">
        <v>2020</v>
      </c>
      <c r="F97">
        <v>8101</v>
      </c>
      <c r="G97" t="str">
        <f>VLOOKUP(F97,'[1]Sheet 1'!$B$2:$E$347,2,FALSE)</f>
        <v>Biobío</v>
      </c>
      <c r="H97" t="str">
        <f>VLOOKUP(F97,'[1]Sheet 1'!$B$2:$E$347,3,FALSE)</f>
        <v>Concepción</v>
      </c>
      <c r="I97" t="str">
        <f>VLOOKUP(F97,'[1]Sheet 1'!$B$2:$E$347,4,FALSE)</f>
        <v>Concepción</v>
      </c>
      <c r="J97" t="s">
        <v>136</v>
      </c>
      <c r="K97" s="3" t="s">
        <v>4</v>
      </c>
      <c r="L97" s="12" t="str">
        <f>VLOOKUP(K97,[2]Hoja4!$A$2:$C$443,2,FALSE)</f>
        <v>Intentional self-harm by hanging, strangulation and suffocation</v>
      </c>
      <c r="M97" s="12" t="str">
        <f>VLOOKUP(K97,[2]Hoja4!$A$2:$C$443,3,FALSE)</f>
        <v>At home</v>
      </c>
      <c r="N97" s="1">
        <v>10.199999999999999</v>
      </c>
      <c r="O97" s="1">
        <v>25.5</v>
      </c>
      <c r="P97" s="1">
        <v>17.399999999999999</v>
      </c>
      <c r="Q97" s="1">
        <v>1008.5</v>
      </c>
      <c r="R97" s="1">
        <v>0</v>
      </c>
      <c r="S97" s="1">
        <v>66</v>
      </c>
      <c r="T97" s="5">
        <v>7.4399999999999994E-2</v>
      </c>
      <c r="U97" s="9">
        <v>6.0000000000000001E-3</v>
      </c>
    </row>
    <row r="98" spans="1:21" customFormat="1">
      <c r="A98">
        <v>1</v>
      </c>
      <c r="B98">
        <v>36</v>
      </c>
      <c r="C98">
        <v>18</v>
      </c>
      <c r="D98">
        <v>1</v>
      </c>
      <c r="E98">
        <v>2020</v>
      </c>
      <c r="F98">
        <v>4303</v>
      </c>
      <c r="G98" t="str">
        <f>VLOOKUP(F98,'[1]Sheet 1'!$B$2:$E$347,2,FALSE)</f>
        <v>Coquimbo</v>
      </c>
      <c r="H98" t="str">
        <f>VLOOKUP(F98,'[1]Sheet 1'!$B$2:$E$347,3,FALSE)</f>
        <v>Limarí</v>
      </c>
      <c r="I98" t="str">
        <f>VLOOKUP(F98,'[1]Sheet 1'!$B$2:$E$347,4,FALSE)</f>
        <v>Monte Patria</v>
      </c>
      <c r="J98" t="s">
        <v>136</v>
      </c>
      <c r="K98" s="3" t="s">
        <v>4</v>
      </c>
      <c r="L98" s="12" t="str">
        <f>VLOOKUP(K98,[2]Hoja4!$A$2:$C$443,2,FALSE)</f>
        <v>Intentional self-harm by hanging, strangulation and suffocation</v>
      </c>
      <c r="M98" s="12" t="str">
        <f>VLOOKUP(K98,[2]Hoja4!$A$2:$C$443,3,FALSE)</f>
        <v>At home</v>
      </c>
      <c r="N98" s="1">
        <v>15</v>
      </c>
      <c r="O98" s="1">
        <v>30.3</v>
      </c>
      <c r="P98" s="1">
        <v>21.1</v>
      </c>
      <c r="Q98" s="1">
        <v>974</v>
      </c>
      <c r="R98" s="1">
        <v>0</v>
      </c>
      <c r="S98" s="1">
        <v>61.6</v>
      </c>
      <c r="T98" s="5">
        <v>7.4399999999999994E-2</v>
      </c>
      <c r="U98" s="9">
        <v>6.0000000000000001E-3</v>
      </c>
    </row>
    <row r="99" spans="1:21" customFormat="1">
      <c r="A99">
        <v>1</v>
      </c>
      <c r="B99">
        <v>36</v>
      </c>
      <c r="C99">
        <v>18</v>
      </c>
      <c r="D99">
        <v>1</v>
      </c>
      <c r="E99">
        <v>2020</v>
      </c>
      <c r="F99">
        <v>16206</v>
      </c>
      <c r="G99" t="str">
        <f>VLOOKUP(F99,'[1]Sheet 1'!$B$2:$E$347,2,FALSE)</f>
        <v>Ñuble</v>
      </c>
      <c r="H99" t="str">
        <f>VLOOKUP(F99,'[1]Sheet 1'!$B$2:$E$347,3,FALSE)</f>
        <v>Itata</v>
      </c>
      <c r="I99" t="str">
        <f>VLOOKUP(F99,'[1]Sheet 1'!$B$2:$E$347,4,FALSE)</f>
        <v>Ranquil</v>
      </c>
      <c r="J99" t="s">
        <v>136</v>
      </c>
      <c r="K99" s="3" t="s">
        <v>4</v>
      </c>
      <c r="L99" s="12" t="str">
        <f>VLOOKUP(K99,[2]Hoja4!$A$2:$C$443,2,FALSE)</f>
        <v>Intentional self-harm by hanging, strangulation and suffocation</v>
      </c>
      <c r="M99" s="12" t="str">
        <f>VLOOKUP(K99,[2]Hoja4!$A$2:$C$443,3,FALSE)</f>
        <v>At home</v>
      </c>
      <c r="N99" s="1">
        <v>17.899999999999999</v>
      </c>
      <c r="O99" s="1">
        <v>37</v>
      </c>
      <c r="P99" s="1">
        <v>24.6</v>
      </c>
      <c r="Q99" s="1">
        <v>996</v>
      </c>
      <c r="R99" s="1">
        <v>0</v>
      </c>
      <c r="S99" s="1">
        <v>48.8</v>
      </c>
      <c r="T99" s="5">
        <v>7.4399999999999994E-2</v>
      </c>
      <c r="U99" s="9">
        <v>6.0000000000000001E-3</v>
      </c>
    </row>
    <row r="100" spans="1:21" customFormat="1">
      <c r="A100">
        <v>1</v>
      </c>
      <c r="B100">
        <v>26</v>
      </c>
      <c r="C100">
        <v>18</v>
      </c>
      <c r="D100">
        <v>1</v>
      </c>
      <c r="E100">
        <v>2020</v>
      </c>
      <c r="F100">
        <v>9101</v>
      </c>
      <c r="G100" t="str">
        <f>VLOOKUP(F100,'[1]Sheet 1'!$B$2:$E$347,2,FALSE)</f>
        <v>La Araucanía</v>
      </c>
      <c r="H100" t="str">
        <f>VLOOKUP(F100,'[1]Sheet 1'!$B$2:$E$347,3,FALSE)</f>
        <v>Cautín</v>
      </c>
      <c r="I100" t="str">
        <f>VLOOKUP(F100,'[1]Sheet 1'!$B$2:$E$347,4,FALSE)</f>
        <v>Temuco</v>
      </c>
      <c r="J100" t="s">
        <v>136</v>
      </c>
      <c r="K100" s="3" t="s">
        <v>4</v>
      </c>
      <c r="L100" s="12" t="str">
        <f>VLOOKUP(K100,[2]Hoja4!$A$2:$C$443,2,FALSE)</f>
        <v>Intentional self-harm by hanging, strangulation and suffocation</v>
      </c>
      <c r="M100" s="12" t="str">
        <f>VLOOKUP(K100,[2]Hoja4!$A$2:$C$443,3,FALSE)</f>
        <v>At home</v>
      </c>
      <c r="N100" s="1">
        <v>10.3</v>
      </c>
      <c r="O100" s="1">
        <v>28.3</v>
      </c>
      <c r="P100" s="1">
        <v>19.5</v>
      </c>
      <c r="Q100" s="1">
        <v>999.9</v>
      </c>
      <c r="R100" s="1">
        <v>0</v>
      </c>
      <c r="S100" s="1">
        <v>73</v>
      </c>
      <c r="T100" s="5">
        <v>7.4399999999999994E-2</v>
      </c>
      <c r="U100" s="9">
        <v>6.0000000000000001E-3</v>
      </c>
    </row>
    <row r="101" spans="1:21" customFormat="1">
      <c r="A101">
        <v>1</v>
      </c>
      <c r="B101">
        <v>70</v>
      </c>
      <c r="C101">
        <v>19</v>
      </c>
      <c r="D101">
        <v>1</v>
      </c>
      <c r="E101">
        <v>2020</v>
      </c>
      <c r="F101">
        <v>7301</v>
      </c>
      <c r="G101" t="str">
        <f>VLOOKUP(F101,'[1]Sheet 1'!$B$2:$E$347,2,FALSE)</f>
        <v>Maule</v>
      </c>
      <c r="H101" t="str">
        <f>VLOOKUP(F101,'[1]Sheet 1'!$B$2:$E$347,3,FALSE)</f>
        <v>Curicó</v>
      </c>
      <c r="I101" t="str">
        <f>VLOOKUP(F101,'[1]Sheet 1'!$B$2:$E$347,4,FALSE)</f>
        <v>Curicó</v>
      </c>
      <c r="J101" t="s">
        <v>136</v>
      </c>
      <c r="K101" s="3" t="s">
        <v>4</v>
      </c>
      <c r="L101" s="12" t="str">
        <f>VLOOKUP(K101,[2]Hoja4!$A$2:$C$443,2,FALSE)</f>
        <v>Intentional self-harm by hanging, strangulation and suffocation</v>
      </c>
      <c r="M101" s="12" t="str">
        <f>VLOOKUP(K101,[2]Hoja4!$A$2:$C$443,3,FALSE)</f>
        <v>At home</v>
      </c>
      <c r="N101" s="1">
        <v>17.5</v>
      </c>
      <c r="O101" s="1">
        <v>30.4</v>
      </c>
      <c r="P101" s="1">
        <v>23.9</v>
      </c>
      <c r="Q101" s="1">
        <v>985.2</v>
      </c>
      <c r="R101" s="1">
        <v>0</v>
      </c>
      <c r="S101" s="1">
        <v>57</v>
      </c>
      <c r="T101" s="5">
        <v>7.4399999999999994E-2</v>
      </c>
      <c r="U101" s="9">
        <v>6.0000000000000001E-3</v>
      </c>
    </row>
    <row r="102" spans="1:21" customFormat="1">
      <c r="A102">
        <v>1</v>
      </c>
      <c r="B102">
        <v>66</v>
      </c>
      <c r="C102">
        <v>19</v>
      </c>
      <c r="D102">
        <v>1</v>
      </c>
      <c r="E102">
        <v>2020</v>
      </c>
      <c r="F102">
        <v>7401</v>
      </c>
      <c r="G102" t="str">
        <f>VLOOKUP(F102,'[1]Sheet 1'!$B$2:$E$347,2,FALSE)</f>
        <v>Maule</v>
      </c>
      <c r="H102" t="str">
        <f>VLOOKUP(F102,'[1]Sheet 1'!$B$2:$E$347,3,FALSE)</f>
        <v>Linares</v>
      </c>
      <c r="I102" t="str">
        <f>VLOOKUP(F102,'[1]Sheet 1'!$B$2:$E$347,4,FALSE)</f>
        <v>Linares</v>
      </c>
      <c r="J102" t="s">
        <v>142</v>
      </c>
      <c r="K102" s="3" t="s">
        <v>5</v>
      </c>
      <c r="L102" s="12" t="str">
        <f>VLOOKUP(K102,[2]Hoja4!$A$2:$C$443,2,FALSE)</f>
        <v>Intentional self-harm by other and unspecified firearm discharge</v>
      </c>
      <c r="M102" s="12" t="str">
        <f>VLOOKUP(K102,[2]Hoja4!$A$2:$C$443,3,FALSE)</f>
        <v>At home</v>
      </c>
      <c r="N102" s="1">
        <v>11.5</v>
      </c>
      <c r="O102" s="1">
        <v>30.9</v>
      </c>
      <c r="P102" s="1">
        <v>21.9</v>
      </c>
      <c r="Q102" s="1">
        <v>991.6</v>
      </c>
      <c r="R102" s="1">
        <v>0</v>
      </c>
      <c r="S102" s="1">
        <v>60.4</v>
      </c>
      <c r="T102" s="5">
        <v>7.4399999999999994E-2</v>
      </c>
      <c r="U102" s="9">
        <v>6.0000000000000001E-3</v>
      </c>
    </row>
    <row r="103" spans="1:21" customFormat="1">
      <c r="A103">
        <v>1</v>
      </c>
      <c r="B103">
        <v>50</v>
      </c>
      <c r="C103">
        <v>19</v>
      </c>
      <c r="D103">
        <v>1</v>
      </c>
      <c r="E103">
        <v>2020</v>
      </c>
      <c r="F103">
        <v>7305</v>
      </c>
      <c r="G103" t="str">
        <f>VLOOKUP(F103,'[1]Sheet 1'!$B$2:$E$347,2,FALSE)</f>
        <v>Maule</v>
      </c>
      <c r="H103" t="str">
        <f>VLOOKUP(F103,'[1]Sheet 1'!$B$2:$E$347,3,FALSE)</f>
        <v>Curicó</v>
      </c>
      <c r="I103" t="str">
        <f>VLOOKUP(F103,'[1]Sheet 1'!$B$2:$E$347,4,FALSE)</f>
        <v>Rauco</v>
      </c>
      <c r="J103" t="s">
        <v>136</v>
      </c>
      <c r="K103" s="3" t="s">
        <v>4</v>
      </c>
      <c r="L103" s="12" t="str">
        <f>VLOOKUP(K103,[2]Hoja4!$A$2:$C$443,2,FALSE)</f>
        <v>Intentional self-harm by hanging, strangulation and suffocation</v>
      </c>
      <c r="M103" s="12" t="str">
        <f>VLOOKUP(K103,[2]Hoja4!$A$2:$C$443,3,FALSE)</f>
        <v>At home</v>
      </c>
      <c r="N103" s="1">
        <v>17.5</v>
      </c>
      <c r="O103" s="1">
        <v>30.4</v>
      </c>
      <c r="P103" s="1">
        <v>23.9</v>
      </c>
      <c r="Q103" s="1">
        <v>985.2</v>
      </c>
      <c r="R103" s="1">
        <v>0</v>
      </c>
      <c r="S103" s="1">
        <v>57</v>
      </c>
      <c r="T103" s="5">
        <v>7.4399999999999994E-2</v>
      </c>
      <c r="U103" s="9">
        <v>6.0000000000000001E-3</v>
      </c>
    </row>
    <row r="104" spans="1:21" customFormat="1">
      <c r="A104">
        <v>1</v>
      </c>
      <c r="B104">
        <v>48</v>
      </c>
      <c r="C104">
        <v>19</v>
      </c>
      <c r="D104">
        <v>1</v>
      </c>
      <c r="E104">
        <v>2020</v>
      </c>
      <c r="F104">
        <v>8106</v>
      </c>
      <c r="G104" t="str">
        <f>VLOOKUP(F104,'[1]Sheet 1'!$B$2:$E$347,2,FALSE)</f>
        <v>Biobío</v>
      </c>
      <c r="H104" t="str">
        <f>VLOOKUP(F104,'[1]Sheet 1'!$B$2:$E$347,3,FALSE)</f>
        <v>Concepción</v>
      </c>
      <c r="I104" t="str">
        <f>VLOOKUP(F104,'[1]Sheet 1'!$B$2:$E$347,4,FALSE)</f>
        <v>Lota</v>
      </c>
      <c r="J104" t="s">
        <v>136</v>
      </c>
      <c r="K104" s="3" t="s">
        <v>4</v>
      </c>
      <c r="L104" s="12" t="str">
        <f>VLOOKUP(K104,[2]Hoja4!$A$2:$C$443,2,FALSE)</f>
        <v>Intentional self-harm by hanging, strangulation and suffocation</v>
      </c>
      <c r="M104" s="12" t="str">
        <f>VLOOKUP(K104,[2]Hoja4!$A$2:$C$443,3,FALSE)</f>
        <v>At home</v>
      </c>
      <c r="N104" s="1">
        <v>11.3</v>
      </c>
      <c r="O104" s="1">
        <v>21.7</v>
      </c>
      <c r="P104" s="1">
        <v>16.100000000000001</v>
      </c>
      <c r="Q104" s="1">
        <v>1011.9</v>
      </c>
      <c r="R104" s="1">
        <v>0</v>
      </c>
      <c r="S104" s="1">
        <v>79.5</v>
      </c>
      <c r="T104" s="5">
        <v>7.4399999999999994E-2</v>
      </c>
      <c r="U104" s="9">
        <v>6.0000000000000001E-3</v>
      </c>
    </row>
    <row r="105" spans="1:21" customFormat="1">
      <c r="A105">
        <v>1</v>
      </c>
      <c r="B105">
        <v>44</v>
      </c>
      <c r="C105">
        <v>19</v>
      </c>
      <c r="D105">
        <v>1</v>
      </c>
      <c r="E105">
        <v>2020</v>
      </c>
      <c r="F105">
        <v>8301</v>
      </c>
      <c r="G105" t="str">
        <f>VLOOKUP(F105,'[1]Sheet 1'!$B$2:$E$347,2,FALSE)</f>
        <v>Biobío</v>
      </c>
      <c r="H105" t="str">
        <f>VLOOKUP(F105,'[1]Sheet 1'!$B$2:$E$347,3,FALSE)</f>
        <v>Biobío</v>
      </c>
      <c r="I105" t="str">
        <f>VLOOKUP(F105,'[1]Sheet 1'!$B$2:$E$347,4,FALSE)</f>
        <v>Los Angeles</v>
      </c>
      <c r="J105" t="s">
        <v>136</v>
      </c>
      <c r="K105" s="3" t="s">
        <v>13</v>
      </c>
      <c r="L105" s="12" t="str">
        <f>VLOOKUP(K105,[2]Hoja4!$A$2:$C$443,2,FALSE)</f>
        <v>Intentional self-harm by hanging, strangulation and suffocation</v>
      </c>
      <c r="M105" s="12" t="str">
        <f>VLOOKUP(K105,[2]Hoja4!$A$2:$C$443,3,FALSE)</f>
        <v>Other specified places</v>
      </c>
      <c r="N105" s="1">
        <v>14</v>
      </c>
      <c r="O105" s="1"/>
      <c r="P105" s="1">
        <v>24.6</v>
      </c>
      <c r="Q105" s="1">
        <v>998.1</v>
      </c>
      <c r="R105" s="1">
        <v>0</v>
      </c>
      <c r="S105" s="1">
        <v>51.1</v>
      </c>
      <c r="T105" s="5">
        <v>7.4399999999999994E-2</v>
      </c>
      <c r="U105" s="9">
        <v>6.0000000000000001E-3</v>
      </c>
    </row>
    <row r="106" spans="1:21" customFormat="1">
      <c r="A106">
        <v>2</v>
      </c>
      <c r="B106">
        <v>42</v>
      </c>
      <c r="C106">
        <v>19</v>
      </c>
      <c r="D106">
        <v>1</v>
      </c>
      <c r="E106">
        <v>2020</v>
      </c>
      <c r="F106">
        <v>13128</v>
      </c>
      <c r="G106" t="str">
        <f>VLOOKUP(F106,'[1]Sheet 1'!$B$2:$E$347,2,FALSE)</f>
        <v>Metropolitana de Santiago</v>
      </c>
      <c r="H106" t="str">
        <f>VLOOKUP(F106,'[1]Sheet 1'!$B$2:$E$347,3,FALSE)</f>
        <v>Santiago</v>
      </c>
      <c r="I106" t="str">
        <f>VLOOKUP(F106,'[1]Sheet 1'!$B$2:$E$347,4,FALSE)</f>
        <v>Renca</v>
      </c>
      <c r="J106" t="s">
        <v>136</v>
      </c>
      <c r="K106" s="3" t="s">
        <v>0</v>
      </c>
      <c r="L106" s="12" t="str">
        <f>VLOOKUP(K106,[2]Hoja4!$A$2:$C$443,2,FALSE)</f>
        <v>Intentional self-harm by hanging, strangulation and suffocation</v>
      </c>
      <c r="M106" s="12" t="str">
        <f>VLOOKUP(K106,[2]Hoja4!$A$2:$C$443,3,FALSE)</f>
        <v>Unspecified place</v>
      </c>
      <c r="N106" s="1">
        <v>17.3</v>
      </c>
      <c r="O106" s="1">
        <v>28.3</v>
      </c>
      <c r="P106" s="1">
        <v>23</v>
      </c>
      <c r="Q106" s="1">
        <v>952.2</v>
      </c>
      <c r="R106" s="1">
        <v>0</v>
      </c>
      <c r="S106" s="1">
        <v>53</v>
      </c>
      <c r="T106" s="5">
        <v>7.4399999999999994E-2</v>
      </c>
      <c r="U106" s="9">
        <v>6.0000000000000001E-3</v>
      </c>
    </row>
    <row r="107" spans="1:21" customFormat="1">
      <c r="A107">
        <v>1</v>
      </c>
      <c r="B107">
        <v>28</v>
      </c>
      <c r="C107">
        <v>19</v>
      </c>
      <c r="D107">
        <v>1</v>
      </c>
      <c r="E107">
        <v>2020</v>
      </c>
      <c r="F107">
        <v>7109</v>
      </c>
      <c r="G107" t="str">
        <f>VLOOKUP(F107,'[1]Sheet 1'!$B$2:$E$347,2,FALSE)</f>
        <v>Maule</v>
      </c>
      <c r="H107" t="str">
        <f>VLOOKUP(F107,'[1]Sheet 1'!$B$2:$E$347,3,FALSE)</f>
        <v>Talca</v>
      </c>
      <c r="I107" t="str">
        <f>VLOOKUP(F107,'[1]Sheet 1'!$B$2:$E$347,4,FALSE)</f>
        <v>San Clemente</v>
      </c>
      <c r="J107" t="s">
        <v>136</v>
      </c>
      <c r="K107" s="3" t="s">
        <v>4</v>
      </c>
      <c r="L107" s="12" t="str">
        <f>VLOOKUP(K107,[2]Hoja4!$A$2:$C$443,2,FALSE)</f>
        <v>Intentional self-harm by hanging, strangulation and suffocation</v>
      </c>
      <c r="M107" s="12" t="str">
        <f>VLOOKUP(K107,[2]Hoja4!$A$2:$C$443,3,FALSE)</f>
        <v>At home</v>
      </c>
      <c r="N107" s="1">
        <v>15.3</v>
      </c>
      <c r="O107" s="1">
        <v>31.8</v>
      </c>
      <c r="P107" s="1">
        <v>23.7</v>
      </c>
      <c r="Q107" s="1">
        <v>998</v>
      </c>
      <c r="R107" s="1">
        <v>0</v>
      </c>
      <c r="S107" s="1">
        <v>59.1</v>
      </c>
      <c r="T107" s="5">
        <v>7.4399999999999994E-2</v>
      </c>
      <c r="U107" s="9">
        <v>6.0000000000000001E-3</v>
      </c>
    </row>
    <row r="108" spans="1:21" customFormat="1">
      <c r="A108">
        <v>1</v>
      </c>
      <c r="B108">
        <v>19</v>
      </c>
      <c r="C108">
        <v>19</v>
      </c>
      <c r="D108">
        <v>1</v>
      </c>
      <c r="E108">
        <v>2020</v>
      </c>
      <c r="F108">
        <v>4304</v>
      </c>
      <c r="G108" t="str">
        <f>VLOOKUP(F108,'[1]Sheet 1'!$B$2:$E$347,2,FALSE)</f>
        <v>Coquimbo</v>
      </c>
      <c r="H108" t="str">
        <f>VLOOKUP(F108,'[1]Sheet 1'!$B$2:$E$347,3,FALSE)</f>
        <v>Limarí</v>
      </c>
      <c r="I108" t="str">
        <f>VLOOKUP(F108,'[1]Sheet 1'!$B$2:$E$347,4,FALSE)</f>
        <v>Punitaqui</v>
      </c>
      <c r="J108" t="s">
        <v>136</v>
      </c>
      <c r="K108" s="3" t="s">
        <v>4</v>
      </c>
      <c r="L108" s="12" t="str">
        <f>VLOOKUP(K108,[2]Hoja4!$A$2:$C$443,2,FALSE)</f>
        <v>Intentional self-harm by hanging, strangulation and suffocation</v>
      </c>
      <c r="M108" s="12" t="str">
        <f>VLOOKUP(K108,[2]Hoja4!$A$2:$C$443,3,FALSE)</f>
        <v>At home</v>
      </c>
      <c r="N108" s="1">
        <v>14.7</v>
      </c>
      <c r="O108" s="1">
        <v>28.6</v>
      </c>
      <c r="P108" s="1">
        <v>19.899999999999999</v>
      </c>
      <c r="Q108" s="1">
        <v>976.3</v>
      </c>
      <c r="R108" s="1">
        <v>0</v>
      </c>
      <c r="S108" s="1">
        <v>67.7</v>
      </c>
      <c r="T108" s="5">
        <v>7.4399999999999994E-2</v>
      </c>
      <c r="U108" s="9">
        <v>6.0000000000000001E-3</v>
      </c>
    </row>
    <row r="109" spans="1:21" customFormat="1">
      <c r="A109">
        <v>1</v>
      </c>
      <c r="B109">
        <v>23</v>
      </c>
      <c r="C109">
        <v>19</v>
      </c>
      <c r="D109">
        <v>1</v>
      </c>
      <c r="E109">
        <v>2020</v>
      </c>
      <c r="F109">
        <v>7403</v>
      </c>
      <c r="G109" t="str">
        <f>VLOOKUP(F109,'[1]Sheet 1'!$B$2:$E$347,2,FALSE)</f>
        <v>Maule</v>
      </c>
      <c r="H109" t="str">
        <f>VLOOKUP(F109,'[1]Sheet 1'!$B$2:$E$347,3,FALSE)</f>
        <v>Linares</v>
      </c>
      <c r="I109" t="str">
        <f>VLOOKUP(F109,'[1]Sheet 1'!$B$2:$E$347,4,FALSE)</f>
        <v>Longaví</v>
      </c>
      <c r="J109" t="s">
        <v>136</v>
      </c>
      <c r="K109" s="3" t="s">
        <v>4</v>
      </c>
      <c r="L109" s="12" t="str">
        <f>VLOOKUP(K109,[2]Hoja4!$A$2:$C$443,2,FALSE)</f>
        <v>Intentional self-harm by hanging, strangulation and suffocation</v>
      </c>
      <c r="M109" s="12" t="str">
        <f>VLOOKUP(K109,[2]Hoja4!$A$2:$C$443,3,FALSE)</f>
        <v>At home</v>
      </c>
      <c r="N109" s="1">
        <v>11.5</v>
      </c>
      <c r="O109" s="1">
        <v>30.9</v>
      </c>
      <c r="P109" s="1">
        <v>21.9</v>
      </c>
      <c r="Q109" s="1">
        <v>991.6</v>
      </c>
      <c r="R109" s="1">
        <v>0</v>
      </c>
      <c r="S109" s="1">
        <v>60.4</v>
      </c>
      <c r="T109" s="5">
        <v>7.4399999999999994E-2</v>
      </c>
      <c r="U109" s="9">
        <v>6.0000000000000001E-3</v>
      </c>
    </row>
    <row r="110" spans="1:21" customFormat="1">
      <c r="A110">
        <v>1</v>
      </c>
      <c r="B110">
        <v>25</v>
      </c>
      <c r="C110">
        <v>19</v>
      </c>
      <c r="D110">
        <v>1</v>
      </c>
      <c r="E110">
        <v>2020</v>
      </c>
      <c r="F110">
        <v>13201</v>
      </c>
      <c r="G110" t="str">
        <f>VLOOKUP(F110,'[1]Sheet 1'!$B$2:$E$347,2,FALSE)</f>
        <v>Metropolitana de Santiago</v>
      </c>
      <c r="H110" t="str">
        <f>VLOOKUP(F110,'[1]Sheet 1'!$B$2:$E$347,3,FALSE)</f>
        <v>Cordillera</v>
      </c>
      <c r="I110" t="str">
        <f>VLOOKUP(F110,'[1]Sheet 1'!$B$2:$E$347,4,FALSE)</f>
        <v>Puente Alto</v>
      </c>
      <c r="J110" t="s">
        <v>136</v>
      </c>
      <c r="K110" s="3" t="s">
        <v>0</v>
      </c>
      <c r="L110" s="12" t="str">
        <f>VLOOKUP(K110,[2]Hoja4!$A$2:$C$443,2,FALSE)</f>
        <v>Intentional self-harm by hanging, strangulation and suffocation</v>
      </c>
      <c r="M110" s="12" t="str">
        <f>VLOOKUP(K110,[2]Hoja4!$A$2:$C$443,3,FALSE)</f>
        <v>Unspecified place</v>
      </c>
      <c r="N110" s="1">
        <v>13.6</v>
      </c>
      <c r="O110" s="1">
        <v>28.1</v>
      </c>
      <c r="P110" s="1">
        <v>21.7</v>
      </c>
      <c r="Q110" s="1">
        <v>936.2</v>
      </c>
      <c r="R110" s="1">
        <v>0</v>
      </c>
      <c r="S110" s="1">
        <v>56.1</v>
      </c>
      <c r="T110" s="5">
        <v>7.4399999999999994E-2</v>
      </c>
      <c r="U110" s="9">
        <v>6.0000000000000001E-3</v>
      </c>
    </row>
    <row r="111" spans="1:21" customFormat="1">
      <c r="A111">
        <v>1</v>
      </c>
      <c r="B111">
        <v>26</v>
      </c>
      <c r="C111">
        <v>19</v>
      </c>
      <c r="D111">
        <v>1</v>
      </c>
      <c r="E111">
        <v>2020</v>
      </c>
      <c r="F111">
        <v>13108</v>
      </c>
      <c r="G111" t="str">
        <f>VLOOKUP(F111,'[1]Sheet 1'!$B$2:$E$347,2,FALSE)</f>
        <v>Metropolitana de Santiago</v>
      </c>
      <c r="H111" t="str">
        <f>VLOOKUP(F111,'[1]Sheet 1'!$B$2:$E$347,3,FALSE)</f>
        <v>Santiago</v>
      </c>
      <c r="I111" t="str">
        <f>VLOOKUP(F111,'[1]Sheet 1'!$B$2:$E$347,4,FALSE)</f>
        <v>Independencia</v>
      </c>
      <c r="J111" t="s">
        <v>136</v>
      </c>
      <c r="K111" s="3" t="s">
        <v>0</v>
      </c>
      <c r="L111" s="12" t="str">
        <f>VLOOKUP(K111,[2]Hoja4!$A$2:$C$443,2,FALSE)</f>
        <v>Intentional self-harm by hanging, strangulation and suffocation</v>
      </c>
      <c r="M111" s="12" t="str">
        <f>VLOOKUP(K111,[2]Hoja4!$A$2:$C$443,3,FALSE)</f>
        <v>Unspecified place</v>
      </c>
      <c r="N111" s="1">
        <v>17.3</v>
      </c>
      <c r="O111" s="1">
        <v>28.3</v>
      </c>
      <c r="P111" s="1">
        <v>23</v>
      </c>
      <c r="Q111" s="1">
        <v>952.2</v>
      </c>
      <c r="R111" s="1">
        <v>0</v>
      </c>
      <c r="S111" s="1">
        <v>53</v>
      </c>
      <c r="T111" s="5">
        <v>7.4399999999999994E-2</v>
      </c>
      <c r="U111" s="9">
        <v>6.0000000000000001E-3</v>
      </c>
    </row>
    <row r="112" spans="1:21" customFormat="1">
      <c r="A112">
        <v>2</v>
      </c>
      <c r="B112">
        <v>27</v>
      </c>
      <c r="C112">
        <v>19</v>
      </c>
      <c r="D112">
        <v>1</v>
      </c>
      <c r="E112">
        <v>2020</v>
      </c>
      <c r="F112">
        <v>13112</v>
      </c>
      <c r="G112" t="str">
        <f>VLOOKUP(F112,'[1]Sheet 1'!$B$2:$E$347,2,FALSE)</f>
        <v>Metropolitana de Santiago</v>
      </c>
      <c r="H112" t="str">
        <f>VLOOKUP(F112,'[1]Sheet 1'!$B$2:$E$347,3,FALSE)</f>
        <v>Santiago</v>
      </c>
      <c r="I112" t="str">
        <f>VLOOKUP(F112,'[1]Sheet 1'!$B$2:$E$347,4,FALSE)</f>
        <v>La Pintana</v>
      </c>
      <c r="J112" t="s">
        <v>140</v>
      </c>
      <c r="K112" s="3" t="s">
        <v>20</v>
      </c>
      <c r="L112" s="12" t="str">
        <f>VLOOKUP(K112,[2]Hoja4!$A$2:$C$443,2,FALSE)</f>
        <v>Intentional self-poisoning by and exposure to other and unspecified drugs, medicaments and biological substances</v>
      </c>
      <c r="M112" s="12" t="str">
        <f>VLOOKUP(K112,[2]Hoja4!$A$2:$C$443,3,FALSE)</f>
        <v>Unspecified place</v>
      </c>
      <c r="N112" s="1">
        <v>17.3</v>
      </c>
      <c r="O112" s="1">
        <v>28.3</v>
      </c>
      <c r="P112" s="1">
        <v>23</v>
      </c>
      <c r="Q112" s="1">
        <v>952.2</v>
      </c>
      <c r="R112" s="1">
        <v>0</v>
      </c>
      <c r="S112" s="1">
        <v>53</v>
      </c>
      <c r="T112" s="5">
        <v>7.4399999999999994E-2</v>
      </c>
      <c r="U112" s="9">
        <v>6.0000000000000001E-3</v>
      </c>
    </row>
    <row r="113" spans="1:21" customFormat="1">
      <c r="A113">
        <v>2</v>
      </c>
      <c r="B113">
        <v>26</v>
      </c>
      <c r="C113">
        <v>19</v>
      </c>
      <c r="D113">
        <v>1</v>
      </c>
      <c r="E113">
        <v>2020</v>
      </c>
      <c r="F113">
        <v>5701</v>
      </c>
      <c r="G113" t="str">
        <f>VLOOKUP(F113,'[1]Sheet 1'!$B$2:$E$347,2,FALSE)</f>
        <v>Valparaíso</v>
      </c>
      <c r="H113" t="str">
        <f>VLOOKUP(F113,'[1]Sheet 1'!$B$2:$E$347,3,FALSE)</f>
        <v>San Felipe de Aconcagua</v>
      </c>
      <c r="I113" t="str">
        <f>VLOOKUP(F113,'[1]Sheet 1'!$B$2:$E$347,4,FALSE)</f>
        <v>San Felipe</v>
      </c>
      <c r="J113" t="s">
        <v>136</v>
      </c>
      <c r="K113" s="3" t="s">
        <v>0</v>
      </c>
      <c r="L113" s="12" t="str">
        <f>VLOOKUP(K113,[2]Hoja4!$A$2:$C$443,2,FALSE)</f>
        <v>Intentional self-harm by hanging, strangulation and suffocation</v>
      </c>
      <c r="M113" s="12" t="str">
        <f>VLOOKUP(K113,[2]Hoja4!$A$2:$C$443,3,FALSE)</f>
        <v>Unspecified place</v>
      </c>
      <c r="N113" s="1">
        <v>15.4</v>
      </c>
      <c r="O113" s="1">
        <v>34.9</v>
      </c>
      <c r="P113" s="1">
        <v>24.5</v>
      </c>
      <c r="Q113" s="1">
        <v>935.2</v>
      </c>
      <c r="R113" s="1">
        <v>0</v>
      </c>
      <c r="S113" s="1">
        <v>49</v>
      </c>
      <c r="T113" s="5">
        <v>7.4399999999999994E-2</v>
      </c>
      <c r="U113" s="9">
        <v>6.0000000000000001E-3</v>
      </c>
    </row>
    <row r="114" spans="1:21" customFormat="1">
      <c r="A114">
        <v>1</v>
      </c>
      <c r="B114">
        <v>80</v>
      </c>
      <c r="C114">
        <v>20</v>
      </c>
      <c r="D114">
        <v>1</v>
      </c>
      <c r="E114">
        <v>2020</v>
      </c>
      <c r="F114">
        <v>13128</v>
      </c>
      <c r="G114" t="str">
        <f>VLOOKUP(F114,'[1]Sheet 1'!$B$2:$E$347,2,FALSE)</f>
        <v>Metropolitana de Santiago</v>
      </c>
      <c r="H114" t="str">
        <f>VLOOKUP(F114,'[1]Sheet 1'!$B$2:$E$347,3,FALSE)</f>
        <v>Santiago</v>
      </c>
      <c r="I114" t="str">
        <f>VLOOKUP(F114,'[1]Sheet 1'!$B$2:$E$347,4,FALSE)</f>
        <v>Renca</v>
      </c>
      <c r="J114" t="s">
        <v>136</v>
      </c>
      <c r="K114" s="3" t="s">
        <v>0</v>
      </c>
      <c r="L114" s="12" t="str">
        <f>VLOOKUP(K114,[2]Hoja4!$A$2:$C$443,2,FALSE)</f>
        <v>Intentional self-harm by hanging, strangulation and suffocation</v>
      </c>
      <c r="M114" s="12" t="str">
        <f>VLOOKUP(K114,[2]Hoja4!$A$2:$C$443,3,FALSE)</f>
        <v>Unspecified place</v>
      </c>
      <c r="N114" s="1">
        <v>15.2</v>
      </c>
      <c r="O114" s="1">
        <v>32.700000000000003</v>
      </c>
      <c r="P114" s="1">
        <v>22.8</v>
      </c>
      <c r="Q114" s="1">
        <v>952.7</v>
      </c>
      <c r="R114" s="1"/>
      <c r="S114" s="1">
        <v>56</v>
      </c>
      <c r="T114" s="5">
        <v>7.4399999999999994E-2</v>
      </c>
      <c r="U114" s="9">
        <v>6.0000000000000001E-3</v>
      </c>
    </row>
    <row r="115" spans="1:21" customFormat="1">
      <c r="A115">
        <v>1</v>
      </c>
      <c r="B115">
        <v>83</v>
      </c>
      <c r="C115">
        <v>20</v>
      </c>
      <c r="D115">
        <v>1</v>
      </c>
      <c r="E115">
        <v>2020</v>
      </c>
      <c r="F115">
        <v>9204</v>
      </c>
      <c r="G115" t="str">
        <f>VLOOKUP(F115,'[1]Sheet 1'!$B$2:$E$347,2,FALSE)</f>
        <v>La Araucanía</v>
      </c>
      <c r="H115" t="str">
        <f>VLOOKUP(F115,'[1]Sheet 1'!$B$2:$E$347,3,FALSE)</f>
        <v>Malleco</v>
      </c>
      <c r="I115" t="str">
        <f>VLOOKUP(F115,'[1]Sheet 1'!$B$2:$E$347,4,FALSE)</f>
        <v>Ercilla</v>
      </c>
      <c r="J115" t="s">
        <v>136</v>
      </c>
      <c r="K115" s="3" t="s">
        <v>4</v>
      </c>
      <c r="L115" s="12" t="str">
        <f>VLOOKUP(K115,[2]Hoja4!$A$2:$C$443,2,FALSE)</f>
        <v>Intentional self-harm by hanging, strangulation and suffocation</v>
      </c>
      <c r="M115" s="12" t="str">
        <f>VLOOKUP(K115,[2]Hoja4!$A$2:$C$443,3,FALSE)</f>
        <v>At home</v>
      </c>
      <c r="N115" s="1">
        <v>15.6</v>
      </c>
      <c r="O115" s="1" t="s">
        <v>58</v>
      </c>
      <c r="P115" s="1">
        <v>22.5</v>
      </c>
      <c r="Q115" s="1">
        <v>1004.6</v>
      </c>
      <c r="R115" s="1">
        <v>0</v>
      </c>
      <c r="S115" s="1">
        <v>43.3</v>
      </c>
      <c r="T115" s="5">
        <v>7.4399999999999994E-2</v>
      </c>
      <c r="U115" s="9">
        <v>6.0000000000000001E-3</v>
      </c>
    </row>
    <row r="116" spans="1:21" customFormat="1">
      <c r="A116">
        <v>1</v>
      </c>
      <c r="B116">
        <v>35</v>
      </c>
      <c r="C116">
        <v>20</v>
      </c>
      <c r="D116">
        <v>1</v>
      </c>
      <c r="E116">
        <v>2020</v>
      </c>
      <c r="F116">
        <v>13203</v>
      </c>
      <c r="G116" t="str">
        <f>VLOOKUP(F116,'[1]Sheet 1'!$B$2:$E$347,2,FALSE)</f>
        <v>Metropolitana de Santiago</v>
      </c>
      <c r="H116" t="str">
        <f>VLOOKUP(F116,'[1]Sheet 1'!$B$2:$E$347,3,FALSE)</f>
        <v>Cordillera</v>
      </c>
      <c r="I116" t="str">
        <f>VLOOKUP(F116,'[1]Sheet 1'!$B$2:$E$347,4,FALSE)</f>
        <v>San José de Maipo</v>
      </c>
      <c r="J116" t="s">
        <v>136</v>
      </c>
      <c r="K116" s="3" t="s">
        <v>0</v>
      </c>
      <c r="L116" s="12" t="str">
        <f>VLOOKUP(K116,[2]Hoja4!$A$2:$C$443,2,FALSE)</f>
        <v>Intentional self-harm by hanging, strangulation and suffocation</v>
      </c>
      <c r="M116" s="12" t="str">
        <f>VLOOKUP(K116,[2]Hoja4!$A$2:$C$443,3,FALSE)</f>
        <v>Unspecified place</v>
      </c>
      <c r="N116" s="1">
        <v>11.9</v>
      </c>
      <c r="O116" s="1">
        <v>33.799999999999997</v>
      </c>
      <c r="P116" s="1">
        <v>22.3</v>
      </c>
      <c r="Q116" s="1">
        <v>936.8</v>
      </c>
      <c r="R116" s="1">
        <v>0</v>
      </c>
      <c r="S116" s="1">
        <v>61.8</v>
      </c>
      <c r="T116" s="5">
        <v>7.4399999999999994E-2</v>
      </c>
      <c r="U116" s="9">
        <v>6.0000000000000001E-3</v>
      </c>
    </row>
    <row r="117" spans="1:21" customFormat="1">
      <c r="A117">
        <v>2</v>
      </c>
      <c r="B117">
        <v>30</v>
      </c>
      <c r="C117">
        <v>20</v>
      </c>
      <c r="D117">
        <v>1</v>
      </c>
      <c r="E117">
        <v>2020</v>
      </c>
      <c r="F117">
        <v>13108</v>
      </c>
      <c r="G117" t="str">
        <f>VLOOKUP(F117,'[1]Sheet 1'!$B$2:$E$347,2,FALSE)</f>
        <v>Metropolitana de Santiago</v>
      </c>
      <c r="H117" t="str">
        <f>VLOOKUP(F117,'[1]Sheet 1'!$B$2:$E$347,3,FALSE)</f>
        <v>Santiago</v>
      </c>
      <c r="I117" t="str">
        <f>VLOOKUP(F117,'[1]Sheet 1'!$B$2:$E$347,4,FALSE)</f>
        <v>Independencia</v>
      </c>
      <c r="J117" t="s">
        <v>136</v>
      </c>
      <c r="K117" s="3" t="s">
        <v>0</v>
      </c>
      <c r="L117" s="12" t="str">
        <f>VLOOKUP(K117,[2]Hoja4!$A$2:$C$443,2,FALSE)</f>
        <v>Intentional self-harm by hanging, strangulation and suffocation</v>
      </c>
      <c r="M117" s="12" t="str">
        <f>VLOOKUP(K117,[2]Hoja4!$A$2:$C$443,3,FALSE)</f>
        <v>Unspecified place</v>
      </c>
      <c r="N117" s="1">
        <v>15.2</v>
      </c>
      <c r="O117" s="1">
        <v>32.700000000000003</v>
      </c>
      <c r="P117" s="1">
        <v>22.8</v>
      </c>
      <c r="Q117" s="1">
        <v>952.7</v>
      </c>
      <c r="R117" s="1"/>
      <c r="S117" s="1">
        <v>56</v>
      </c>
      <c r="T117" s="5">
        <v>7.4399999999999994E-2</v>
      </c>
      <c r="U117" s="9">
        <v>6.0000000000000001E-3</v>
      </c>
    </row>
    <row r="118" spans="1:21" customFormat="1">
      <c r="A118">
        <v>1</v>
      </c>
      <c r="B118">
        <v>19</v>
      </c>
      <c r="C118">
        <v>20</v>
      </c>
      <c r="D118">
        <v>1</v>
      </c>
      <c r="E118">
        <v>2020</v>
      </c>
      <c r="F118">
        <v>13111</v>
      </c>
      <c r="G118" t="str">
        <f>VLOOKUP(F118,'[1]Sheet 1'!$B$2:$E$347,2,FALSE)</f>
        <v>Metropolitana de Santiago</v>
      </c>
      <c r="H118" t="str">
        <f>VLOOKUP(F118,'[1]Sheet 1'!$B$2:$E$347,3,FALSE)</f>
        <v>Santiago</v>
      </c>
      <c r="I118" t="str">
        <f>VLOOKUP(F118,'[1]Sheet 1'!$B$2:$E$347,4,FALSE)</f>
        <v>La Granja</v>
      </c>
      <c r="J118" t="s">
        <v>136</v>
      </c>
      <c r="K118" s="3" t="s">
        <v>0</v>
      </c>
      <c r="L118" s="12" t="str">
        <f>VLOOKUP(K118,[2]Hoja4!$A$2:$C$443,2,FALSE)</f>
        <v>Intentional self-harm by hanging, strangulation and suffocation</v>
      </c>
      <c r="M118" s="12" t="str">
        <f>VLOOKUP(K118,[2]Hoja4!$A$2:$C$443,3,FALSE)</f>
        <v>Unspecified place</v>
      </c>
      <c r="N118" s="1">
        <v>15.2</v>
      </c>
      <c r="O118" s="1">
        <v>32.700000000000003</v>
      </c>
      <c r="P118" s="1">
        <v>22.8</v>
      </c>
      <c r="Q118" s="1">
        <v>952.7</v>
      </c>
      <c r="R118" s="1"/>
      <c r="S118" s="1">
        <v>56</v>
      </c>
      <c r="T118" s="5">
        <v>7.4399999999999994E-2</v>
      </c>
      <c r="U118" s="9">
        <v>6.0000000000000001E-3</v>
      </c>
    </row>
    <row r="119" spans="1:21" customFormat="1">
      <c r="A119">
        <v>2</v>
      </c>
      <c r="B119">
        <v>70</v>
      </c>
      <c r="C119">
        <v>21</v>
      </c>
      <c r="D119">
        <v>1</v>
      </c>
      <c r="E119">
        <v>2020</v>
      </c>
      <c r="F119">
        <v>2101</v>
      </c>
      <c r="G119" t="str">
        <f>VLOOKUP(F119,'[1]Sheet 1'!$B$2:$E$347,2,FALSE)</f>
        <v>Antofagasta</v>
      </c>
      <c r="H119" t="str">
        <f>VLOOKUP(F119,'[1]Sheet 1'!$B$2:$E$347,3,FALSE)</f>
        <v>Antofagasta</v>
      </c>
      <c r="I119" t="str">
        <f>VLOOKUP(F119,'[1]Sheet 1'!$B$2:$E$347,4,FALSE)</f>
        <v>Antofagasta</v>
      </c>
      <c r="J119" t="s">
        <v>142</v>
      </c>
      <c r="K119" s="3" t="s">
        <v>8</v>
      </c>
      <c r="L119" s="12" t="str">
        <f>VLOOKUP(K119,[2]Hoja4!$A$2:$C$443,2,FALSE)</f>
        <v>Intentional self-harm by jumping from a high place</v>
      </c>
      <c r="M119" s="12" t="str">
        <f>VLOOKUP(K119,[2]Hoja4!$A$2:$C$443,3,FALSE)</f>
        <v>At home</v>
      </c>
      <c r="N119" s="1">
        <v>19.7</v>
      </c>
      <c r="O119" s="1">
        <v>23.8</v>
      </c>
      <c r="P119" s="1">
        <v>21.3</v>
      </c>
      <c r="Q119" s="1">
        <v>995.9</v>
      </c>
      <c r="R119" s="1">
        <v>0</v>
      </c>
      <c r="S119" s="1">
        <v>72.2</v>
      </c>
      <c r="T119" s="5">
        <v>7.4399999999999994E-2</v>
      </c>
      <c r="U119" s="9">
        <v>6.0000000000000001E-3</v>
      </c>
    </row>
    <row r="120" spans="1:21" customFormat="1">
      <c r="A120">
        <v>1</v>
      </c>
      <c r="B120">
        <v>76</v>
      </c>
      <c r="C120">
        <v>21</v>
      </c>
      <c r="D120">
        <v>1</v>
      </c>
      <c r="E120">
        <v>2020</v>
      </c>
      <c r="F120">
        <v>16108</v>
      </c>
      <c r="G120" t="str">
        <f>VLOOKUP(F120,'[1]Sheet 1'!$B$2:$E$347,2,FALSE)</f>
        <v>Ñuble</v>
      </c>
      <c r="H120" t="str">
        <f>VLOOKUP(F120,'[1]Sheet 1'!$B$2:$E$347,3,FALSE)</f>
        <v>Diguillín</v>
      </c>
      <c r="I120" t="str">
        <f>VLOOKUP(F120,'[1]Sheet 1'!$B$2:$E$347,4,FALSE)</f>
        <v>San Ignacio</v>
      </c>
      <c r="J120" t="s">
        <v>136</v>
      </c>
      <c r="K120" s="3" t="s">
        <v>0</v>
      </c>
      <c r="L120" s="12" t="str">
        <f>VLOOKUP(K120,[2]Hoja4!$A$2:$C$443,2,FALSE)</f>
        <v>Intentional self-harm by hanging, strangulation and suffocation</v>
      </c>
      <c r="M120" s="12" t="str">
        <f>VLOOKUP(K120,[2]Hoja4!$A$2:$C$443,3,FALSE)</f>
        <v>Unspecified place</v>
      </c>
      <c r="N120" s="1">
        <v>14.1</v>
      </c>
      <c r="O120" s="1">
        <v>34.5</v>
      </c>
      <c r="P120" s="1">
        <v>23.4</v>
      </c>
      <c r="Q120" s="1">
        <v>992.9</v>
      </c>
      <c r="R120" s="1">
        <v>0</v>
      </c>
      <c r="S120" s="1">
        <v>50.8</v>
      </c>
      <c r="T120" s="5">
        <v>7.4399999999999994E-2</v>
      </c>
      <c r="U120" s="9">
        <v>6.0000000000000001E-3</v>
      </c>
    </row>
    <row r="121" spans="1:21" customFormat="1">
      <c r="A121">
        <v>1</v>
      </c>
      <c r="B121">
        <v>60</v>
      </c>
      <c r="C121">
        <v>21</v>
      </c>
      <c r="D121">
        <v>1</v>
      </c>
      <c r="E121">
        <v>2020</v>
      </c>
      <c r="F121">
        <v>13401</v>
      </c>
      <c r="G121" t="str">
        <f>VLOOKUP(F121,'[1]Sheet 1'!$B$2:$E$347,2,FALSE)</f>
        <v>Metropolitana de Santiago</v>
      </c>
      <c r="H121" t="str">
        <f>VLOOKUP(F121,'[1]Sheet 1'!$B$2:$E$347,3,FALSE)</f>
        <v>Maipo</v>
      </c>
      <c r="I121" t="str">
        <f>VLOOKUP(F121,'[1]Sheet 1'!$B$2:$E$347,4,FALSE)</f>
        <v>San Bernardo</v>
      </c>
      <c r="J121" t="s">
        <v>136</v>
      </c>
      <c r="K121" s="3" t="s">
        <v>0</v>
      </c>
      <c r="L121" s="12" t="str">
        <f>VLOOKUP(K121,[2]Hoja4!$A$2:$C$443,2,FALSE)</f>
        <v>Intentional self-harm by hanging, strangulation and suffocation</v>
      </c>
      <c r="M121" s="12" t="str">
        <f>VLOOKUP(K121,[2]Hoja4!$A$2:$C$443,3,FALSE)</f>
        <v>Unspecified place</v>
      </c>
      <c r="N121" s="1">
        <v>11.8</v>
      </c>
      <c r="O121" s="1">
        <v>30.2</v>
      </c>
      <c r="P121" s="1">
        <v>20.9</v>
      </c>
      <c r="Q121" s="1">
        <v>960.8</v>
      </c>
      <c r="R121" s="1">
        <v>0</v>
      </c>
      <c r="S121" s="1">
        <v>62.6</v>
      </c>
      <c r="T121" s="5">
        <v>7.4399999999999994E-2</v>
      </c>
      <c r="U121" s="9">
        <v>6.0000000000000001E-3</v>
      </c>
    </row>
    <row r="122" spans="1:21" customFormat="1">
      <c r="A122">
        <v>1</v>
      </c>
      <c r="B122">
        <v>59</v>
      </c>
      <c r="C122">
        <v>21</v>
      </c>
      <c r="D122">
        <v>1</v>
      </c>
      <c r="E122">
        <v>2020</v>
      </c>
      <c r="F122">
        <v>12101</v>
      </c>
      <c r="G122" t="str">
        <f>VLOOKUP(F122,'[1]Sheet 1'!$B$2:$E$347,2,FALSE)</f>
        <v>Magallanes y de la Antártica Chilena</v>
      </c>
      <c r="H122" t="str">
        <f>VLOOKUP(F122,'[1]Sheet 1'!$B$2:$E$347,3,FALSE)</f>
        <v>Magallanes</v>
      </c>
      <c r="I122" t="str">
        <f>VLOOKUP(F122,'[1]Sheet 1'!$B$2:$E$347,4,FALSE)</f>
        <v>Punta Arenas</v>
      </c>
      <c r="J122" t="s">
        <v>136</v>
      </c>
      <c r="K122" s="3" t="s">
        <v>2</v>
      </c>
      <c r="L122" s="12" t="str">
        <f>VLOOKUP(K122,[2]Hoja4!$A$2:$C$443,2,FALSE)</f>
        <v>Intentional self-harm by hanging, strangulation and suffocation</v>
      </c>
      <c r="M122" s="12" t="str">
        <f>VLOOKUP(K122,[2]Hoja4!$A$2:$C$443,3,FALSE)</f>
        <v>Street and highway</v>
      </c>
      <c r="N122" s="1">
        <v>10.9</v>
      </c>
      <c r="O122" s="1">
        <v>17</v>
      </c>
      <c r="P122" s="1">
        <v>13.5</v>
      </c>
      <c r="Q122" s="1">
        <v>1004.7</v>
      </c>
      <c r="R122" s="1">
        <v>0</v>
      </c>
      <c r="S122" s="1">
        <v>53.8</v>
      </c>
      <c r="T122" s="5">
        <v>7.4399999999999994E-2</v>
      </c>
      <c r="U122" s="9">
        <v>6.0000000000000001E-3</v>
      </c>
    </row>
    <row r="123" spans="1:21" customFormat="1">
      <c r="A123">
        <v>2</v>
      </c>
      <c r="B123">
        <v>36</v>
      </c>
      <c r="C123">
        <v>21</v>
      </c>
      <c r="D123">
        <v>1</v>
      </c>
      <c r="E123">
        <v>2020</v>
      </c>
      <c r="F123">
        <v>13302</v>
      </c>
      <c r="G123" t="str">
        <f>VLOOKUP(F123,'[1]Sheet 1'!$B$2:$E$347,2,FALSE)</f>
        <v>Metropolitana de Santiago</v>
      </c>
      <c r="H123" t="str">
        <f>VLOOKUP(F123,'[1]Sheet 1'!$B$2:$E$347,3,FALSE)</f>
        <v>Chacabuco</v>
      </c>
      <c r="I123" t="str">
        <f>VLOOKUP(F123,'[1]Sheet 1'!$B$2:$E$347,4,FALSE)</f>
        <v>Lampa</v>
      </c>
      <c r="J123" t="s">
        <v>136</v>
      </c>
      <c r="K123" s="3" t="s">
        <v>0</v>
      </c>
      <c r="L123" s="12" t="str">
        <f>VLOOKUP(K123,[2]Hoja4!$A$2:$C$443,2,FALSE)</f>
        <v>Intentional self-harm by hanging, strangulation and suffocation</v>
      </c>
      <c r="M123" s="12" t="str">
        <f>VLOOKUP(K123,[2]Hoja4!$A$2:$C$443,3,FALSE)</f>
        <v>Unspecified place</v>
      </c>
      <c r="N123" s="1">
        <v>17.8</v>
      </c>
      <c r="O123" s="1">
        <v>34.1</v>
      </c>
      <c r="P123" s="1">
        <v>25.6</v>
      </c>
      <c r="Q123" s="1">
        <v>934</v>
      </c>
      <c r="R123" s="1"/>
      <c r="S123" s="1">
        <v>41.8</v>
      </c>
      <c r="T123" s="5">
        <v>7.4399999999999994E-2</v>
      </c>
      <c r="U123" s="9">
        <v>6.0000000000000001E-3</v>
      </c>
    </row>
    <row r="124" spans="1:21" customFormat="1">
      <c r="A124">
        <v>1</v>
      </c>
      <c r="B124">
        <v>35</v>
      </c>
      <c r="C124">
        <v>21</v>
      </c>
      <c r="D124">
        <v>1</v>
      </c>
      <c r="E124">
        <v>2020</v>
      </c>
      <c r="F124">
        <v>13109</v>
      </c>
      <c r="G124" t="str">
        <f>VLOOKUP(F124,'[1]Sheet 1'!$B$2:$E$347,2,FALSE)</f>
        <v>Metropolitana de Santiago</v>
      </c>
      <c r="H124" t="str">
        <f>VLOOKUP(F124,'[1]Sheet 1'!$B$2:$E$347,3,FALSE)</f>
        <v>Santiago</v>
      </c>
      <c r="I124" t="str">
        <f>VLOOKUP(F124,'[1]Sheet 1'!$B$2:$E$347,4,FALSE)</f>
        <v>La Cisterna</v>
      </c>
      <c r="J124" t="s">
        <v>136</v>
      </c>
      <c r="K124" s="3" t="s">
        <v>0</v>
      </c>
      <c r="L124" s="12" t="str">
        <f>VLOOKUP(K124,[2]Hoja4!$A$2:$C$443,2,FALSE)</f>
        <v>Intentional self-harm by hanging, strangulation and suffocation</v>
      </c>
      <c r="M124" s="12" t="str">
        <f>VLOOKUP(K124,[2]Hoja4!$A$2:$C$443,3,FALSE)</f>
        <v>Unspecified place</v>
      </c>
      <c r="N124" s="1">
        <v>15.9</v>
      </c>
      <c r="O124" s="1">
        <v>31.4</v>
      </c>
      <c r="P124" s="1">
        <v>23.6</v>
      </c>
      <c r="Q124" s="1">
        <v>951.8</v>
      </c>
      <c r="R124" s="1"/>
      <c r="S124" s="1">
        <v>50.5</v>
      </c>
      <c r="T124" s="5">
        <v>7.4399999999999994E-2</v>
      </c>
      <c r="U124" s="9">
        <v>6.0000000000000001E-3</v>
      </c>
    </row>
    <row r="125" spans="1:21" customFormat="1">
      <c r="A125">
        <v>1</v>
      </c>
      <c r="B125">
        <v>32</v>
      </c>
      <c r="C125">
        <v>21</v>
      </c>
      <c r="D125">
        <v>1</v>
      </c>
      <c r="E125">
        <v>2020</v>
      </c>
      <c r="F125">
        <v>16305</v>
      </c>
      <c r="G125" t="str">
        <f>VLOOKUP(F125,'[1]Sheet 1'!$B$2:$E$347,2,FALSE)</f>
        <v>Ñuble</v>
      </c>
      <c r="H125" t="str">
        <f>VLOOKUP(F125,'[1]Sheet 1'!$B$2:$E$347,3,FALSE)</f>
        <v>Punilla</v>
      </c>
      <c r="I125" t="str">
        <f>VLOOKUP(F125,'[1]Sheet 1'!$B$2:$E$347,4,FALSE)</f>
        <v>San Nicolás</v>
      </c>
      <c r="J125" t="s">
        <v>136</v>
      </c>
      <c r="K125" s="3" t="s">
        <v>0</v>
      </c>
      <c r="L125" s="12" t="str">
        <f>VLOOKUP(K125,[2]Hoja4!$A$2:$C$443,2,FALSE)</f>
        <v>Intentional self-harm by hanging, strangulation and suffocation</v>
      </c>
      <c r="M125" s="12" t="str">
        <f>VLOOKUP(K125,[2]Hoja4!$A$2:$C$443,3,FALSE)</f>
        <v>Unspecified place</v>
      </c>
      <c r="N125" s="1">
        <v>7.3</v>
      </c>
      <c r="O125" s="1">
        <v>34.5</v>
      </c>
      <c r="P125" s="1">
        <v>20.3</v>
      </c>
      <c r="Q125" s="1">
        <v>985.1</v>
      </c>
      <c r="R125" s="1">
        <v>0</v>
      </c>
      <c r="S125" s="1">
        <v>69.900000000000006</v>
      </c>
      <c r="T125" s="5">
        <v>7.4399999999999994E-2</v>
      </c>
      <c r="U125" s="9">
        <v>6.0000000000000001E-3</v>
      </c>
    </row>
    <row r="126" spans="1:21" customFormat="1">
      <c r="A126">
        <v>1</v>
      </c>
      <c r="B126">
        <v>30</v>
      </c>
      <c r="C126">
        <v>21</v>
      </c>
      <c r="D126">
        <v>1</v>
      </c>
      <c r="E126">
        <v>2020</v>
      </c>
      <c r="F126">
        <v>9207</v>
      </c>
      <c r="G126" t="str">
        <f>VLOOKUP(F126,'[1]Sheet 1'!$B$2:$E$347,2,FALSE)</f>
        <v>La Araucanía</v>
      </c>
      <c r="H126" t="str">
        <f>VLOOKUP(F126,'[1]Sheet 1'!$B$2:$E$347,3,FALSE)</f>
        <v>Malleco</v>
      </c>
      <c r="I126" t="str">
        <f>VLOOKUP(F126,'[1]Sheet 1'!$B$2:$E$347,4,FALSE)</f>
        <v>Lumaco</v>
      </c>
      <c r="J126" t="s">
        <v>136</v>
      </c>
      <c r="K126" s="3" t="s">
        <v>0</v>
      </c>
      <c r="L126" s="12" t="str">
        <f>VLOOKUP(K126,[2]Hoja4!$A$2:$C$443,2,FALSE)</f>
        <v>Intentional self-harm by hanging, strangulation and suffocation</v>
      </c>
      <c r="M126" s="12" t="str">
        <f>VLOOKUP(K126,[2]Hoja4!$A$2:$C$443,3,FALSE)</f>
        <v>Unspecified place</v>
      </c>
      <c r="N126" s="1">
        <v>17.7</v>
      </c>
      <c r="O126" s="1">
        <v>36.299999999999997</v>
      </c>
      <c r="P126" s="1">
        <v>25.1</v>
      </c>
      <c r="Q126" s="1">
        <v>1003.7</v>
      </c>
      <c r="R126" s="1">
        <v>0</v>
      </c>
      <c r="S126" s="1">
        <v>41.8</v>
      </c>
      <c r="T126" s="5">
        <v>7.4399999999999994E-2</v>
      </c>
      <c r="U126" s="9">
        <v>6.0000000000000001E-3</v>
      </c>
    </row>
    <row r="127" spans="1:21" customFormat="1">
      <c r="A127">
        <v>1</v>
      </c>
      <c r="B127">
        <v>29</v>
      </c>
      <c r="C127">
        <v>21</v>
      </c>
      <c r="D127">
        <v>1</v>
      </c>
      <c r="E127">
        <v>2020</v>
      </c>
      <c r="F127">
        <v>5701</v>
      </c>
      <c r="G127" t="str">
        <f>VLOOKUP(F127,'[1]Sheet 1'!$B$2:$E$347,2,FALSE)</f>
        <v>Valparaíso</v>
      </c>
      <c r="H127" t="str">
        <f>VLOOKUP(F127,'[1]Sheet 1'!$B$2:$E$347,3,FALSE)</f>
        <v>San Felipe de Aconcagua</v>
      </c>
      <c r="I127" t="str">
        <f>VLOOKUP(F127,'[1]Sheet 1'!$B$2:$E$347,4,FALSE)</f>
        <v>San Felipe</v>
      </c>
      <c r="J127" t="s">
        <v>136</v>
      </c>
      <c r="K127" s="3" t="s">
        <v>2</v>
      </c>
      <c r="L127" s="12" t="str">
        <f>VLOOKUP(K127,[2]Hoja4!$A$2:$C$443,2,FALSE)</f>
        <v>Intentional self-harm by hanging, strangulation and suffocation</v>
      </c>
      <c r="M127" s="12" t="str">
        <f>VLOOKUP(K127,[2]Hoja4!$A$2:$C$443,3,FALSE)</f>
        <v>Street and highway</v>
      </c>
      <c r="N127" s="1">
        <v>15.2</v>
      </c>
      <c r="O127" s="1">
        <v>35.5</v>
      </c>
      <c r="P127" s="1">
        <v>24.7</v>
      </c>
      <c r="Q127" s="1">
        <v>935.3</v>
      </c>
      <c r="R127" s="1">
        <v>0</v>
      </c>
      <c r="S127" s="1">
        <v>53.8</v>
      </c>
      <c r="T127" s="5">
        <v>7.4399999999999994E-2</v>
      </c>
      <c r="U127" s="9">
        <v>6.0000000000000001E-3</v>
      </c>
    </row>
    <row r="128" spans="1:21" customFormat="1">
      <c r="A128">
        <v>1</v>
      </c>
      <c r="B128">
        <v>21</v>
      </c>
      <c r="C128">
        <v>21</v>
      </c>
      <c r="D128">
        <v>1</v>
      </c>
      <c r="E128">
        <v>2020</v>
      </c>
      <c r="F128">
        <v>7401</v>
      </c>
      <c r="G128" t="str">
        <f>VLOOKUP(F128,'[1]Sheet 1'!$B$2:$E$347,2,FALSE)</f>
        <v>Maule</v>
      </c>
      <c r="H128" t="str">
        <f>VLOOKUP(F128,'[1]Sheet 1'!$B$2:$E$347,3,FALSE)</f>
        <v>Linares</v>
      </c>
      <c r="I128" t="str">
        <f>VLOOKUP(F128,'[1]Sheet 1'!$B$2:$E$347,4,FALSE)</f>
        <v>Linares</v>
      </c>
      <c r="J128" t="s">
        <v>136</v>
      </c>
      <c r="K128" s="3" t="s">
        <v>0</v>
      </c>
      <c r="L128" s="12" t="str">
        <f>VLOOKUP(K128,[2]Hoja4!$A$2:$C$443,2,FALSE)</f>
        <v>Intentional self-harm by hanging, strangulation and suffocation</v>
      </c>
      <c r="M128" s="12" t="str">
        <f>VLOOKUP(K128,[2]Hoja4!$A$2:$C$443,3,FALSE)</f>
        <v>Unspecified place</v>
      </c>
      <c r="N128" s="1">
        <v>12.8</v>
      </c>
      <c r="O128" s="1">
        <v>34.299999999999997</v>
      </c>
      <c r="P128" s="1">
        <v>22.7</v>
      </c>
      <c r="Q128" s="1">
        <v>991.3</v>
      </c>
      <c r="R128" s="1">
        <v>0</v>
      </c>
      <c r="S128" s="1">
        <v>65.8</v>
      </c>
      <c r="T128" s="5">
        <v>7.4399999999999994E-2</v>
      </c>
      <c r="U128" s="9">
        <v>6.0000000000000001E-3</v>
      </c>
    </row>
    <row r="129" spans="1:21" customFormat="1">
      <c r="A129">
        <v>1</v>
      </c>
      <c r="B129">
        <v>29</v>
      </c>
      <c r="C129">
        <v>21</v>
      </c>
      <c r="D129">
        <v>1</v>
      </c>
      <c r="E129">
        <v>2020</v>
      </c>
      <c r="F129">
        <v>12101</v>
      </c>
      <c r="G129" t="str">
        <f>VLOOKUP(F129,'[1]Sheet 1'!$B$2:$E$347,2,FALSE)</f>
        <v>Magallanes y de la Antártica Chilena</v>
      </c>
      <c r="H129" t="str">
        <f>VLOOKUP(F129,'[1]Sheet 1'!$B$2:$E$347,3,FALSE)</f>
        <v>Magallanes</v>
      </c>
      <c r="I129" t="str">
        <f>VLOOKUP(F129,'[1]Sheet 1'!$B$2:$E$347,4,FALSE)</f>
        <v>Punta Arenas</v>
      </c>
      <c r="J129" t="s">
        <v>136</v>
      </c>
      <c r="K129" s="3" t="s">
        <v>0</v>
      </c>
      <c r="L129" s="12" t="str">
        <f>VLOOKUP(K129,[2]Hoja4!$A$2:$C$443,2,FALSE)</f>
        <v>Intentional self-harm by hanging, strangulation and suffocation</v>
      </c>
      <c r="M129" s="12" t="str">
        <f>VLOOKUP(K129,[2]Hoja4!$A$2:$C$443,3,FALSE)</f>
        <v>Unspecified place</v>
      </c>
      <c r="N129" s="1">
        <v>10.9</v>
      </c>
      <c r="O129" s="1">
        <v>17</v>
      </c>
      <c r="P129" s="1">
        <v>13.5</v>
      </c>
      <c r="Q129" s="1">
        <v>1004.7</v>
      </c>
      <c r="R129" s="1">
        <v>0</v>
      </c>
      <c r="S129" s="1">
        <v>53.8</v>
      </c>
      <c r="T129" s="5">
        <v>7.4399999999999994E-2</v>
      </c>
      <c r="U129" s="9">
        <v>6.0000000000000001E-3</v>
      </c>
    </row>
    <row r="130" spans="1:21" customFormat="1">
      <c r="A130">
        <v>1</v>
      </c>
      <c r="B130">
        <v>71</v>
      </c>
      <c r="C130">
        <v>22</v>
      </c>
      <c r="D130">
        <v>1</v>
      </c>
      <c r="E130">
        <v>2020</v>
      </c>
      <c r="F130">
        <v>5501</v>
      </c>
      <c r="G130" t="str">
        <f>VLOOKUP(F130,'[1]Sheet 1'!$B$2:$E$347,2,FALSE)</f>
        <v>Valparaíso</v>
      </c>
      <c r="H130" t="str">
        <f>VLOOKUP(F130,'[1]Sheet 1'!$B$2:$E$347,3,FALSE)</f>
        <v>Quillota</v>
      </c>
      <c r="I130" t="str">
        <f>VLOOKUP(F130,'[1]Sheet 1'!$B$2:$E$347,4,FALSE)</f>
        <v>Quillota</v>
      </c>
      <c r="J130" t="s">
        <v>143</v>
      </c>
      <c r="K130" s="3" t="s">
        <v>5</v>
      </c>
      <c r="L130" s="12" t="str">
        <f>VLOOKUP(K130,[2]Hoja4!$A$2:$C$443,2,FALSE)</f>
        <v>Intentional self-harm by other and unspecified firearm discharge</v>
      </c>
      <c r="M130" s="12" t="str">
        <f>VLOOKUP(K130,[2]Hoja4!$A$2:$C$443,3,FALSE)</f>
        <v>At home</v>
      </c>
      <c r="N130" s="1">
        <v>12.1</v>
      </c>
      <c r="O130" s="1">
        <v>28.8</v>
      </c>
      <c r="P130" s="1">
        <v>19</v>
      </c>
      <c r="Q130" s="1">
        <v>993.7</v>
      </c>
      <c r="R130" s="1">
        <v>0</v>
      </c>
      <c r="S130" s="1">
        <v>63.6</v>
      </c>
      <c r="T130" s="5">
        <v>7.4399999999999994E-2</v>
      </c>
      <c r="U130" s="9">
        <v>6.0000000000000001E-3</v>
      </c>
    </row>
    <row r="131" spans="1:21" customFormat="1">
      <c r="A131">
        <v>1</v>
      </c>
      <c r="B131">
        <v>59</v>
      </c>
      <c r="C131">
        <v>22</v>
      </c>
      <c r="D131">
        <v>1</v>
      </c>
      <c r="E131">
        <v>2020</v>
      </c>
      <c r="F131">
        <v>13114</v>
      </c>
      <c r="G131" t="str">
        <f>VLOOKUP(F131,'[1]Sheet 1'!$B$2:$E$347,2,FALSE)</f>
        <v>Metropolitana de Santiago</v>
      </c>
      <c r="H131" t="str">
        <f>VLOOKUP(F131,'[1]Sheet 1'!$B$2:$E$347,3,FALSE)</f>
        <v>Santiago</v>
      </c>
      <c r="I131" t="str">
        <f>VLOOKUP(F131,'[1]Sheet 1'!$B$2:$E$347,4,FALSE)</f>
        <v>Las Condes</v>
      </c>
      <c r="J131" t="s">
        <v>136</v>
      </c>
      <c r="K131" s="3" t="s">
        <v>0</v>
      </c>
      <c r="L131" s="12" t="str">
        <f>VLOOKUP(K131,[2]Hoja4!$A$2:$C$443,2,FALSE)</f>
        <v>Intentional self-harm by hanging, strangulation and suffocation</v>
      </c>
      <c r="M131" s="12" t="str">
        <f>VLOOKUP(K131,[2]Hoja4!$A$2:$C$443,3,FALSE)</f>
        <v>Unspecified place</v>
      </c>
      <c r="N131" s="1">
        <v>13.8</v>
      </c>
      <c r="O131" s="1">
        <v>30.6</v>
      </c>
      <c r="P131" s="1">
        <v>21.9</v>
      </c>
      <c r="Q131" s="1">
        <v>952.9</v>
      </c>
      <c r="R131" s="1">
        <v>0</v>
      </c>
      <c r="S131" s="1">
        <v>57.5</v>
      </c>
      <c r="T131" s="5">
        <v>7.4399999999999994E-2</v>
      </c>
      <c r="U131" s="9">
        <v>6.0000000000000001E-3</v>
      </c>
    </row>
    <row r="132" spans="1:21" customFormat="1">
      <c r="A132">
        <v>1</v>
      </c>
      <c r="B132">
        <v>34</v>
      </c>
      <c r="C132">
        <v>22</v>
      </c>
      <c r="D132">
        <v>1</v>
      </c>
      <c r="E132">
        <v>2020</v>
      </c>
      <c r="F132">
        <v>13108</v>
      </c>
      <c r="G132" t="str">
        <f>VLOOKUP(F132,'[1]Sheet 1'!$B$2:$E$347,2,FALSE)</f>
        <v>Metropolitana de Santiago</v>
      </c>
      <c r="H132" t="str">
        <f>VLOOKUP(F132,'[1]Sheet 1'!$B$2:$E$347,3,FALSE)</f>
        <v>Santiago</v>
      </c>
      <c r="I132" t="str">
        <f>VLOOKUP(F132,'[1]Sheet 1'!$B$2:$E$347,4,FALSE)</f>
        <v>Independencia</v>
      </c>
      <c r="J132" t="s">
        <v>136</v>
      </c>
      <c r="K132" s="3" t="s">
        <v>0</v>
      </c>
      <c r="L132" s="12" t="str">
        <f>VLOOKUP(K132,[2]Hoja4!$A$2:$C$443,2,FALSE)</f>
        <v>Intentional self-harm by hanging, strangulation and suffocation</v>
      </c>
      <c r="M132" s="12" t="str">
        <f>VLOOKUP(K132,[2]Hoja4!$A$2:$C$443,3,FALSE)</f>
        <v>Unspecified place</v>
      </c>
      <c r="N132" s="1">
        <v>13.8</v>
      </c>
      <c r="O132" s="1">
        <v>30.6</v>
      </c>
      <c r="P132" s="1">
        <v>21.9</v>
      </c>
      <c r="Q132" s="1">
        <v>952.9</v>
      </c>
      <c r="R132" s="1">
        <v>0</v>
      </c>
      <c r="S132" s="1">
        <v>57.5</v>
      </c>
      <c r="T132" s="5">
        <v>7.4399999999999994E-2</v>
      </c>
      <c r="U132" s="9">
        <v>6.0000000000000001E-3</v>
      </c>
    </row>
    <row r="133" spans="1:21" customFormat="1">
      <c r="A133">
        <v>2</v>
      </c>
      <c r="B133">
        <v>31</v>
      </c>
      <c r="C133">
        <v>22</v>
      </c>
      <c r="D133">
        <v>1</v>
      </c>
      <c r="E133">
        <v>2020</v>
      </c>
      <c r="F133">
        <v>13110</v>
      </c>
      <c r="G133" t="str">
        <f>VLOOKUP(F133,'[1]Sheet 1'!$B$2:$E$347,2,FALSE)</f>
        <v>Metropolitana de Santiago</v>
      </c>
      <c r="H133" t="str">
        <f>VLOOKUP(F133,'[1]Sheet 1'!$B$2:$E$347,3,FALSE)</f>
        <v>Santiago</v>
      </c>
      <c r="I133" t="str">
        <f>VLOOKUP(F133,'[1]Sheet 1'!$B$2:$E$347,4,FALSE)</f>
        <v>La Florida</v>
      </c>
      <c r="J133" t="s">
        <v>136</v>
      </c>
      <c r="K133" s="3" t="s">
        <v>0</v>
      </c>
      <c r="L133" s="12" t="str">
        <f>VLOOKUP(K133,[2]Hoja4!$A$2:$C$443,2,FALSE)</f>
        <v>Intentional self-harm by hanging, strangulation and suffocation</v>
      </c>
      <c r="M133" s="12" t="str">
        <f>VLOOKUP(K133,[2]Hoja4!$A$2:$C$443,3,FALSE)</f>
        <v>Unspecified place</v>
      </c>
      <c r="N133" s="1">
        <v>13.8</v>
      </c>
      <c r="O133" s="1">
        <v>30.6</v>
      </c>
      <c r="P133" s="1">
        <v>21.9</v>
      </c>
      <c r="Q133" s="1">
        <v>952.9</v>
      </c>
      <c r="R133" s="1"/>
      <c r="S133" s="1">
        <v>57.5</v>
      </c>
      <c r="T133" s="5">
        <v>7.4399999999999994E-2</v>
      </c>
      <c r="U133" s="9">
        <v>6.0000000000000001E-3</v>
      </c>
    </row>
    <row r="134" spans="1:21" customFormat="1">
      <c r="A134">
        <v>1</v>
      </c>
      <c r="B134">
        <v>36</v>
      </c>
      <c r="C134">
        <v>22</v>
      </c>
      <c r="D134">
        <v>1</v>
      </c>
      <c r="E134">
        <v>2020</v>
      </c>
      <c r="F134">
        <v>13115</v>
      </c>
      <c r="G134" t="str">
        <f>VLOOKUP(F134,'[1]Sheet 1'!$B$2:$E$347,2,FALSE)</f>
        <v>Metropolitana de Santiago</v>
      </c>
      <c r="H134" t="str">
        <f>VLOOKUP(F134,'[1]Sheet 1'!$B$2:$E$347,3,FALSE)</f>
        <v>Santiago</v>
      </c>
      <c r="I134" t="str">
        <f>VLOOKUP(F134,'[1]Sheet 1'!$B$2:$E$347,4,FALSE)</f>
        <v>Lo Barnechea</v>
      </c>
      <c r="J134" t="s">
        <v>136</v>
      </c>
      <c r="K134" s="3" t="s">
        <v>0</v>
      </c>
      <c r="L134" s="12" t="str">
        <f>VLOOKUP(K134,[2]Hoja4!$A$2:$C$443,2,FALSE)</f>
        <v>Intentional self-harm by hanging, strangulation and suffocation</v>
      </c>
      <c r="M134" s="12" t="str">
        <f>VLOOKUP(K134,[2]Hoja4!$A$2:$C$443,3,FALSE)</f>
        <v>Unspecified place</v>
      </c>
      <c r="N134" s="1">
        <v>13.8</v>
      </c>
      <c r="O134" s="1">
        <v>30.6</v>
      </c>
      <c r="P134" s="1">
        <v>21.9</v>
      </c>
      <c r="Q134" s="1">
        <v>952.9</v>
      </c>
      <c r="R134" s="1"/>
      <c r="S134" s="1">
        <v>57.5</v>
      </c>
      <c r="T134" s="5">
        <v>7.4399999999999994E-2</v>
      </c>
      <c r="U134" s="9">
        <v>6.0000000000000001E-3</v>
      </c>
    </row>
    <row r="135" spans="1:21" customFormat="1">
      <c r="A135">
        <v>1</v>
      </c>
      <c r="B135">
        <v>25</v>
      </c>
      <c r="C135">
        <v>22</v>
      </c>
      <c r="D135">
        <v>1</v>
      </c>
      <c r="E135">
        <v>2020</v>
      </c>
      <c r="F135">
        <v>13605</v>
      </c>
      <c r="G135" t="str">
        <f>VLOOKUP(F135,'[1]Sheet 1'!$B$2:$E$347,2,FALSE)</f>
        <v>Metropolitana de Santiago</v>
      </c>
      <c r="H135" t="str">
        <f>VLOOKUP(F135,'[1]Sheet 1'!$B$2:$E$347,3,FALSE)</f>
        <v>Talagante</v>
      </c>
      <c r="I135" t="str">
        <f>VLOOKUP(F135,'[1]Sheet 1'!$B$2:$E$347,4,FALSE)</f>
        <v>Peñaflor</v>
      </c>
      <c r="J135" t="s">
        <v>136</v>
      </c>
      <c r="K135" s="3" t="s">
        <v>4</v>
      </c>
      <c r="L135" s="12" t="str">
        <f>VLOOKUP(K135,[2]Hoja4!$A$2:$C$443,2,FALSE)</f>
        <v>Intentional self-harm by hanging, strangulation and suffocation</v>
      </c>
      <c r="M135" s="12" t="str">
        <f>VLOOKUP(K135,[2]Hoja4!$A$2:$C$443,3,FALSE)</f>
        <v>At home</v>
      </c>
      <c r="N135" s="1">
        <v>12.8</v>
      </c>
      <c r="O135" s="1">
        <v>30.4</v>
      </c>
      <c r="P135" s="1">
        <v>19.600000000000001</v>
      </c>
      <c r="Q135" s="1">
        <v>1009.8</v>
      </c>
      <c r="R135" s="1">
        <v>0</v>
      </c>
      <c r="S135" s="1">
        <v>73.2</v>
      </c>
      <c r="T135" s="5">
        <v>7.4399999999999994E-2</v>
      </c>
      <c r="U135" s="9">
        <v>6.0000000000000001E-3</v>
      </c>
    </row>
    <row r="136" spans="1:21" customFormat="1">
      <c r="A136">
        <v>1</v>
      </c>
      <c r="B136">
        <v>82</v>
      </c>
      <c r="C136">
        <v>23</v>
      </c>
      <c r="D136">
        <v>1</v>
      </c>
      <c r="E136">
        <v>2020</v>
      </c>
      <c r="F136">
        <v>4301</v>
      </c>
      <c r="G136" t="str">
        <f>VLOOKUP(F136,'[1]Sheet 1'!$B$2:$E$347,2,FALSE)</f>
        <v>Coquimbo</v>
      </c>
      <c r="H136" t="str">
        <f>VLOOKUP(F136,'[1]Sheet 1'!$B$2:$E$347,3,FALSE)</f>
        <v>Limarí</v>
      </c>
      <c r="I136" t="str">
        <f>VLOOKUP(F136,'[1]Sheet 1'!$B$2:$E$347,4,FALSE)</f>
        <v>Ovalle</v>
      </c>
      <c r="J136" t="s">
        <v>136</v>
      </c>
      <c r="K136" s="3" t="s">
        <v>0</v>
      </c>
      <c r="L136" s="12" t="str">
        <f>VLOOKUP(K136,[2]Hoja4!$A$2:$C$443,2,FALSE)</f>
        <v>Intentional self-harm by hanging, strangulation and suffocation</v>
      </c>
      <c r="M136" s="12" t="str">
        <f>VLOOKUP(K136,[2]Hoja4!$A$2:$C$443,3,FALSE)</f>
        <v>Unspecified place</v>
      </c>
      <c r="N136" s="1">
        <v>14.3</v>
      </c>
      <c r="O136" s="1">
        <v>30.9</v>
      </c>
      <c r="P136" s="1">
        <v>21.1</v>
      </c>
      <c r="Q136" s="1">
        <v>979.7</v>
      </c>
      <c r="R136" s="1">
        <v>0</v>
      </c>
      <c r="S136" s="1">
        <v>63.7</v>
      </c>
      <c r="T136" s="5">
        <v>7.4399999999999994E-2</v>
      </c>
      <c r="U136" s="9">
        <v>6.0000000000000001E-3</v>
      </c>
    </row>
    <row r="137" spans="1:21" customFormat="1">
      <c r="A137">
        <v>2</v>
      </c>
      <c r="B137">
        <v>53</v>
      </c>
      <c r="C137">
        <v>23</v>
      </c>
      <c r="D137">
        <v>1</v>
      </c>
      <c r="E137">
        <v>2020</v>
      </c>
      <c r="F137">
        <v>7301</v>
      </c>
      <c r="G137" t="str">
        <f>VLOOKUP(F137,'[1]Sheet 1'!$B$2:$E$347,2,FALSE)</f>
        <v>Maule</v>
      </c>
      <c r="H137" t="str">
        <f>VLOOKUP(F137,'[1]Sheet 1'!$B$2:$E$347,3,FALSE)</f>
        <v>Curicó</v>
      </c>
      <c r="I137" t="str">
        <f>VLOOKUP(F137,'[1]Sheet 1'!$B$2:$E$347,4,FALSE)</f>
        <v>Curicó</v>
      </c>
      <c r="J137" t="s">
        <v>136</v>
      </c>
      <c r="K137" s="3" t="s">
        <v>4</v>
      </c>
      <c r="L137" s="12" t="str">
        <f>VLOOKUP(K137,[2]Hoja4!$A$2:$C$443,2,FALSE)</f>
        <v>Intentional self-harm by hanging, strangulation and suffocation</v>
      </c>
      <c r="M137" s="12" t="str">
        <f>VLOOKUP(K137,[2]Hoja4!$A$2:$C$443,3,FALSE)</f>
        <v>At home</v>
      </c>
      <c r="N137" s="1">
        <v>14.9</v>
      </c>
      <c r="O137" s="1" t="s">
        <v>88</v>
      </c>
      <c r="P137" s="1">
        <v>22.7</v>
      </c>
      <c r="Q137" s="1">
        <v>989.3</v>
      </c>
      <c r="R137" s="1">
        <v>0</v>
      </c>
      <c r="S137" s="1">
        <v>59.5</v>
      </c>
      <c r="T137" s="5">
        <v>7.4399999999999994E-2</v>
      </c>
      <c r="U137" s="9">
        <v>6.0000000000000001E-3</v>
      </c>
    </row>
    <row r="138" spans="1:21" customFormat="1">
      <c r="A138">
        <v>1</v>
      </c>
      <c r="B138">
        <v>31</v>
      </c>
      <c r="C138">
        <v>23</v>
      </c>
      <c r="D138">
        <v>1</v>
      </c>
      <c r="E138">
        <v>2020</v>
      </c>
      <c r="F138">
        <v>8101</v>
      </c>
      <c r="G138" t="str">
        <f>VLOOKUP(F138,'[1]Sheet 1'!$B$2:$E$347,2,FALSE)</f>
        <v>Biobío</v>
      </c>
      <c r="H138" t="str">
        <f>VLOOKUP(F138,'[1]Sheet 1'!$B$2:$E$347,3,FALSE)</f>
        <v>Concepción</v>
      </c>
      <c r="I138" t="str">
        <f>VLOOKUP(F138,'[1]Sheet 1'!$B$2:$E$347,4,FALSE)</f>
        <v>Concepción</v>
      </c>
      <c r="J138" t="s">
        <v>136</v>
      </c>
      <c r="K138" s="3" t="s">
        <v>0</v>
      </c>
      <c r="L138" s="12" t="str">
        <f>VLOOKUP(K138,[2]Hoja4!$A$2:$C$443,2,FALSE)</f>
        <v>Intentional self-harm by hanging, strangulation and suffocation</v>
      </c>
      <c r="M138" s="12" t="str">
        <f>VLOOKUP(K138,[2]Hoja4!$A$2:$C$443,3,FALSE)</f>
        <v>Unspecified place</v>
      </c>
      <c r="N138" s="1">
        <v>14.8</v>
      </c>
      <c r="O138" s="1">
        <v>20.9</v>
      </c>
      <c r="P138" s="1">
        <v>16.7</v>
      </c>
      <c r="Q138" s="1">
        <v>1016.9</v>
      </c>
      <c r="R138" s="1">
        <v>0</v>
      </c>
      <c r="S138" s="1">
        <v>84.8</v>
      </c>
      <c r="T138" s="5">
        <v>7.4399999999999994E-2</v>
      </c>
      <c r="U138" s="9">
        <v>6.0000000000000001E-3</v>
      </c>
    </row>
    <row r="139" spans="1:21" customFormat="1">
      <c r="A139">
        <v>1</v>
      </c>
      <c r="B139">
        <v>30</v>
      </c>
      <c r="C139">
        <v>23</v>
      </c>
      <c r="D139">
        <v>1</v>
      </c>
      <c r="E139">
        <v>2020</v>
      </c>
      <c r="F139">
        <v>13201</v>
      </c>
      <c r="G139" t="str">
        <f>VLOOKUP(F139,'[1]Sheet 1'!$B$2:$E$347,2,FALSE)</f>
        <v>Metropolitana de Santiago</v>
      </c>
      <c r="H139" t="str">
        <f>VLOOKUP(F139,'[1]Sheet 1'!$B$2:$E$347,3,FALSE)</f>
        <v>Cordillera</v>
      </c>
      <c r="I139" t="str">
        <f>VLOOKUP(F139,'[1]Sheet 1'!$B$2:$E$347,4,FALSE)</f>
        <v>Puente Alto</v>
      </c>
      <c r="J139" t="s">
        <v>136</v>
      </c>
      <c r="K139" s="3" t="s">
        <v>0</v>
      </c>
      <c r="L139" s="12" t="str">
        <f>VLOOKUP(K139,[2]Hoja4!$A$2:$C$443,2,FALSE)</f>
        <v>Intentional self-harm by hanging, strangulation and suffocation</v>
      </c>
      <c r="M139" s="12" t="str">
        <f>VLOOKUP(K139,[2]Hoja4!$A$2:$C$443,3,FALSE)</f>
        <v>Unspecified place</v>
      </c>
      <c r="N139" s="1">
        <v>12.6</v>
      </c>
      <c r="O139" s="1">
        <v>31.1</v>
      </c>
      <c r="P139" s="1">
        <v>21.9</v>
      </c>
      <c r="Q139" s="1">
        <v>940</v>
      </c>
      <c r="R139" s="1">
        <v>0</v>
      </c>
      <c r="S139" s="1">
        <v>59.7</v>
      </c>
      <c r="T139" s="5">
        <v>7.4399999999999994E-2</v>
      </c>
      <c r="U139" s="9">
        <v>6.0000000000000001E-3</v>
      </c>
    </row>
    <row r="140" spans="1:21" customFormat="1">
      <c r="A140">
        <v>1</v>
      </c>
      <c r="B140">
        <v>28</v>
      </c>
      <c r="C140">
        <v>23</v>
      </c>
      <c r="D140">
        <v>1</v>
      </c>
      <c r="E140">
        <v>2020</v>
      </c>
      <c r="F140">
        <v>13128</v>
      </c>
      <c r="G140" t="str">
        <f>VLOOKUP(F140,'[1]Sheet 1'!$B$2:$E$347,2,FALSE)</f>
        <v>Metropolitana de Santiago</v>
      </c>
      <c r="H140" t="str">
        <f>VLOOKUP(F140,'[1]Sheet 1'!$B$2:$E$347,3,FALSE)</f>
        <v>Santiago</v>
      </c>
      <c r="I140" t="str">
        <f>VLOOKUP(F140,'[1]Sheet 1'!$B$2:$E$347,4,FALSE)</f>
        <v>Renca</v>
      </c>
      <c r="J140" t="s">
        <v>136</v>
      </c>
      <c r="K140" s="3" t="s">
        <v>0</v>
      </c>
      <c r="L140" s="12" t="str">
        <f>VLOOKUP(K140,[2]Hoja4!$A$2:$C$443,2,FALSE)</f>
        <v>Intentional self-harm by hanging, strangulation and suffocation</v>
      </c>
      <c r="M140" s="12" t="str">
        <f>VLOOKUP(K140,[2]Hoja4!$A$2:$C$443,3,FALSE)</f>
        <v>Unspecified place</v>
      </c>
      <c r="N140" s="1">
        <v>15.1</v>
      </c>
      <c r="O140" s="1">
        <v>30.9</v>
      </c>
      <c r="P140" s="1">
        <v>22.2</v>
      </c>
      <c r="Q140" s="1">
        <v>956.2</v>
      </c>
      <c r="R140" s="1"/>
      <c r="S140" s="1">
        <v>59.2</v>
      </c>
      <c r="T140" s="5">
        <v>7.4399999999999994E-2</v>
      </c>
      <c r="U140" s="9">
        <v>6.0000000000000001E-3</v>
      </c>
    </row>
    <row r="141" spans="1:21" customFormat="1">
      <c r="A141">
        <v>1</v>
      </c>
      <c r="B141">
        <v>25</v>
      </c>
      <c r="C141">
        <v>23</v>
      </c>
      <c r="D141">
        <v>1</v>
      </c>
      <c r="E141">
        <v>2020</v>
      </c>
      <c r="F141">
        <v>5601</v>
      </c>
      <c r="G141" t="str">
        <f>VLOOKUP(F141,'[1]Sheet 1'!$B$2:$E$347,2,FALSE)</f>
        <v>Valparaíso</v>
      </c>
      <c r="H141" t="str">
        <f>VLOOKUP(F141,'[1]Sheet 1'!$B$2:$E$347,3,FALSE)</f>
        <v>San Antonio</v>
      </c>
      <c r="I141" t="str">
        <f>VLOOKUP(F141,'[1]Sheet 1'!$B$2:$E$347,4,FALSE)</f>
        <v>San Antonio</v>
      </c>
      <c r="J141" t="s">
        <v>142</v>
      </c>
      <c r="K141" s="3" t="s">
        <v>5</v>
      </c>
      <c r="L141" s="12" t="str">
        <f>VLOOKUP(K141,[2]Hoja4!$A$2:$C$443,2,FALSE)</f>
        <v>Intentional self-harm by other and unspecified firearm discharge</v>
      </c>
      <c r="M141" s="12" t="str">
        <f>VLOOKUP(K141,[2]Hoja4!$A$2:$C$443,3,FALSE)</f>
        <v>At home</v>
      </c>
      <c r="N141" s="1">
        <v>15</v>
      </c>
      <c r="O141" s="1">
        <v>24</v>
      </c>
      <c r="P141" s="1">
        <v>19.5</v>
      </c>
      <c r="Q141" s="1">
        <v>1009.5</v>
      </c>
      <c r="R141" s="1">
        <v>0</v>
      </c>
      <c r="S141" s="1">
        <v>83.2</v>
      </c>
      <c r="T141" s="5">
        <v>7.4399999999999994E-2</v>
      </c>
      <c r="U141" s="9">
        <v>6.0000000000000001E-3</v>
      </c>
    </row>
    <row r="142" spans="1:21" customFormat="1">
      <c r="A142">
        <v>1</v>
      </c>
      <c r="B142">
        <v>26</v>
      </c>
      <c r="C142">
        <v>23</v>
      </c>
      <c r="D142">
        <v>1</v>
      </c>
      <c r="E142">
        <v>2020</v>
      </c>
      <c r="F142">
        <v>13110</v>
      </c>
      <c r="G142" t="str">
        <f>VLOOKUP(F142,'[1]Sheet 1'!$B$2:$E$347,2,FALSE)</f>
        <v>Metropolitana de Santiago</v>
      </c>
      <c r="H142" t="str">
        <f>VLOOKUP(F142,'[1]Sheet 1'!$B$2:$E$347,3,FALSE)</f>
        <v>Santiago</v>
      </c>
      <c r="I142" t="str">
        <f>VLOOKUP(F142,'[1]Sheet 1'!$B$2:$E$347,4,FALSE)</f>
        <v>La Florida</v>
      </c>
      <c r="J142" t="s">
        <v>144</v>
      </c>
      <c r="K142" s="3" t="s">
        <v>9</v>
      </c>
      <c r="L142" s="12" t="str">
        <f>VLOOKUP(K142,[2]Hoja4!$A$2:$C$443,2,FALSE)</f>
        <v>Intentional self-harm by jumping from a high place</v>
      </c>
      <c r="M142" s="12" t="str">
        <f>VLOOKUP(K142,[2]Hoja4!$A$2:$C$443,3,FALSE)</f>
        <v>Unspecified place</v>
      </c>
      <c r="N142" s="1">
        <v>15.1</v>
      </c>
      <c r="O142" s="1">
        <v>30.9</v>
      </c>
      <c r="P142" s="1">
        <v>22.2</v>
      </c>
      <c r="Q142" s="1">
        <v>956.2</v>
      </c>
      <c r="R142" s="1"/>
      <c r="S142" s="1">
        <v>59.2</v>
      </c>
      <c r="T142" s="5">
        <v>7.4399999999999994E-2</v>
      </c>
      <c r="U142" s="9">
        <v>6.0000000000000001E-3</v>
      </c>
    </row>
    <row r="143" spans="1:21" customFormat="1">
      <c r="A143">
        <v>1</v>
      </c>
      <c r="B143">
        <v>72</v>
      </c>
      <c r="C143">
        <v>24</v>
      </c>
      <c r="D143">
        <v>1</v>
      </c>
      <c r="E143">
        <v>2020</v>
      </c>
      <c r="F143">
        <v>7401</v>
      </c>
      <c r="G143" t="str">
        <f>VLOOKUP(F143,'[1]Sheet 1'!$B$2:$E$347,2,FALSE)</f>
        <v>Maule</v>
      </c>
      <c r="H143" t="str">
        <f>VLOOKUP(F143,'[1]Sheet 1'!$B$2:$E$347,3,FALSE)</f>
        <v>Linares</v>
      </c>
      <c r="I143" t="str">
        <f>VLOOKUP(F143,'[1]Sheet 1'!$B$2:$E$347,4,FALSE)</f>
        <v>Linares</v>
      </c>
      <c r="J143" t="s">
        <v>136</v>
      </c>
      <c r="K143" s="3" t="s">
        <v>4</v>
      </c>
      <c r="L143" s="12" t="str">
        <f>VLOOKUP(K143,[2]Hoja4!$A$2:$C$443,2,FALSE)</f>
        <v>Intentional self-harm by hanging, strangulation and suffocation</v>
      </c>
      <c r="M143" s="12" t="str">
        <f>VLOOKUP(K143,[2]Hoja4!$A$2:$C$443,3,FALSE)</f>
        <v>At home</v>
      </c>
      <c r="N143" s="1">
        <v>12</v>
      </c>
      <c r="O143" s="1">
        <v>33.799999999999997</v>
      </c>
      <c r="P143" s="1">
        <v>22.4</v>
      </c>
      <c r="Q143" s="1">
        <v>995.1</v>
      </c>
      <c r="R143" s="1">
        <v>0</v>
      </c>
      <c r="S143" s="1">
        <v>52.7</v>
      </c>
      <c r="T143" s="5">
        <v>7.4399999999999994E-2</v>
      </c>
      <c r="U143" s="9">
        <v>6.0000000000000001E-3</v>
      </c>
    </row>
    <row r="144" spans="1:21" customFormat="1">
      <c r="A144">
        <v>2</v>
      </c>
      <c r="B144">
        <v>84</v>
      </c>
      <c r="C144">
        <v>24</v>
      </c>
      <c r="D144">
        <v>1</v>
      </c>
      <c r="E144">
        <v>2020</v>
      </c>
      <c r="F144">
        <v>13103</v>
      </c>
      <c r="G144" t="str">
        <f>VLOOKUP(F144,'[1]Sheet 1'!$B$2:$E$347,2,FALSE)</f>
        <v>Metropolitana de Santiago</v>
      </c>
      <c r="H144" t="str">
        <f>VLOOKUP(F144,'[1]Sheet 1'!$B$2:$E$347,3,FALSE)</f>
        <v>Santiago</v>
      </c>
      <c r="I144" t="str">
        <f>VLOOKUP(F144,'[1]Sheet 1'!$B$2:$E$347,4,FALSE)</f>
        <v>Cerro Navia</v>
      </c>
      <c r="J144" t="s">
        <v>136</v>
      </c>
      <c r="K144" s="3" t="s">
        <v>0</v>
      </c>
      <c r="L144" s="12" t="str">
        <f>VLOOKUP(K144,[2]Hoja4!$A$2:$C$443,2,FALSE)</f>
        <v>Intentional self-harm by hanging, strangulation and suffocation</v>
      </c>
      <c r="M144" s="12" t="str">
        <f>VLOOKUP(K144,[2]Hoja4!$A$2:$C$443,3,FALSE)</f>
        <v>Unspecified place</v>
      </c>
      <c r="N144" s="1">
        <v>16.3</v>
      </c>
      <c r="O144" s="1">
        <v>32.5</v>
      </c>
      <c r="P144" s="1">
        <v>23.6</v>
      </c>
      <c r="Q144" s="1">
        <v>955.4</v>
      </c>
      <c r="R144" s="1">
        <v>0</v>
      </c>
      <c r="S144" s="1">
        <v>53.8</v>
      </c>
      <c r="T144" s="5">
        <v>7.4399999999999994E-2</v>
      </c>
      <c r="U144" s="9">
        <v>6.0000000000000001E-3</v>
      </c>
    </row>
    <row r="145" spans="1:21" customFormat="1">
      <c r="A145">
        <v>1</v>
      </c>
      <c r="B145">
        <v>32</v>
      </c>
      <c r="C145">
        <v>24</v>
      </c>
      <c r="D145">
        <v>1</v>
      </c>
      <c r="E145">
        <v>2020</v>
      </c>
      <c r="F145">
        <v>5304</v>
      </c>
      <c r="G145" t="str">
        <f>VLOOKUP(F145,'[1]Sheet 1'!$B$2:$E$347,2,FALSE)</f>
        <v>Valparaíso</v>
      </c>
      <c r="H145" t="str">
        <f>VLOOKUP(F145,'[1]Sheet 1'!$B$2:$E$347,3,FALSE)</f>
        <v>Los Andes</v>
      </c>
      <c r="I145" t="str">
        <f>VLOOKUP(F145,'[1]Sheet 1'!$B$2:$E$347,4,FALSE)</f>
        <v>San Esteban</v>
      </c>
      <c r="J145" t="s">
        <v>136</v>
      </c>
      <c r="K145" s="3" t="s">
        <v>4</v>
      </c>
      <c r="L145" s="12" t="str">
        <f>VLOOKUP(K145,[2]Hoja4!$A$2:$C$443,2,FALSE)</f>
        <v>Intentional self-harm by hanging, strangulation and suffocation</v>
      </c>
      <c r="M145" s="12" t="str">
        <f>VLOOKUP(K145,[2]Hoja4!$A$2:$C$443,3,FALSE)</f>
        <v>At home</v>
      </c>
      <c r="N145" s="1">
        <v>15.2</v>
      </c>
      <c r="O145" s="1">
        <v>33</v>
      </c>
      <c r="P145" s="1">
        <v>24</v>
      </c>
      <c r="Q145" s="1">
        <v>927</v>
      </c>
      <c r="R145" s="1">
        <v>0</v>
      </c>
      <c r="S145" s="1">
        <v>53.9</v>
      </c>
      <c r="T145" s="5">
        <v>7.4399999999999994E-2</v>
      </c>
      <c r="U145" s="9">
        <v>6.0000000000000001E-3</v>
      </c>
    </row>
    <row r="146" spans="1:21" customFormat="1">
      <c r="A146">
        <v>1</v>
      </c>
      <c r="B146">
        <v>88</v>
      </c>
      <c r="C146">
        <v>25</v>
      </c>
      <c r="D146">
        <v>1</v>
      </c>
      <c r="E146">
        <v>2020</v>
      </c>
      <c r="F146">
        <v>5501</v>
      </c>
      <c r="G146" t="str">
        <f>VLOOKUP(F146,'[1]Sheet 1'!$B$2:$E$347,2,FALSE)</f>
        <v>Valparaíso</v>
      </c>
      <c r="H146" t="str">
        <f>VLOOKUP(F146,'[1]Sheet 1'!$B$2:$E$347,3,FALSE)</f>
        <v>Quillota</v>
      </c>
      <c r="I146" t="str">
        <f>VLOOKUP(F146,'[1]Sheet 1'!$B$2:$E$347,4,FALSE)</f>
        <v>Quillota</v>
      </c>
      <c r="J146" t="s">
        <v>136</v>
      </c>
      <c r="K146" s="3" t="s">
        <v>0</v>
      </c>
      <c r="L146" s="12" t="str">
        <f>VLOOKUP(K146,[2]Hoja4!$A$2:$C$443,2,FALSE)</f>
        <v>Intentional self-harm by hanging, strangulation and suffocation</v>
      </c>
      <c r="M146" s="12" t="str">
        <f>VLOOKUP(K146,[2]Hoja4!$A$2:$C$443,3,FALSE)</f>
        <v>Unspecified place</v>
      </c>
      <c r="N146" s="1">
        <v>15.5</v>
      </c>
      <c r="O146" s="1">
        <v>33.5</v>
      </c>
      <c r="P146" s="1">
        <v>21.4</v>
      </c>
      <c r="Q146" s="1">
        <v>996</v>
      </c>
      <c r="R146" s="1">
        <v>0</v>
      </c>
      <c r="S146" s="1">
        <v>66.099999999999994</v>
      </c>
      <c r="T146" s="5">
        <v>7.4399999999999994E-2</v>
      </c>
      <c r="U146" s="9">
        <v>6.0000000000000001E-3</v>
      </c>
    </row>
    <row r="147" spans="1:21" customFormat="1">
      <c r="A147">
        <v>1</v>
      </c>
      <c r="B147">
        <v>16</v>
      </c>
      <c r="C147">
        <v>25</v>
      </c>
      <c r="D147">
        <v>1</v>
      </c>
      <c r="E147">
        <v>2020</v>
      </c>
      <c r="F147">
        <v>13601</v>
      </c>
      <c r="G147" t="str">
        <f>VLOOKUP(F147,'[1]Sheet 1'!$B$2:$E$347,2,FALSE)</f>
        <v>Metropolitana de Santiago</v>
      </c>
      <c r="H147" t="str">
        <f>VLOOKUP(F147,'[1]Sheet 1'!$B$2:$E$347,3,FALSE)</f>
        <v>Talagante</v>
      </c>
      <c r="I147" t="str">
        <f>VLOOKUP(F147,'[1]Sheet 1'!$B$2:$E$347,4,FALSE)</f>
        <v>Talagante</v>
      </c>
      <c r="J147" t="s">
        <v>141</v>
      </c>
      <c r="K147" s="3" t="s">
        <v>38</v>
      </c>
      <c r="L147" s="12" t="str">
        <f>VLOOKUP(K147,[2]Hoja4!$A$2:$C$443,2,FALSE)</f>
        <v>Intentional self-harm by handgun discharge</v>
      </c>
      <c r="M147" s="12" t="str">
        <f>VLOOKUP(K147,[2]Hoja4!$A$2:$C$443,3,FALSE)</f>
        <v>At home</v>
      </c>
      <c r="N147" s="1">
        <v>12.3</v>
      </c>
      <c r="O147" s="1">
        <v>35.200000000000003</v>
      </c>
      <c r="P147" s="1">
        <v>22.9</v>
      </c>
      <c r="Q147" s="1">
        <v>1011.9</v>
      </c>
      <c r="R147" s="1">
        <v>0</v>
      </c>
      <c r="S147" s="1">
        <v>58</v>
      </c>
      <c r="T147" s="5">
        <v>7.4399999999999994E-2</v>
      </c>
      <c r="U147" s="9">
        <v>6.0000000000000001E-3</v>
      </c>
    </row>
    <row r="148" spans="1:21" customFormat="1">
      <c r="A148">
        <v>1</v>
      </c>
      <c r="B148">
        <v>27</v>
      </c>
      <c r="C148">
        <v>25</v>
      </c>
      <c r="D148">
        <v>1</v>
      </c>
      <c r="E148">
        <v>2020</v>
      </c>
      <c r="F148">
        <v>16201</v>
      </c>
      <c r="G148" t="str">
        <f>VLOOKUP(F148,'[1]Sheet 1'!$B$2:$E$347,2,FALSE)</f>
        <v>Ñuble</v>
      </c>
      <c r="H148" t="str">
        <f>VLOOKUP(F148,'[1]Sheet 1'!$B$2:$E$347,3,FALSE)</f>
        <v>Itata</v>
      </c>
      <c r="I148" t="str">
        <f>VLOOKUP(F148,'[1]Sheet 1'!$B$2:$E$347,4,FALSE)</f>
        <v>Quirihue</v>
      </c>
      <c r="J148" t="s">
        <v>136</v>
      </c>
      <c r="K148" s="3" t="s">
        <v>4</v>
      </c>
      <c r="L148" s="12" t="str">
        <f>VLOOKUP(K148,[2]Hoja4!$A$2:$C$443,2,FALSE)</f>
        <v>Intentional self-harm by hanging, strangulation and suffocation</v>
      </c>
      <c r="M148" s="12" t="str">
        <f>VLOOKUP(K148,[2]Hoja4!$A$2:$C$443,3,FALSE)</f>
        <v>At home</v>
      </c>
      <c r="N148" s="1">
        <v>15.4</v>
      </c>
      <c r="O148" s="1">
        <v>33.200000000000003</v>
      </c>
      <c r="P148" s="1">
        <v>24.1</v>
      </c>
      <c r="Q148" s="1">
        <v>1003.3</v>
      </c>
      <c r="R148" s="1">
        <v>0</v>
      </c>
      <c r="S148" s="1">
        <v>45</v>
      </c>
      <c r="T148" s="5">
        <v>7.4399999999999994E-2</v>
      </c>
      <c r="U148" s="9">
        <v>6.0000000000000001E-3</v>
      </c>
    </row>
    <row r="149" spans="1:21" customFormat="1">
      <c r="A149">
        <v>1</v>
      </c>
      <c r="B149">
        <v>70</v>
      </c>
      <c r="C149">
        <v>26</v>
      </c>
      <c r="D149">
        <v>1</v>
      </c>
      <c r="E149">
        <v>2020</v>
      </c>
      <c r="F149">
        <v>7406</v>
      </c>
      <c r="G149" t="str">
        <f>VLOOKUP(F149,'[1]Sheet 1'!$B$2:$E$347,2,FALSE)</f>
        <v>Maule</v>
      </c>
      <c r="H149" t="str">
        <f>VLOOKUP(F149,'[1]Sheet 1'!$B$2:$E$347,3,FALSE)</f>
        <v>Linares</v>
      </c>
      <c r="I149" t="str">
        <f>VLOOKUP(F149,'[1]Sheet 1'!$B$2:$E$347,4,FALSE)</f>
        <v>San Javier</v>
      </c>
      <c r="J149" t="s">
        <v>136</v>
      </c>
      <c r="K149" s="3" t="s">
        <v>4</v>
      </c>
      <c r="L149" s="12" t="str">
        <f>VLOOKUP(K149,[2]Hoja4!$A$2:$C$443,2,FALSE)</f>
        <v>Intentional self-harm by hanging, strangulation and suffocation</v>
      </c>
      <c r="M149" s="12" t="str">
        <f>VLOOKUP(K149,[2]Hoja4!$A$2:$C$443,3,FALSE)</f>
        <v>At home</v>
      </c>
      <c r="N149" s="1">
        <v>14.9</v>
      </c>
      <c r="O149" s="1">
        <v>33.1</v>
      </c>
      <c r="P149" s="1">
        <v>24.1</v>
      </c>
      <c r="Q149" s="1">
        <v>996.9</v>
      </c>
      <c r="R149" s="1">
        <v>0</v>
      </c>
      <c r="S149" s="1">
        <v>61</v>
      </c>
      <c r="T149" s="5">
        <v>7.4399999999999994E-2</v>
      </c>
      <c r="U149" s="9">
        <v>6.0000000000000001E-3</v>
      </c>
    </row>
    <row r="150" spans="1:21" customFormat="1">
      <c r="A150">
        <v>1</v>
      </c>
      <c r="B150">
        <v>56</v>
      </c>
      <c r="C150">
        <v>26</v>
      </c>
      <c r="D150">
        <v>1</v>
      </c>
      <c r="E150">
        <v>2020</v>
      </c>
      <c r="F150">
        <v>13401</v>
      </c>
      <c r="G150" t="str">
        <f>VLOOKUP(F150,'[1]Sheet 1'!$B$2:$E$347,2,FALSE)</f>
        <v>Metropolitana de Santiago</v>
      </c>
      <c r="H150" t="str">
        <f>VLOOKUP(F150,'[1]Sheet 1'!$B$2:$E$347,3,FALSE)</f>
        <v>Maipo</v>
      </c>
      <c r="I150" t="str">
        <f>VLOOKUP(F150,'[1]Sheet 1'!$B$2:$E$347,4,FALSE)</f>
        <v>San Bernardo</v>
      </c>
      <c r="J150" t="s">
        <v>136</v>
      </c>
      <c r="K150" s="3" t="s">
        <v>0</v>
      </c>
      <c r="L150" s="12" t="str">
        <f>VLOOKUP(K150,[2]Hoja4!$A$2:$C$443,2,FALSE)</f>
        <v>Intentional self-harm by hanging, strangulation and suffocation</v>
      </c>
      <c r="M150" s="12" t="str">
        <f>VLOOKUP(K150,[2]Hoja4!$A$2:$C$443,3,FALSE)</f>
        <v>Unspecified place</v>
      </c>
      <c r="N150" s="1">
        <v>11.7</v>
      </c>
      <c r="O150" s="1" t="s">
        <v>121</v>
      </c>
      <c r="P150" s="1">
        <v>22.9</v>
      </c>
      <c r="Q150" s="1">
        <v>965.4</v>
      </c>
      <c r="R150" s="1">
        <v>0</v>
      </c>
      <c r="S150" s="1">
        <v>44.8</v>
      </c>
      <c r="T150" s="5">
        <v>7.4399999999999994E-2</v>
      </c>
      <c r="U150" s="9">
        <v>6.0000000000000001E-3</v>
      </c>
    </row>
    <row r="151" spans="1:21" customFormat="1">
      <c r="A151">
        <v>1</v>
      </c>
      <c r="B151">
        <v>45</v>
      </c>
      <c r="C151">
        <v>26</v>
      </c>
      <c r="D151">
        <v>1</v>
      </c>
      <c r="E151">
        <v>2020</v>
      </c>
      <c r="F151">
        <v>13110</v>
      </c>
      <c r="G151" t="str">
        <f>VLOOKUP(F151,'[1]Sheet 1'!$B$2:$E$347,2,FALSE)</f>
        <v>Metropolitana de Santiago</v>
      </c>
      <c r="H151" t="str">
        <f>VLOOKUP(F151,'[1]Sheet 1'!$B$2:$E$347,3,FALSE)</f>
        <v>Santiago</v>
      </c>
      <c r="I151" t="str">
        <f>VLOOKUP(F151,'[1]Sheet 1'!$B$2:$E$347,4,FALSE)</f>
        <v>La Florida</v>
      </c>
      <c r="J151" t="s">
        <v>136</v>
      </c>
      <c r="K151" s="3" t="s">
        <v>0</v>
      </c>
      <c r="L151" s="12" t="str">
        <f>VLOOKUP(K151,[2]Hoja4!$A$2:$C$443,2,FALSE)</f>
        <v>Intentional self-harm by hanging, strangulation and suffocation</v>
      </c>
      <c r="M151" s="12" t="str">
        <f>VLOOKUP(K151,[2]Hoja4!$A$2:$C$443,3,FALSE)</f>
        <v>Unspecified place</v>
      </c>
      <c r="N151" s="1">
        <v>14.2</v>
      </c>
      <c r="O151" s="1">
        <v>34.5</v>
      </c>
      <c r="P151" s="1">
        <v>24.8</v>
      </c>
      <c r="Q151" s="1">
        <v>956.4</v>
      </c>
      <c r="R151" s="1">
        <v>0</v>
      </c>
      <c r="S151" s="1">
        <v>35.5</v>
      </c>
      <c r="T151" s="5">
        <v>7.4399999999999994E-2</v>
      </c>
      <c r="U151" s="9">
        <v>6.0000000000000001E-3</v>
      </c>
    </row>
    <row r="152" spans="1:21" customFormat="1">
      <c r="A152">
        <v>1</v>
      </c>
      <c r="B152">
        <v>47</v>
      </c>
      <c r="C152">
        <v>26</v>
      </c>
      <c r="D152">
        <v>1</v>
      </c>
      <c r="E152">
        <v>2020</v>
      </c>
      <c r="F152">
        <v>10301</v>
      </c>
      <c r="G152" t="str">
        <f>VLOOKUP(F152,'[1]Sheet 1'!$B$2:$E$347,2,FALSE)</f>
        <v>Los Lagos</v>
      </c>
      <c r="H152" t="str">
        <f>VLOOKUP(F152,'[1]Sheet 1'!$B$2:$E$347,3,FALSE)</f>
        <v>Osorno</v>
      </c>
      <c r="I152" t="str">
        <f>VLOOKUP(F152,'[1]Sheet 1'!$B$2:$E$347,4,FALSE)</f>
        <v>Osorno</v>
      </c>
      <c r="J152" t="s">
        <v>136</v>
      </c>
      <c r="K152" s="3" t="s">
        <v>4</v>
      </c>
      <c r="L152" s="12" t="str">
        <f>VLOOKUP(K152,[2]Hoja4!$A$2:$C$443,2,FALSE)</f>
        <v>Intentional self-harm by hanging, strangulation and suffocation</v>
      </c>
      <c r="M152" s="12" t="str">
        <f>VLOOKUP(K152,[2]Hoja4!$A$2:$C$443,3,FALSE)</f>
        <v>At home</v>
      </c>
      <c r="N152" s="1">
        <v>15.4</v>
      </c>
      <c r="O152" s="1">
        <v>24.6</v>
      </c>
      <c r="P152" s="1">
        <v>20</v>
      </c>
      <c r="Q152" s="1">
        <v>1013.9</v>
      </c>
      <c r="R152" s="1">
        <v>0</v>
      </c>
      <c r="S152" s="1">
        <v>69.8</v>
      </c>
      <c r="T152" s="5">
        <v>7.4399999999999994E-2</v>
      </c>
      <c r="U152" s="9">
        <v>6.0000000000000001E-3</v>
      </c>
    </row>
    <row r="153" spans="1:21" customFormat="1">
      <c r="A153">
        <v>1</v>
      </c>
      <c r="B153">
        <v>33</v>
      </c>
      <c r="C153">
        <v>26</v>
      </c>
      <c r="D153">
        <v>1</v>
      </c>
      <c r="E153">
        <v>2020</v>
      </c>
      <c r="F153">
        <v>7403</v>
      </c>
      <c r="G153" t="str">
        <f>VLOOKUP(F153,'[1]Sheet 1'!$B$2:$E$347,2,FALSE)</f>
        <v>Maule</v>
      </c>
      <c r="H153" t="str">
        <f>VLOOKUP(F153,'[1]Sheet 1'!$B$2:$E$347,3,FALSE)</f>
        <v>Linares</v>
      </c>
      <c r="I153" t="str">
        <f>VLOOKUP(F153,'[1]Sheet 1'!$B$2:$E$347,4,FALSE)</f>
        <v>Longaví</v>
      </c>
      <c r="J153" t="s">
        <v>136</v>
      </c>
      <c r="K153" s="3" t="s">
        <v>4</v>
      </c>
      <c r="L153" s="12" t="str">
        <f>VLOOKUP(K153,[2]Hoja4!$A$2:$C$443,2,FALSE)</f>
        <v>Intentional self-harm by hanging, strangulation and suffocation</v>
      </c>
      <c r="M153" s="12" t="str">
        <f>VLOOKUP(K153,[2]Hoja4!$A$2:$C$443,3,FALSE)</f>
        <v>At home</v>
      </c>
      <c r="N153" s="1">
        <v>14.9</v>
      </c>
      <c r="O153" s="1">
        <v>33.1</v>
      </c>
      <c r="P153" s="1">
        <v>24.1</v>
      </c>
      <c r="Q153" s="1">
        <v>996.9</v>
      </c>
      <c r="R153" s="1">
        <v>0</v>
      </c>
      <c r="S153" s="1">
        <v>61</v>
      </c>
      <c r="T153" s="5">
        <v>7.4399999999999994E-2</v>
      </c>
      <c r="U153" s="9">
        <v>6.0000000000000001E-3</v>
      </c>
    </row>
    <row r="154" spans="1:21" customFormat="1">
      <c r="A154">
        <v>2</v>
      </c>
      <c r="B154">
        <v>26</v>
      </c>
      <c r="C154">
        <v>26</v>
      </c>
      <c r="D154">
        <v>1</v>
      </c>
      <c r="E154">
        <v>2020</v>
      </c>
      <c r="F154">
        <v>13126</v>
      </c>
      <c r="G154" t="str">
        <f>VLOOKUP(F154,'[1]Sheet 1'!$B$2:$E$347,2,FALSE)</f>
        <v>Metropolitana de Santiago</v>
      </c>
      <c r="H154" t="str">
        <f>VLOOKUP(F154,'[1]Sheet 1'!$B$2:$E$347,3,FALSE)</f>
        <v>Santiago</v>
      </c>
      <c r="I154" t="str">
        <f>VLOOKUP(F154,'[1]Sheet 1'!$B$2:$E$347,4,FALSE)</f>
        <v>Quinta Normal</v>
      </c>
      <c r="J154" t="s">
        <v>136</v>
      </c>
      <c r="K154" s="3" t="s">
        <v>0</v>
      </c>
      <c r="L154" s="12" t="str">
        <f>VLOOKUP(K154,[2]Hoja4!$A$2:$C$443,2,FALSE)</f>
        <v>Intentional self-harm by hanging, strangulation and suffocation</v>
      </c>
      <c r="M154" s="12" t="str">
        <f>VLOOKUP(K154,[2]Hoja4!$A$2:$C$443,3,FALSE)</f>
        <v>Unspecified place</v>
      </c>
      <c r="N154" s="1">
        <v>14.2</v>
      </c>
      <c r="O154" s="1">
        <v>34.5</v>
      </c>
      <c r="P154" s="1">
        <v>24.8</v>
      </c>
      <c r="Q154" s="1">
        <v>956.4</v>
      </c>
      <c r="R154" s="1"/>
      <c r="S154" s="1">
        <v>35.5</v>
      </c>
      <c r="T154" s="5">
        <v>7.4399999999999994E-2</v>
      </c>
      <c r="U154" s="9">
        <v>6.0000000000000001E-3</v>
      </c>
    </row>
    <row r="155" spans="1:21" customFormat="1">
      <c r="A155">
        <v>1</v>
      </c>
      <c r="B155">
        <v>18</v>
      </c>
      <c r="C155">
        <v>26</v>
      </c>
      <c r="D155">
        <v>1</v>
      </c>
      <c r="E155">
        <v>2020</v>
      </c>
      <c r="F155">
        <v>3301</v>
      </c>
      <c r="G155" t="str">
        <f>VLOOKUP(F155,'[1]Sheet 1'!$B$2:$E$347,2,FALSE)</f>
        <v>Atacama</v>
      </c>
      <c r="H155" t="str">
        <f>VLOOKUP(F155,'[1]Sheet 1'!$B$2:$E$347,3,FALSE)</f>
        <v>Huasco</v>
      </c>
      <c r="I155" t="str">
        <f>VLOOKUP(F155,'[1]Sheet 1'!$B$2:$E$347,4,FALSE)</f>
        <v>Vallenar</v>
      </c>
      <c r="J155" t="s">
        <v>136</v>
      </c>
      <c r="K155" s="3" t="s">
        <v>0</v>
      </c>
      <c r="L155" s="12" t="str">
        <f>VLOOKUP(K155,[2]Hoja4!$A$2:$C$443,2,FALSE)</f>
        <v>Intentional self-harm by hanging, strangulation and suffocation</v>
      </c>
      <c r="M155" s="12" t="str">
        <f>VLOOKUP(K155,[2]Hoja4!$A$2:$C$443,3,FALSE)</f>
        <v>Unspecified place</v>
      </c>
      <c r="N155" s="1">
        <v>14.7</v>
      </c>
      <c r="O155" s="1">
        <v>30</v>
      </c>
      <c r="P155" s="1">
        <v>21.5</v>
      </c>
      <c r="Q155" s="1">
        <v>962.3</v>
      </c>
      <c r="R155" s="1">
        <v>0</v>
      </c>
      <c r="S155" s="1">
        <v>75.8</v>
      </c>
      <c r="T155" s="5">
        <v>7.4399999999999994E-2</v>
      </c>
      <c r="U155" s="9">
        <v>6.0000000000000001E-3</v>
      </c>
    </row>
    <row r="156" spans="1:21" customFormat="1">
      <c r="A156">
        <v>1</v>
      </c>
      <c r="B156">
        <v>66</v>
      </c>
      <c r="C156">
        <v>27</v>
      </c>
      <c r="D156">
        <v>1</v>
      </c>
      <c r="E156">
        <v>2020</v>
      </c>
      <c r="F156">
        <v>10101</v>
      </c>
      <c r="G156" t="str">
        <f>VLOOKUP(F156,'[1]Sheet 1'!$B$2:$E$347,2,FALSE)</f>
        <v>Los Lagos</v>
      </c>
      <c r="H156" t="str">
        <f>VLOOKUP(F156,'[1]Sheet 1'!$B$2:$E$347,3,FALSE)</f>
        <v>Llanquihue</v>
      </c>
      <c r="I156" t="str">
        <f>VLOOKUP(F156,'[1]Sheet 1'!$B$2:$E$347,4,FALSE)</f>
        <v>Puerto Montt</v>
      </c>
      <c r="J156" t="s">
        <v>142</v>
      </c>
      <c r="K156" s="3" t="s">
        <v>18</v>
      </c>
      <c r="L156" s="12" t="str">
        <f>VLOOKUP(K156,[2]Hoja4!$A$2:$C$443,2,FALSE)</f>
        <v>Intentional self-harm by rifle, shotgun and larger firearm discharge</v>
      </c>
      <c r="M156" s="12" t="str">
        <f>VLOOKUP(K156,[2]Hoja4!$A$2:$C$443,3,FALSE)</f>
        <v>At home</v>
      </c>
      <c r="N156" s="1">
        <v>6.8</v>
      </c>
      <c r="O156" s="1">
        <v>23.8</v>
      </c>
      <c r="P156" s="1">
        <v>14.9</v>
      </c>
      <c r="Q156" s="1">
        <v>1007</v>
      </c>
      <c r="R156" s="1">
        <v>7</v>
      </c>
      <c r="S156" s="1">
        <v>79</v>
      </c>
      <c r="T156" s="5">
        <v>7.4399999999999994E-2</v>
      </c>
      <c r="U156" s="9">
        <v>6.0000000000000001E-3</v>
      </c>
    </row>
    <row r="157" spans="1:21" customFormat="1">
      <c r="A157">
        <v>1</v>
      </c>
      <c r="B157">
        <v>64</v>
      </c>
      <c r="C157">
        <v>27</v>
      </c>
      <c r="D157">
        <v>1</v>
      </c>
      <c r="E157">
        <v>2020</v>
      </c>
      <c r="F157">
        <v>13111</v>
      </c>
      <c r="G157" t="str">
        <f>VLOOKUP(F157,'[1]Sheet 1'!$B$2:$E$347,2,FALSE)</f>
        <v>Metropolitana de Santiago</v>
      </c>
      <c r="H157" t="str">
        <f>VLOOKUP(F157,'[1]Sheet 1'!$B$2:$E$347,3,FALSE)</f>
        <v>Santiago</v>
      </c>
      <c r="I157" t="str">
        <f>VLOOKUP(F157,'[1]Sheet 1'!$B$2:$E$347,4,FALSE)</f>
        <v>La Granja</v>
      </c>
      <c r="J157" t="s">
        <v>136</v>
      </c>
      <c r="K157" s="3" t="s">
        <v>0</v>
      </c>
      <c r="L157" s="12" t="str">
        <f>VLOOKUP(K157,[2]Hoja4!$A$2:$C$443,2,FALSE)</f>
        <v>Intentional self-harm by hanging, strangulation and suffocation</v>
      </c>
      <c r="M157" s="12" t="str">
        <f>VLOOKUP(K157,[2]Hoja4!$A$2:$C$443,3,FALSE)</f>
        <v>Unspecified place</v>
      </c>
      <c r="N157" s="1">
        <v>16.5</v>
      </c>
      <c r="O157" s="1">
        <v>34.299999999999997</v>
      </c>
      <c r="P157" s="1">
        <v>25.6</v>
      </c>
      <c r="Q157" s="1">
        <v>954.1</v>
      </c>
      <c r="R157" s="1"/>
      <c r="S157" s="1">
        <v>42.8</v>
      </c>
      <c r="T157" s="5">
        <v>7.4399999999999994E-2</v>
      </c>
      <c r="U157" s="9">
        <v>6.0000000000000001E-3</v>
      </c>
    </row>
    <row r="158" spans="1:21" customFormat="1">
      <c r="A158">
        <v>1</v>
      </c>
      <c r="B158">
        <v>48</v>
      </c>
      <c r="C158">
        <v>27</v>
      </c>
      <c r="D158">
        <v>1</v>
      </c>
      <c r="E158">
        <v>2020</v>
      </c>
      <c r="F158">
        <v>13108</v>
      </c>
      <c r="G158" t="str">
        <f>VLOOKUP(F158,'[1]Sheet 1'!$B$2:$E$347,2,FALSE)</f>
        <v>Metropolitana de Santiago</v>
      </c>
      <c r="H158" t="str">
        <f>VLOOKUP(F158,'[1]Sheet 1'!$B$2:$E$347,3,FALSE)</f>
        <v>Santiago</v>
      </c>
      <c r="I158" t="str">
        <f>VLOOKUP(F158,'[1]Sheet 1'!$B$2:$E$347,4,FALSE)</f>
        <v>Independencia</v>
      </c>
      <c r="J158" t="s">
        <v>136</v>
      </c>
      <c r="K158" s="3" t="s">
        <v>0</v>
      </c>
      <c r="L158" s="12" t="str">
        <f>VLOOKUP(K158,[2]Hoja4!$A$2:$C$443,2,FALSE)</f>
        <v>Intentional self-harm by hanging, strangulation and suffocation</v>
      </c>
      <c r="M158" s="12" t="str">
        <f>VLOOKUP(K158,[2]Hoja4!$A$2:$C$443,3,FALSE)</f>
        <v>Unspecified place</v>
      </c>
      <c r="N158" s="1">
        <v>16.5</v>
      </c>
      <c r="O158" s="1">
        <v>34.299999999999997</v>
      </c>
      <c r="P158" s="1">
        <v>25.6</v>
      </c>
      <c r="Q158" s="1">
        <v>954.1</v>
      </c>
      <c r="R158" s="1"/>
      <c r="S158" s="1">
        <v>42.8</v>
      </c>
      <c r="T158" s="5">
        <v>7.4399999999999994E-2</v>
      </c>
      <c r="U158" s="9">
        <v>6.0000000000000001E-3</v>
      </c>
    </row>
    <row r="159" spans="1:21" customFormat="1">
      <c r="A159">
        <v>1</v>
      </c>
      <c r="B159">
        <v>83</v>
      </c>
      <c r="C159">
        <v>28</v>
      </c>
      <c r="D159">
        <v>1</v>
      </c>
      <c r="E159">
        <v>2020</v>
      </c>
      <c r="F159">
        <v>8102</v>
      </c>
      <c r="G159" t="str">
        <f>VLOOKUP(F159,'[1]Sheet 1'!$B$2:$E$347,2,FALSE)</f>
        <v>Biobío</v>
      </c>
      <c r="H159" t="str">
        <f>VLOOKUP(F159,'[1]Sheet 1'!$B$2:$E$347,3,FALSE)</f>
        <v>Concepción</v>
      </c>
      <c r="I159" t="str">
        <f>VLOOKUP(F159,'[1]Sheet 1'!$B$2:$E$347,4,FALSE)</f>
        <v>Coronel</v>
      </c>
      <c r="J159" t="s">
        <v>136</v>
      </c>
      <c r="K159" s="3" t="s">
        <v>4</v>
      </c>
      <c r="L159" s="12" t="str">
        <f>VLOOKUP(K159,[2]Hoja4!$A$2:$C$443,2,FALSE)</f>
        <v>Intentional self-harm by hanging, strangulation and suffocation</v>
      </c>
      <c r="M159" s="12" t="str">
        <f>VLOOKUP(K159,[2]Hoja4!$A$2:$C$443,3,FALSE)</f>
        <v>At home</v>
      </c>
      <c r="N159" s="1">
        <v>15.6</v>
      </c>
      <c r="O159" s="1">
        <v>24.3</v>
      </c>
      <c r="P159" s="1">
        <v>19.100000000000001</v>
      </c>
      <c r="Q159" s="1">
        <v>1013.6</v>
      </c>
      <c r="R159" s="1">
        <v>0</v>
      </c>
      <c r="S159" s="1">
        <v>68.2</v>
      </c>
      <c r="T159" s="5">
        <v>7.4399999999999994E-2</v>
      </c>
      <c r="U159" s="9">
        <v>6.0000000000000001E-3</v>
      </c>
    </row>
    <row r="160" spans="1:21" customFormat="1">
      <c r="A160">
        <v>1</v>
      </c>
      <c r="B160">
        <v>66</v>
      </c>
      <c r="C160">
        <v>28</v>
      </c>
      <c r="D160">
        <v>1</v>
      </c>
      <c r="E160">
        <v>2020</v>
      </c>
      <c r="F160">
        <v>6101</v>
      </c>
      <c r="G160" t="str">
        <f>VLOOKUP(F160,'[1]Sheet 1'!$B$2:$E$347,2,FALSE)</f>
        <v>Libertador General Bernardo O'Higgins</v>
      </c>
      <c r="H160" t="str">
        <f>VLOOKUP(F160,'[1]Sheet 1'!$B$2:$E$347,3,FALSE)</f>
        <v>Cachapoal</v>
      </c>
      <c r="I160" t="str">
        <f>VLOOKUP(F160,'[1]Sheet 1'!$B$2:$E$347,4,FALSE)</f>
        <v>Rancagua</v>
      </c>
      <c r="J160" t="s">
        <v>136</v>
      </c>
      <c r="K160" s="3" t="s">
        <v>0</v>
      </c>
      <c r="L160" s="12" t="str">
        <f>VLOOKUP(K160,[2]Hoja4!$A$2:$C$443,2,FALSE)</f>
        <v>Intentional self-harm by hanging, strangulation and suffocation</v>
      </c>
      <c r="M160" s="12" t="str">
        <f>VLOOKUP(K160,[2]Hoja4!$A$2:$C$443,3,FALSE)</f>
        <v>Unspecified place</v>
      </c>
      <c r="N160" s="1">
        <v>14.5</v>
      </c>
      <c r="O160" s="1">
        <v>33.1</v>
      </c>
      <c r="P160" s="1">
        <v>24.3</v>
      </c>
      <c r="Q160" s="1">
        <v>956.4</v>
      </c>
      <c r="R160" s="1">
        <v>0</v>
      </c>
      <c r="S160" s="1">
        <v>46.3</v>
      </c>
      <c r="T160" s="5">
        <v>7.4399999999999994E-2</v>
      </c>
      <c r="U160" s="9">
        <v>6.0000000000000001E-3</v>
      </c>
    </row>
    <row r="161" spans="1:21" customFormat="1">
      <c r="A161">
        <v>1</v>
      </c>
      <c r="B161">
        <v>70</v>
      </c>
      <c r="C161">
        <v>28</v>
      </c>
      <c r="D161">
        <v>1</v>
      </c>
      <c r="E161">
        <v>2020</v>
      </c>
      <c r="F161">
        <v>14101</v>
      </c>
      <c r="G161" t="str">
        <f>VLOOKUP(F161,'[1]Sheet 1'!$B$2:$E$347,2,FALSE)</f>
        <v>Los Ríos</v>
      </c>
      <c r="H161" t="str">
        <f>VLOOKUP(F161,'[1]Sheet 1'!$B$2:$E$347,3,FALSE)</f>
        <v>Valdivia</v>
      </c>
      <c r="I161" t="str">
        <f>VLOOKUP(F161,'[1]Sheet 1'!$B$2:$E$347,4,FALSE)</f>
        <v>Valdivia</v>
      </c>
      <c r="J161" t="s">
        <v>136</v>
      </c>
      <c r="K161" s="3" t="s">
        <v>0</v>
      </c>
      <c r="L161" s="12" t="str">
        <f>VLOOKUP(K161,[2]Hoja4!$A$2:$C$443,2,FALSE)</f>
        <v>Intentional self-harm by hanging, strangulation and suffocation</v>
      </c>
      <c r="M161" s="12" t="str">
        <f>VLOOKUP(K161,[2]Hoja4!$A$2:$C$443,3,FALSE)</f>
        <v>Unspecified place</v>
      </c>
      <c r="N161" s="1">
        <v>17</v>
      </c>
      <c r="O161" s="1">
        <v>23.1</v>
      </c>
      <c r="P161" s="1">
        <v>19</v>
      </c>
      <c r="Q161" s="1">
        <v>1013.8</v>
      </c>
      <c r="R161" s="1">
        <v>0</v>
      </c>
      <c r="S161" s="1">
        <v>60</v>
      </c>
      <c r="T161" s="5">
        <v>7.4399999999999994E-2</v>
      </c>
      <c r="U161" s="9">
        <v>6.0000000000000001E-3</v>
      </c>
    </row>
    <row r="162" spans="1:21" customFormat="1">
      <c r="A162">
        <v>1</v>
      </c>
      <c r="B162">
        <v>59</v>
      </c>
      <c r="C162">
        <v>28</v>
      </c>
      <c r="D162">
        <v>1</v>
      </c>
      <c r="E162">
        <v>2020</v>
      </c>
      <c r="F162">
        <v>1101</v>
      </c>
      <c r="G162" t="str">
        <f>VLOOKUP(F162,'[1]Sheet 1'!$B$2:$E$347,2,FALSE)</f>
        <v>Tarapacá</v>
      </c>
      <c r="H162" t="str">
        <f>VLOOKUP(F162,'[1]Sheet 1'!$B$2:$E$347,3,FALSE)</f>
        <v>Iquique</v>
      </c>
      <c r="I162" t="str">
        <f>VLOOKUP(F162,'[1]Sheet 1'!$B$2:$E$347,4,FALSE)</f>
        <v>Iquique</v>
      </c>
      <c r="J162" t="s">
        <v>145</v>
      </c>
      <c r="K162" s="3" t="s">
        <v>24</v>
      </c>
      <c r="L162" s="12" t="str">
        <f>VLOOKUP(K162,[2]Hoja4!$A$2:$C$443,2,FALSE)</f>
        <v>Intentional self-harm by other and unspecified firearm discharge</v>
      </c>
      <c r="M162" s="12" t="str">
        <f>VLOOKUP(K162,[2]Hoja4!$A$2:$C$443,3,FALSE)</f>
        <v>Industrial and construction area</v>
      </c>
      <c r="N162" s="1">
        <v>20.100000000000001</v>
      </c>
      <c r="O162" s="1">
        <v>25.7</v>
      </c>
      <c r="P162" s="1">
        <v>22.8</v>
      </c>
      <c r="Q162" s="1">
        <v>1011</v>
      </c>
      <c r="R162" s="1">
        <v>0</v>
      </c>
      <c r="S162" s="1">
        <v>75.400000000000006</v>
      </c>
      <c r="T162" s="5">
        <v>7.4399999999999994E-2</v>
      </c>
      <c r="U162" s="9">
        <v>6.0000000000000001E-3</v>
      </c>
    </row>
    <row r="163" spans="1:21" customFormat="1">
      <c r="A163">
        <v>1</v>
      </c>
      <c r="B163">
        <v>56</v>
      </c>
      <c r="C163">
        <v>28</v>
      </c>
      <c r="D163">
        <v>1</v>
      </c>
      <c r="E163">
        <v>2020</v>
      </c>
      <c r="F163">
        <v>7108</v>
      </c>
      <c r="G163" t="str">
        <f>VLOOKUP(F163,'[1]Sheet 1'!$B$2:$E$347,2,FALSE)</f>
        <v>Maule</v>
      </c>
      <c r="H163" t="str">
        <f>VLOOKUP(F163,'[1]Sheet 1'!$B$2:$E$347,3,FALSE)</f>
        <v>Talca</v>
      </c>
      <c r="I163" t="str">
        <f>VLOOKUP(F163,'[1]Sheet 1'!$B$2:$E$347,4,FALSE)</f>
        <v>Río Claro</v>
      </c>
      <c r="J163" t="s">
        <v>146</v>
      </c>
      <c r="K163" s="3" t="s">
        <v>3</v>
      </c>
      <c r="L163" s="12" t="str">
        <f>VLOOKUP(K163,[2]Hoja4!$A$2:$C$443,2,FALSE)</f>
        <v>Intentional self-poisoning by and exposure to pesticides</v>
      </c>
      <c r="M163" s="12" t="str">
        <f>VLOOKUP(K163,[2]Hoja4!$A$2:$C$443,3,FALSE)</f>
        <v>Unspecified place</v>
      </c>
      <c r="N163" s="1">
        <v>18.8</v>
      </c>
      <c r="O163" s="1">
        <v>33.299999999999997</v>
      </c>
      <c r="P163" s="1">
        <v>25.5</v>
      </c>
      <c r="Q163" s="1">
        <v>999.3</v>
      </c>
      <c r="R163" s="1">
        <v>0</v>
      </c>
      <c r="S163" s="1">
        <v>56</v>
      </c>
      <c r="T163" s="5">
        <v>7.4399999999999994E-2</v>
      </c>
      <c r="U163" s="9">
        <v>6.0000000000000001E-3</v>
      </c>
    </row>
    <row r="164" spans="1:21" customFormat="1">
      <c r="A164">
        <v>1</v>
      </c>
      <c r="B164">
        <v>44</v>
      </c>
      <c r="C164">
        <v>28</v>
      </c>
      <c r="D164">
        <v>1</v>
      </c>
      <c r="E164">
        <v>2020</v>
      </c>
      <c r="F164">
        <v>4304</v>
      </c>
      <c r="G164" t="str">
        <f>VLOOKUP(F164,'[1]Sheet 1'!$B$2:$E$347,2,FALSE)</f>
        <v>Coquimbo</v>
      </c>
      <c r="H164" t="str">
        <f>VLOOKUP(F164,'[1]Sheet 1'!$B$2:$E$347,3,FALSE)</f>
        <v>Limarí</v>
      </c>
      <c r="I164" t="str">
        <f>VLOOKUP(F164,'[1]Sheet 1'!$B$2:$E$347,4,FALSE)</f>
        <v>Punitaqui</v>
      </c>
      <c r="J164" t="s">
        <v>143</v>
      </c>
      <c r="K164" s="3" t="s">
        <v>5</v>
      </c>
      <c r="L164" s="12" t="str">
        <f>VLOOKUP(K164,[2]Hoja4!$A$2:$C$443,2,FALSE)</f>
        <v>Intentional self-harm by other and unspecified firearm discharge</v>
      </c>
      <c r="M164" s="12" t="str">
        <f>VLOOKUP(K164,[2]Hoja4!$A$2:$C$443,3,FALSE)</f>
        <v>At home</v>
      </c>
      <c r="N164" s="1">
        <v>14.1</v>
      </c>
      <c r="O164" s="1">
        <v>26.9</v>
      </c>
      <c r="P164" s="1">
        <v>19.8</v>
      </c>
      <c r="Q164" s="1">
        <v>978.2</v>
      </c>
      <c r="R164" s="1">
        <v>0</v>
      </c>
      <c r="S164" s="1">
        <v>77</v>
      </c>
      <c r="T164" s="5">
        <v>7.4399999999999994E-2</v>
      </c>
      <c r="U164" s="9">
        <v>6.0000000000000001E-3</v>
      </c>
    </row>
    <row r="165" spans="1:21" customFormat="1">
      <c r="A165">
        <v>1</v>
      </c>
      <c r="B165">
        <v>40</v>
      </c>
      <c r="C165">
        <v>28</v>
      </c>
      <c r="D165">
        <v>1</v>
      </c>
      <c r="E165">
        <v>2020</v>
      </c>
      <c r="F165">
        <v>5804</v>
      </c>
      <c r="G165" t="str">
        <f>VLOOKUP(F165,'[1]Sheet 1'!$B$2:$E$347,2,FALSE)</f>
        <v>Valparaíso</v>
      </c>
      <c r="H165" t="str">
        <f>VLOOKUP(F165,'[1]Sheet 1'!$B$2:$E$347,3,FALSE)</f>
        <v>Marga Marga</v>
      </c>
      <c r="I165" t="str">
        <f>VLOOKUP(F165,'[1]Sheet 1'!$B$2:$E$347,4,FALSE)</f>
        <v>Villa Alemana</v>
      </c>
      <c r="J165" t="s">
        <v>136</v>
      </c>
      <c r="K165" s="3" t="s">
        <v>4</v>
      </c>
      <c r="L165" s="12" t="str">
        <f>VLOOKUP(K165,[2]Hoja4!$A$2:$C$443,2,FALSE)</f>
        <v>Intentional self-harm by hanging, strangulation and suffocation</v>
      </c>
      <c r="M165" s="12" t="str">
        <f>VLOOKUP(K165,[2]Hoja4!$A$2:$C$443,3,FALSE)</f>
        <v>At home</v>
      </c>
      <c r="N165" s="1">
        <v>12</v>
      </c>
      <c r="O165" s="1">
        <v>22.4</v>
      </c>
      <c r="P165" s="1">
        <v>17</v>
      </c>
      <c r="Q165" s="1">
        <v>1011.6</v>
      </c>
      <c r="R165" s="1">
        <v>0</v>
      </c>
      <c r="S165" s="1">
        <v>78.099999999999994</v>
      </c>
      <c r="T165" s="5">
        <v>7.4399999999999994E-2</v>
      </c>
      <c r="U165" s="9">
        <v>6.0000000000000001E-3</v>
      </c>
    </row>
    <row r="166" spans="1:21" customFormat="1">
      <c r="A166">
        <v>1</v>
      </c>
      <c r="B166">
        <v>15</v>
      </c>
      <c r="C166">
        <v>28</v>
      </c>
      <c r="D166">
        <v>1</v>
      </c>
      <c r="E166">
        <v>2020</v>
      </c>
      <c r="F166">
        <v>13116</v>
      </c>
      <c r="G166" t="str">
        <f>VLOOKUP(F166,'[1]Sheet 1'!$B$2:$E$347,2,FALSE)</f>
        <v>Metropolitana de Santiago</v>
      </c>
      <c r="H166" t="str">
        <f>VLOOKUP(F166,'[1]Sheet 1'!$B$2:$E$347,3,FALSE)</f>
        <v>Santiago</v>
      </c>
      <c r="I166" t="str">
        <f>VLOOKUP(F166,'[1]Sheet 1'!$B$2:$E$347,4,FALSE)</f>
        <v>Lo Espejo</v>
      </c>
      <c r="J166" t="s">
        <v>136</v>
      </c>
      <c r="K166" s="3" t="s">
        <v>4</v>
      </c>
      <c r="L166" s="12" t="str">
        <f>VLOOKUP(K166,[2]Hoja4!$A$2:$C$443,2,FALSE)</f>
        <v>Intentional self-harm by hanging, strangulation and suffocation</v>
      </c>
      <c r="M166" s="12" t="str">
        <f>VLOOKUP(K166,[2]Hoja4!$A$2:$C$443,3,FALSE)</f>
        <v>At home</v>
      </c>
      <c r="N166" s="1">
        <v>14.9</v>
      </c>
      <c r="O166" s="1">
        <v>32.4</v>
      </c>
      <c r="P166" s="1">
        <v>23.9</v>
      </c>
      <c r="Q166" s="1">
        <v>953</v>
      </c>
      <c r="R166" s="1"/>
      <c r="S166" s="1">
        <v>46</v>
      </c>
      <c r="T166" s="5">
        <v>7.4399999999999994E-2</v>
      </c>
      <c r="U166" s="9">
        <v>6.0000000000000001E-3</v>
      </c>
    </row>
    <row r="167" spans="1:21" customFormat="1">
      <c r="A167">
        <v>1</v>
      </c>
      <c r="B167">
        <v>17</v>
      </c>
      <c r="C167">
        <v>28</v>
      </c>
      <c r="D167">
        <v>1</v>
      </c>
      <c r="E167">
        <v>2020</v>
      </c>
      <c r="F167">
        <v>13120</v>
      </c>
      <c r="G167" t="str">
        <f>VLOOKUP(F167,'[1]Sheet 1'!$B$2:$E$347,2,FALSE)</f>
        <v>Metropolitana de Santiago</v>
      </c>
      <c r="H167" t="str">
        <f>VLOOKUP(F167,'[1]Sheet 1'!$B$2:$E$347,3,FALSE)</f>
        <v>Santiago</v>
      </c>
      <c r="I167" t="str">
        <f>VLOOKUP(F167,'[1]Sheet 1'!$B$2:$E$347,4,FALSE)</f>
        <v>Ñuñoa</v>
      </c>
      <c r="J167" t="s">
        <v>136</v>
      </c>
      <c r="K167" s="3" t="s">
        <v>0</v>
      </c>
      <c r="L167" s="12" t="str">
        <f>VLOOKUP(K167,[2]Hoja4!$A$2:$C$443,2,FALSE)</f>
        <v>Intentional self-harm by hanging, strangulation and suffocation</v>
      </c>
      <c r="M167" s="12" t="str">
        <f>VLOOKUP(K167,[2]Hoja4!$A$2:$C$443,3,FALSE)</f>
        <v>Unspecified place</v>
      </c>
      <c r="N167" s="1">
        <v>14.9</v>
      </c>
      <c r="O167" s="1">
        <v>32.4</v>
      </c>
      <c r="P167" s="1">
        <v>23.9</v>
      </c>
      <c r="Q167" s="1">
        <v>953</v>
      </c>
      <c r="R167" s="1"/>
      <c r="S167" s="1">
        <v>46</v>
      </c>
      <c r="T167" s="5">
        <v>7.4399999999999994E-2</v>
      </c>
      <c r="U167" s="9">
        <v>6.0000000000000001E-3</v>
      </c>
    </row>
    <row r="168" spans="1:21" customFormat="1">
      <c r="A168">
        <v>1</v>
      </c>
      <c r="B168">
        <v>55</v>
      </c>
      <c r="C168">
        <v>29</v>
      </c>
      <c r="D168">
        <v>1</v>
      </c>
      <c r="E168">
        <v>2020</v>
      </c>
      <c r="F168">
        <v>5101</v>
      </c>
      <c r="G168" t="str">
        <f>VLOOKUP(F168,'[1]Sheet 1'!$B$2:$E$347,2,FALSE)</f>
        <v>Valparaíso</v>
      </c>
      <c r="H168" t="str">
        <f>VLOOKUP(F168,'[1]Sheet 1'!$B$2:$E$347,3,FALSE)</f>
        <v>Valparaíso</v>
      </c>
      <c r="I168" t="str">
        <f>VLOOKUP(F168,'[1]Sheet 1'!$B$2:$E$347,4,FALSE)</f>
        <v>Valparaíso</v>
      </c>
      <c r="J168" t="s">
        <v>136</v>
      </c>
      <c r="K168" s="3" t="s">
        <v>4</v>
      </c>
      <c r="L168" s="12" t="str">
        <f>VLOOKUP(K168,[2]Hoja4!$A$2:$C$443,2,FALSE)</f>
        <v>Intentional self-harm by hanging, strangulation and suffocation</v>
      </c>
      <c r="M168" s="12" t="str">
        <f>VLOOKUP(K168,[2]Hoja4!$A$2:$C$443,3,FALSE)</f>
        <v>At home</v>
      </c>
      <c r="N168" s="1">
        <v>14.2</v>
      </c>
      <c r="O168" s="1">
        <v>21.1</v>
      </c>
      <c r="P168" s="1">
        <v>17</v>
      </c>
      <c r="Q168" s="1">
        <v>976.9</v>
      </c>
      <c r="R168" s="1">
        <v>0</v>
      </c>
      <c r="S168" s="1">
        <v>83.5</v>
      </c>
      <c r="T168" s="5">
        <v>7.4399999999999994E-2</v>
      </c>
      <c r="U168" s="9">
        <v>6.0000000000000001E-3</v>
      </c>
    </row>
    <row r="169" spans="1:21" customFormat="1">
      <c r="A169">
        <v>1</v>
      </c>
      <c r="B169">
        <v>34</v>
      </c>
      <c r="C169">
        <v>29</v>
      </c>
      <c r="D169">
        <v>1</v>
      </c>
      <c r="E169">
        <v>2020</v>
      </c>
      <c r="F169">
        <v>10205</v>
      </c>
      <c r="G169" t="str">
        <f>VLOOKUP(F169,'[1]Sheet 1'!$B$2:$E$347,2,FALSE)</f>
        <v>Los Lagos</v>
      </c>
      <c r="H169" t="str">
        <f>VLOOKUP(F169,'[1]Sheet 1'!$B$2:$E$347,3,FALSE)</f>
        <v>Chiloé</v>
      </c>
      <c r="I169" t="str">
        <f>VLOOKUP(F169,'[1]Sheet 1'!$B$2:$E$347,4,FALSE)</f>
        <v>Dalcahue</v>
      </c>
      <c r="J169" t="s">
        <v>136</v>
      </c>
      <c r="K169" s="3" t="s">
        <v>4</v>
      </c>
      <c r="L169" s="12" t="str">
        <f>VLOOKUP(K169,[2]Hoja4!$A$2:$C$443,2,FALSE)</f>
        <v>Intentional self-harm by hanging, strangulation and suffocation</v>
      </c>
      <c r="M169" s="12" t="str">
        <f>VLOOKUP(K169,[2]Hoja4!$A$2:$C$443,3,FALSE)</f>
        <v>At home</v>
      </c>
      <c r="N169" s="1">
        <v>4.8</v>
      </c>
      <c r="O169" s="1">
        <v>16.7</v>
      </c>
      <c r="P169" s="1">
        <v>11</v>
      </c>
      <c r="Q169" s="1">
        <v>1002.8</v>
      </c>
      <c r="R169" s="1">
        <v>0</v>
      </c>
      <c r="S169" s="1">
        <v>66</v>
      </c>
      <c r="T169" s="5">
        <v>7.4399999999999994E-2</v>
      </c>
      <c r="U169" s="9">
        <v>6.0000000000000001E-3</v>
      </c>
    </row>
    <row r="170" spans="1:21" customFormat="1">
      <c r="A170">
        <v>1</v>
      </c>
      <c r="B170">
        <v>27</v>
      </c>
      <c r="C170">
        <v>29</v>
      </c>
      <c r="D170">
        <v>1</v>
      </c>
      <c r="E170">
        <v>2020</v>
      </c>
      <c r="F170">
        <v>9115</v>
      </c>
      <c r="G170" t="str">
        <f>VLOOKUP(F170,'[1]Sheet 1'!$B$2:$E$347,2,FALSE)</f>
        <v>La Araucanía</v>
      </c>
      <c r="H170" t="str">
        <f>VLOOKUP(F170,'[1]Sheet 1'!$B$2:$E$347,3,FALSE)</f>
        <v>Cautín</v>
      </c>
      <c r="I170" t="str">
        <f>VLOOKUP(F170,'[1]Sheet 1'!$B$2:$E$347,4,FALSE)</f>
        <v>Pucón</v>
      </c>
      <c r="J170" t="s">
        <v>136</v>
      </c>
      <c r="K170" s="3" t="s">
        <v>0</v>
      </c>
      <c r="L170" s="12" t="str">
        <f>VLOOKUP(K170,[2]Hoja4!$A$2:$C$443,2,FALSE)</f>
        <v>Intentional self-harm by hanging, strangulation and suffocation</v>
      </c>
      <c r="M170" s="12" t="str">
        <f>VLOOKUP(K170,[2]Hoja4!$A$2:$C$443,3,FALSE)</f>
        <v>Unspecified place</v>
      </c>
      <c r="N170" s="1">
        <v>5.7</v>
      </c>
      <c r="O170" s="1">
        <v>23</v>
      </c>
      <c r="P170" s="1">
        <v>14</v>
      </c>
      <c r="Q170" s="1">
        <v>1007.3</v>
      </c>
      <c r="R170" s="1">
        <v>0</v>
      </c>
      <c r="S170" s="1">
        <v>59.8</v>
      </c>
      <c r="T170" s="5">
        <v>7.4399999999999994E-2</v>
      </c>
      <c r="U170" s="9">
        <v>6.0000000000000001E-3</v>
      </c>
    </row>
    <row r="171" spans="1:21" customFormat="1">
      <c r="A171">
        <v>2</v>
      </c>
      <c r="B171">
        <v>84</v>
      </c>
      <c r="C171">
        <v>30</v>
      </c>
      <c r="D171">
        <v>1</v>
      </c>
      <c r="E171">
        <v>2020</v>
      </c>
      <c r="F171">
        <v>9105</v>
      </c>
      <c r="G171" t="str">
        <f>VLOOKUP(F171,'[1]Sheet 1'!$B$2:$E$347,2,FALSE)</f>
        <v>La Araucanía</v>
      </c>
      <c r="H171" t="str">
        <f>VLOOKUP(F171,'[1]Sheet 1'!$B$2:$E$347,3,FALSE)</f>
        <v>Cautín</v>
      </c>
      <c r="I171" t="str">
        <f>VLOOKUP(F171,'[1]Sheet 1'!$B$2:$E$347,4,FALSE)</f>
        <v>Freire</v>
      </c>
      <c r="J171" t="s">
        <v>136</v>
      </c>
      <c r="K171" s="3" t="s">
        <v>0</v>
      </c>
      <c r="L171" s="12" t="str">
        <f>VLOOKUP(K171,[2]Hoja4!$A$2:$C$443,2,FALSE)</f>
        <v>Intentional self-harm by hanging, strangulation and suffocation</v>
      </c>
      <c r="M171" s="12" t="str">
        <f>VLOOKUP(K171,[2]Hoja4!$A$2:$C$443,3,FALSE)</f>
        <v>Unspecified place</v>
      </c>
      <c r="N171" s="1">
        <v>3.5</v>
      </c>
      <c r="O171" s="1">
        <v>27.4</v>
      </c>
      <c r="P171" s="1">
        <v>14.4</v>
      </c>
      <c r="Q171" s="1">
        <v>1006.1</v>
      </c>
      <c r="R171" s="1">
        <v>0</v>
      </c>
      <c r="S171" s="1">
        <v>68.2</v>
      </c>
      <c r="T171" s="5">
        <v>7.4399999999999994E-2</v>
      </c>
      <c r="U171" s="9">
        <v>6.0000000000000001E-3</v>
      </c>
    </row>
    <row r="172" spans="1:21" customFormat="1">
      <c r="A172">
        <v>1</v>
      </c>
      <c r="B172">
        <v>58</v>
      </c>
      <c r="C172">
        <v>30</v>
      </c>
      <c r="D172">
        <v>1</v>
      </c>
      <c r="E172">
        <v>2020</v>
      </c>
      <c r="F172">
        <v>8101</v>
      </c>
      <c r="G172" t="str">
        <f>VLOOKUP(F172,'[1]Sheet 1'!$B$2:$E$347,2,FALSE)</f>
        <v>Biobío</v>
      </c>
      <c r="H172" t="str">
        <f>VLOOKUP(F172,'[1]Sheet 1'!$B$2:$E$347,3,FALSE)</f>
        <v>Concepción</v>
      </c>
      <c r="I172" t="str">
        <f>VLOOKUP(F172,'[1]Sheet 1'!$B$2:$E$347,4,FALSE)</f>
        <v>Concepción</v>
      </c>
      <c r="J172" t="s">
        <v>136</v>
      </c>
      <c r="K172" s="3" t="s">
        <v>4</v>
      </c>
      <c r="L172" s="12" t="str">
        <f>VLOOKUP(K172,[2]Hoja4!$A$2:$C$443,2,FALSE)</f>
        <v>Intentional self-harm by hanging, strangulation and suffocation</v>
      </c>
      <c r="M172" s="12" t="str">
        <f>VLOOKUP(K172,[2]Hoja4!$A$2:$C$443,3,FALSE)</f>
        <v>At home</v>
      </c>
      <c r="N172" s="1">
        <v>9.4</v>
      </c>
      <c r="O172" s="1">
        <v>23.5</v>
      </c>
      <c r="P172" s="1">
        <v>16.5</v>
      </c>
      <c r="Q172" s="1">
        <v>1014.8</v>
      </c>
      <c r="R172" s="1">
        <v>0</v>
      </c>
      <c r="S172" s="1">
        <v>62.5</v>
      </c>
      <c r="T172" s="5">
        <v>7.4399999999999994E-2</v>
      </c>
      <c r="U172" s="9">
        <v>6.0000000000000001E-3</v>
      </c>
    </row>
    <row r="173" spans="1:21" customFormat="1">
      <c r="A173">
        <v>1</v>
      </c>
      <c r="B173">
        <v>53</v>
      </c>
      <c r="C173">
        <v>30</v>
      </c>
      <c r="D173">
        <v>1</v>
      </c>
      <c r="E173">
        <v>2020</v>
      </c>
      <c r="F173">
        <v>13501</v>
      </c>
      <c r="G173" t="str">
        <f>VLOOKUP(F173,'[1]Sheet 1'!$B$2:$E$347,2,FALSE)</f>
        <v>Metropolitana de Santiago</v>
      </c>
      <c r="H173" t="str">
        <f>VLOOKUP(F173,'[1]Sheet 1'!$B$2:$E$347,3,FALSE)</f>
        <v>Melipilla</v>
      </c>
      <c r="I173" t="str">
        <f>VLOOKUP(F173,'[1]Sheet 1'!$B$2:$E$347,4,FALSE)</f>
        <v>Melipilla</v>
      </c>
      <c r="J173" t="s">
        <v>136</v>
      </c>
      <c r="K173" s="3" t="s">
        <v>4</v>
      </c>
      <c r="L173" s="12" t="str">
        <f>VLOOKUP(K173,[2]Hoja4!$A$2:$C$443,2,FALSE)</f>
        <v>Intentional self-harm by hanging, strangulation and suffocation</v>
      </c>
      <c r="M173" s="12" t="str">
        <f>VLOOKUP(K173,[2]Hoja4!$A$2:$C$443,3,FALSE)</f>
        <v>At home</v>
      </c>
      <c r="N173" s="1">
        <v>11.2</v>
      </c>
      <c r="O173" s="1">
        <v>31</v>
      </c>
      <c r="P173" s="1">
        <v>20</v>
      </c>
      <c r="Q173" s="1">
        <v>1014.6</v>
      </c>
      <c r="R173" s="1">
        <v>0</v>
      </c>
      <c r="S173" s="1">
        <v>49.5</v>
      </c>
      <c r="T173" s="5">
        <v>7.4399999999999994E-2</v>
      </c>
      <c r="U173" s="9">
        <v>6.0000000000000001E-3</v>
      </c>
    </row>
    <row r="174" spans="1:21" customFormat="1">
      <c r="A174">
        <v>1</v>
      </c>
      <c r="B174">
        <v>52</v>
      </c>
      <c r="C174">
        <v>30</v>
      </c>
      <c r="D174">
        <v>1</v>
      </c>
      <c r="E174">
        <v>2020</v>
      </c>
      <c r="F174">
        <v>13301</v>
      </c>
      <c r="G174" t="str">
        <f>VLOOKUP(F174,'[1]Sheet 1'!$B$2:$E$347,2,FALSE)</f>
        <v>Metropolitana de Santiago</v>
      </c>
      <c r="H174" t="str">
        <f>VLOOKUP(F174,'[1]Sheet 1'!$B$2:$E$347,3,FALSE)</f>
        <v>Chacabuco</v>
      </c>
      <c r="I174" t="str">
        <f>VLOOKUP(F174,'[1]Sheet 1'!$B$2:$E$347,4,FALSE)</f>
        <v>Colina</v>
      </c>
      <c r="J174" t="s">
        <v>136</v>
      </c>
      <c r="K174" s="3" t="s">
        <v>0</v>
      </c>
      <c r="L174" s="12" t="str">
        <f>VLOOKUP(K174,[2]Hoja4!$A$2:$C$443,2,FALSE)</f>
        <v>Intentional self-harm by hanging, strangulation and suffocation</v>
      </c>
      <c r="M174" s="12" t="str">
        <f>VLOOKUP(K174,[2]Hoja4!$A$2:$C$443,3,FALSE)</f>
        <v>Unspecified place</v>
      </c>
      <c r="N174" s="1">
        <v>13.9</v>
      </c>
      <c r="O174" s="1">
        <v>33.5</v>
      </c>
      <c r="P174" s="1">
        <v>24</v>
      </c>
      <c r="Q174" s="1">
        <v>936.6</v>
      </c>
      <c r="R174" s="1"/>
      <c r="S174" s="1">
        <v>33.799999999999997</v>
      </c>
      <c r="T174" s="5">
        <v>7.4399999999999994E-2</v>
      </c>
      <c r="U174" s="9">
        <v>6.0000000000000001E-3</v>
      </c>
    </row>
    <row r="175" spans="1:21" customFormat="1">
      <c r="A175">
        <v>1</v>
      </c>
      <c r="B175">
        <v>34</v>
      </c>
      <c r="C175">
        <v>30</v>
      </c>
      <c r="D175">
        <v>1</v>
      </c>
      <c r="E175">
        <v>2020</v>
      </c>
      <c r="F175">
        <v>15101</v>
      </c>
      <c r="G175" t="str">
        <f>VLOOKUP(F175,'[1]Sheet 1'!$B$2:$E$347,2,FALSE)</f>
        <v>Arica y Parinacota</v>
      </c>
      <c r="H175" t="str">
        <f>VLOOKUP(F175,'[1]Sheet 1'!$B$2:$E$347,3,FALSE)</f>
        <v>Arica</v>
      </c>
      <c r="I175" t="str">
        <f>VLOOKUP(F175,'[1]Sheet 1'!$B$2:$E$347,4,FALSE)</f>
        <v>Arica</v>
      </c>
      <c r="J175" t="s">
        <v>142</v>
      </c>
      <c r="K175" s="3" t="s">
        <v>11</v>
      </c>
      <c r="L175" s="12" t="str">
        <f>VLOOKUP(K175,[2]Hoja4!$A$2:$C$443,2,FALSE)</f>
        <v>Intentional self-harm by other and unspecified firearm discharge</v>
      </c>
      <c r="M175" s="12" t="str">
        <f>VLOOKUP(K175,[2]Hoja4!$A$2:$C$443,3,FALSE)</f>
        <v>Unspecified place</v>
      </c>
      <c r="N175" s="1">
        <v>22.8</v>
      </c>
      <c r="O175" s="1">
        <v>27.8</v>
      </c>
      <c r="P175" s="1">
        <v>24.8</v>
      </c>
      <c r="Q175" s="1">
        <v>1008.8</v>
      </c>
      <c r="R175" s="1">
        <v>0</v>
      </c>
      <c r="S175" s="1">
        <v>62.2</v>
      </c>
      <c r="T175" s="5">
        <v>7.4399999999999994E-2</v>
      </c>
      <c r="U175" s="9">
        <v>6.0000000000000001E-3</v>
      </c>
    </row>
    <row r="176" spans="1:21" customFormat="1">
      <c r="A176">
        <v>1</v>
      </c>
      <c r="B176">
        <v>31</v>
      </c>
      <c r="C176">
        <v>30</v>
      </c>
      <c r="D176">
        <v>1</v>
      </c>
      <c r="E176">
        <v>2020</v>
      </c>
      <c r="F176">
        <v>15101</v>
      </c>
      <c r="G176" t="str">
        <f>VLOOKUP(F176,'[1]Sheet 1'!$B$2:$E$347,2,FALSE)</f>
        <v>Arica y Parinacota</v>
      </c>
      <c r="H176" t="str">
        <f>VLOOKUP(F176,'[1]Sheet 1'!$B$2:$E$347,3,FALSE)</f>
        <v>Arica</v>
      </c>
      <c r="I176" t="str">
        <f>VLOOKUP(F176,'[1]Sheet 1'!$B$2:$E$347,4,FALSE)</f>
        <v>Arica</v>
      </c>
      <c r="J176" t="s">
        <v>136</v>
      </c>
      <c r="K176" s="3" t="s">
        <v>4</v>
      </c>
      <c r="L176" s="12" t="str">
        <f>VLOOKUP(K176,[2]Hoja4!$A$2:$C$443,2,FALSE)</f>
        <v>Intentional self-harm by hanging, strangulation and suffocation</v>
      </c>
      <c r="M176" s="12" t="str">
        <f>VLOOKUP(K176,[2]Hoja4!$A$2:$C$443,3,FALSE)</f>
        <v>At home</v>
      </c>
      <c r="N176" s="1">
        <v>22.8</v>
      </c>
      <c r="O176" s="1">
        <v>27.8</v>
      </c>
      <c r="P176" s="1">
        <v>24.8</v>
      </c>
      <c r="Q176" s="1">
        <v>1008.8</v>
      </c>
      <c r="R176" s="1">
        <v>0</v>
      </c>
      <c r="S176" s="1">
        <v>62.2</v>
      </c>
      <c r="T176" s="5">
        <v>7.4399999999999994E-2</v>
      </c>
      <c r="U176" s="9">
        <v>6.0000000000000001E-3</v>
      </c>
    </row>
    <row r="177" spans="1:21" customFormat="1">
      <c r="A177">
        <v>1</v>
      </c>
      <c r="B177">
        <v>67</v>
      </c>
      <c r="C177">
        <v>31</v>
      </c>
      <c r="D177">
        <v>1</v>
      </c>
      <c r="E177">
        <v>2020</v>
      </c>
      <c r="F177">
        <v>4201</v>
      </c>
      <c r="G177" t="str">
        <f>VLOOKUP(F177,'[1]Sheet 1'!$B$2:$E$347,2,FALSE)</f>
        <v>Coquimbo</v>
      </c>
      <c r="H177" t="str">
        <f>VLOOKUP(F177,'[1]Sheet 1'!$B$2:$E$347,3,FALSE)</f>
        <v>Choapa</v>
      </c>
      <c r="I177" t="str">
        <f>VLOOKUP(F177,'[1]Sheet 1'!$B$2:$E$347,4,FALSE)</f>
        <v>Illapel</v>
      </c>
      <c r="J177" t="s">
        <v>136</v>
      </c>
      <c r="K177" s="3" t="s">
        <v>4</v>
      </c>
      <c r="L177" s="12" t="str">
        <f>VLOOKUP(K177,[2]Hoja4!$A$2:$C$443,2,FALSE)</f>
        <v>Intentional self-harm by hanging, strangulation and suffocation</v>
      </c>
      <c r="M177" s="12" t="str">
        <f>VLOOKUP(K177,[2]Hoja4!$A$2:$C$443,3,FALSE)</f>
        <v>At home</v>
      </c>
      <c r="N177" s="1"/>
      <c r="O177" s="1"/>
      <c r="P177" s="1"/>
      <c r="Q177" s="1"/>
      <c r="R177" s="1"/>
      <c r="S177" s="1"/>
      <c r="T177" s="5">
        <v>7.4399999999999994E-2</v>
      </c>
      <c r="U177" s="9">
        <v>6.0000000000000001E-3</v>
      </c>
    </row>
    <row r="178" spans="1:21" customFormat="1">
      <c r="A178">
        <v>1</v>
      </c>
      <c r="B178">
        <v>63</v>
      </c>
      <c r="C178">
        <v>31</v>
      </c>
      <c r="D178">
        <v>1</v>
      </c>
      <c r="E178">
        <v>2020</v>
      </c>
      <c r="F178">
        <v>13604</v>
      </c>
      <c r="G178" t="str">
        <f>VLOOKUP(F178,'[1]Sheet 1'!$B$2:$E$347,2,FALSE)</f>
        <v>Metropolitana de Santiago</v>
      </c>
      <c r="H178" t="str">
        <f>VLOOKUP(F178,'[1]Sheet 1'!$B$2:$E$347,3,FALSE)</f>
        <v>Talagante</v>
      </c>
      <c r="I178" t="str">
        <f>VLOOKUP(F178,'[1]Sheet 1'!$B$2:$E$347,4,FALSE)</f>
        <v>Padre Hurtado</v>
      </c>
      <c r="J178" t="s">
        <v>136</v>
      </c>
      <c r="K178" s="3" t="s">
        <v>4</v>
      </c>
      <c r="L178" s="12" t="str">
        <f>VLOOKUP(K178,[2]Hoja4!$A$2:$C$443,2,FALSE)</f>
        <v>Intentional self-harm by hanging, strangulation and suffocation</v>
      </c>
      <c r="M178" s="12" t="str">
        <f>VLOOKUP(K178,[2]Hoja4!$A$2:$C$443,3,FALSE)</f>
        <v>At home</v>
      </c>
      <c r="N178" s="1">
        <v>11.2</v>
      </c>
      <c r="O178" s="1">
        <v>32.200000000000003</v>
      </c>
      <c r="P178" s="1">
        <v>21.5</v>
      </c>
      <c r="Q178" s="1">
        <v>1010.5</v>
      </c>
      <c r="R178" s="1">
        <v>0</v>
      </c>
      <c r="S178" s="1">
        <v>60</v>
      </c>
      <c r="T178" s="5">
        <v>7.4399999999999994E-2</v>
      </c>
      <c r="U178" s="9">
        <v>6.0000000000000001E-3</v>
      </c>
    </row>
    <row r="179" spans="1:21" customFormat="1">
      <c r="A179">
        <v>1</v>
      </c>
      <c r="B179">
        <v>61</v>
      </c>
      <c r="C179">
        <v>31</v>
      </c>
      <c r="D179">
        <v>1</v>
      </c>
      <c r="E179">
        <v>2020</v>
      </c>
      <c r="F179">
        <v>10109</v>
      </c>
      <c r="G179" t="str">
        <f>VLOOKUP(F179,'[1]Sheet 1'!$B$2:$E$347,2,FALSE)</f>
        <v>Los Lagos</v>
      </c>
      <c r="H179" t="str">
        <f>VLOOKUP(F179,'[1]Sheet 1'!$B$2:$E$347,3,FALSE)</f>
        <v>Llanquihue</v>
      </c>
      <c r="I179" t="str">
        <f>VLOOKUP(F179,'[1]Sheet 1'!$B$2:$E$347,4,FALSE)</f>
        <v>Puerto Varas</v>
      </c>
      <c r="J179" t="s">
        <v>136</v>
      </c>
      <c r="K179" s="3" t="s">
        <v>0</v>
      </c>
      <c r="L179" s="12" t="str">
        <f>VLOOKUP(K179,[2]Hoja4!$A$2:$C$443,2,FALSE)</f>
        <v>Intentional self-harm by hanging, strangulation and suffocation</v>
      </c>
      <c r="M179" s="12" t="str">
        <f>VLOOKUP(K179,[2]Hoja4!$A$2:$C$443,3,FALSE)</f>
        <v>Unspecified place</v>
      </c>
      <c r="N179" s="1">
        <v>15.2</v>
      </c>
      <c r="O179" s="1">
        <v>23.9</v>
      </c>
      <c r="P179" s="1">
        <v>17.899999999999999</v>
      </c>
      <c r="Q179" s="1">
        <v>1005.9</v>
      </c>
      <c r="R179" s="1">
        <v>1</v>
      </c>
      <c r="S179" s="1">
        <v>83.8</v>
      </c>
      <c r="T179" s="5">
        <v>7.4399999999999994E-2</v>
      </c>
      <c r="U179" s="9">
        <v>6.0000000000000001E-3</v>
      </c>
    </row>
    <row r="180" spans="1:21" customFormat="1">
      <c r="A180">
        <v>1</v>
      </c>
      <c r="B180">
        <v>54</v>
      </c>
      <c r="C180">
        <v>31</v>
      </c>
      <c r="D180">
        <v>1</v>
      </c>
      <c r="E180">
        <v>2020</v>
      </c>
      <c r="F180">
        <v>6306</v>
      </c>
      <c r="G180" t="str">
        <f>VLOOKUP(F180,'[1]Sheet 1'!$B$2:$E$347,2,FALSE)</f>
        <v>Libertador General Bernardo O'Higgins</v>
      </c>
      <c r="H180" t="str">
        <f>VLOOKUP(F180,'[1]Sheet 1'!$B$2:$E$347,3,FALSE)</f>
        <v>Colchagua</v>
      </c>
      <c r="I180" t="str">
        <f>VLOOKUP(F180,'[1]Sheet 1'!$B$2:$E$347,4,FALSE)</f>
        <v>Palmilla</v>
      </c>
      <c r="J180" t="s">
        <v>136</v>
      </c>
      <c r="K180" s="3" t="s">
        <v>0</v>
      </c>
      <c r="L180" s="12" t="str">
        <f>VLOOKUP(K180,[2]Hoja4!$A$2:$C$443,2,FALSE)</f>
        <v>Intentional self-harm by hanging, strangulation and suffocation</v>
      </c>
      <c r="M180" s="12" t="str">
        <f>VLOOKUP(K180,[2]Hoja4!$A$2:$C$443,3,FALSE)</f>
        <v>Unspecified place</v>
      </c>
      <c r="N180" s="1">
        <v>11.9</v>
      </c>
      <c r="O180" s="1">
        <v>33.700000000000003</v>
      </c>
      <c r="P180" s="1">
        <v>22.5</v>
      </c>
      <c r="Q180" s="1">
        <v>978.4</v>
      </c>
      <c r="R180" s="1">
        <v>0</v>
      </c>
      <c r="S180" s="1">
        <v>49.5</v>
      </c>
      <c r="T180" s="5">
        <v>7.4399999999999994E-2</v>
      </c>
      <c r="U180" s="9">
        <v>6.0000000000000001E-3</v>
      </c>
    </row>
    <row r="181" spans="1:21" customFormat="1">
      <c r="A181">
        <v>1</v>
      </c>
      <c r="B181">
        <v>47</v>
      </c>
      <c r="C181">
        <v>31</v>
      </c>
      <c r="D181">
        <v>1</v>
      </c>
      <c r="E181">
        <v>2020</v>
      </c>
      <c r="F181">
        <v>3101</v>
      </c>
      <c r="G181" t="str">
        <f>VLOOKUP(F181,'[1]Sheet 1'!$B$2:$E$347,2,FALSE)</f>
        <v>Atacama</v>
      </c>
      <c r="H181" t="str">
        <f>VLOOKUP(F181,'[1]Sheet 1'!$B$2:$E$347,3,FALSE)</f>
        <v>Copiapó</v>
      </c>
      <c r="I181" t="str">
        <f>VLOOKUP(F181,'[1]Sheet 1'!$B$2:$E$347,4,FALSE)</f>
        <v>Copiapó</v>
      </c>
      <c r="J181" t="s">
        <v>136</v>
      </c>
      <c r="K181" s="3" t="s">
        <v>13</v>
      </c>
      <c r="L181" s="12" t="str">
        <f>VLOOKUP(K181,[2]Hoja4!$A$2:$C$443,2,FALSE)</f>
        <v>Intentional self-harm by hanging, strangulation and suffocation</v>
      </c>
      <c r="M181" s="12" t="str">
        <f>VLOOKUP(K181,[2]Hoja4!$A$2:$C$443,3,FALSE)</f>
        <v>Other specified places</v>
      </c>
      <c r="N181" s="1">
        <v>17.600000000000001</v>
      </c>
      <c r="O181" s="1">
        <v>24.3</v>
      </c>
      <c r="P181" s="1">
        <v>19.899999999999999</v>
      </c>
      <c r="Q181" s="1">
        <v>992.3</v>
      </c>
      <c r="R181" s="1">
        <v>0</v>
      </c>
      <c r="S181" s="1">
        <v>68.8</v>
      </c>
      <c r="T181" s="5">
        <v>7.4399999999999994E-2</v>
      </c>
      <c r="U181" s="9">
        <v>6.0000000000000001E-3</v>
      </c>
    </row>
    <row r="182" spans="1:21" customFormat="1">
      <c r="A182">
        <v>1</v>
      </c>
      <c r="B182">
        <v>41</v>
      </c>
      <c r="C182">
        <v>31</v>
      </c>
      <c r="D182">
        <v>1</v>
      </c>
      <c r="E182">
        <v>2020</v>
      </c>
      <c r="F182">
        <v>13124</v>
      </c>
      <c r="G182" t="str">
        <f>VLOOKUP(F182,'[1]Sheet 1'!$B$2:$E$347,2,FALSE)</f>
        <v>Metropolitana de Santiago</v>
      </c>
      <c r="H182" t="str">
        <f>VLOOKUP(F182,'[1]Sheet 1'!$B$2:$E$347,3,FALSE)</f>
        <v>Santiago</v>
      </c>
      <c r="I182" t="str">
        <f>VLOOKUP(F182,'[1]Sheet 1'!$B$2:$E$347,4,FALSE)</f>
        <v>Pudahuel</v>
      </c>
      <c r="J182" t="s">
        <v>136</v>
      </c>
      <c r="K182" s="3" t="s">
        <v>0</v>
      </c>
      <c r="L182" s="12" t="str">
        <f>VLOOKUP(K182,[2]Hoja4!$A$2:$C$443,2,FALSE)</f>
        <v>Intentional self-harm by hanging, strangulation and suffocation</v>
      </c>
      <c r="M182" s="12" t="str">
        <f>VLOOKUP(K182,[2]Hoja4!$A$2:$C$443,3,FALSE)</f>
        <v>Unspecified place</v>
      </c>
      <c r="N182" s="1">
        <v>13.7</v>
      </c>
      <c r="O182" s="1">
        <v>33.5</v>
      </c>
      <c r="P182" s="1">
        <v>23.7</v>
      </c>
      <c r="Q182" s="1">
        <v>954.2</v>
      </c>
      <c r="R182" s="1"/>
      <c r="S182" s="1">
        <v>40</v>
      </c>
      <c r="T182" s="5">
        <v>7.4399999999999994E-2</v>
      </c>
      <c r="U182" s="9">
        <v>6.0000000000000001E-3</v>
      </c>
    </row>
    <row r="183" spans="1:21" customFormat="1">
      <c r="A183">
        <v>2</v>
      </c>
      <c r="B183">
        <v>40</v>
      </c>
      <c r="C183">
        <v>31</v>
      </c>
      <c r="D183">
        <v>1</v>
      </c>
      <c r="E183">
        <v>2020</v>
      </c>
      <c r="F183">
        <v>13401</v>
      </c>
      <c r="G183" t="str">
        <f>VLOOKUP(F183,'[1]Sheet 1'!$B$2:$E$347,2,FALSE)</f>
        <v>Metropolitana de Santiago</v>
      </c>
      <c r="H183" t="str">
        <f>VLOOKUP(F183,'[1]Sheet 1'!$B$2:$E$347,3,FALSE)</f>
        <v>Maipo</v>
      </c>
      <c r="I183" t="str">
        <f>VLOOKUP(F183,'[1]Sheet 1'!$B$2:$E$347,4,FALSE)</f>
        <v>San Bernardo</v>
      </c>
      <c r="J183" t="s">
        <v>136</v>
      </c>
      <c r="K183" s="3" t="s">
        <v>0</v>
      </c>
      <c r="L183" s="12" t="str">
        <f>VLOOKUP(K183,[2]Hoja4!$A$2:$C$443,2,FALSE)</f>
        <v>Intentional self-harm by hanging, strangulation and suffocation</v>
      </c>
      <c r="M183" s="12" t="str">
        <f>VLOOKUP(K183,[2]Hoja4!$A$2:$C$443,3,FALSE)</f>
        <v>Unspecified place</v>
      </c>
      <c r="N183" s="1">
        <v>11.1</v>
      </c>
      <c r="O183" s="1">
        <v>33.299999999999997</v>
      </c>
      <c r="P183" s="1">
        <v>21.8</v>
      </c>
      <c r="Q183" s="1">
        <v>963.2</v>
      </c>
      <c r="R183" s="1">
        <v>0</v>
      </c>
      <c r="S183" s="1">
        <v>48.1</v>
      </c>
      <c r="T183" s="5">
        <v>7.4399999999999994E-2</v>
      </c>
      <c r="U183" s="9">
        <v>6.0000000000000001E-3</v>
      </c>
    </row>
    <row r="184" spans="1:21" customFormat="1">
      <c r="A184">
        <v>1</v>
      </c>
      <c r="B184">
        <v>36</v>
      </c>
      <c r="C184">
        <v>31</v>
      </c>
      <c r="D184">
        <v>1</v>
      </c>
      <c r="E184">
        <v>2020</v>
      </c>
      <c r="F184">
        <v>5601</v>
      </c>
      <c r="G184" t="str">
        <f>VLOOKUP(F184,'[1]Sheet 1'!$B$2:$E$347,2,FALSE)</f>
        <v>Valparaíso</v>
      </c>
      <c r="H184" t="str">
        <f>VLOOKUP(F184,'[1]Sheet 1'!$B$2:$E$347,3,FALSE)</f>
        <v>San Antonio</v>
      </c>
      <c r="I184" t="str">
        <f>VLOOKUP(F184,'[1]Sheet 1'!$B$2:$E$347,4,FALSE)</f>
        <v>San Antonio</v>
      </c>
      <c r="J184" t="s">
        <v>136</v>
      </c>
      <c r="K184" s="3" t="s">
        <v>4</v>
      </c>
      <c r="L184" s="12" t="str">
        <f>VLOOKUP(K184,[2]Hoja4!$A$2:$C$443,2,FALSE)</f>
        <v>Intentional self-harm by hanging, strangulation and suffocation</v>
      </c>
      <c r="M184" s="12" t="str">
        <f>VLOOKUP(K184,[2]Hoja4!$A$2:$C$443,3,FALSE)</f>
        <v>At home</v>
      </c>
      <c r="N184" s="1">
        <v>12.8</v>
      </c>
      <c r="O184" s="1">
        <v>21.5</v>
      </c>
      <c r="P184" s="1">
        <v>16.8</v>
      </c>
      <c r="Q184" s="1">
        <v>1008</v>
      </c>
      <c r="R184" s="1">
        <v>0</v>
      </c>
      <c r="S184" s="1">
        <v>83.8</v>
      </c>
      <c r="T184" s="5">
        <v>7.4399999999999994E-2</v>
      </c>
      <c r="U184" s="9">
        <v>6.0000000000000001E-3</v>
      </c>
    </row>
    <row r="185" spans="1:21" customFormat="1">
      <c r="A185">
        <v>2</v>
      </c>
      <c r="B185">
        <v>16</v>
      </c>
      <c r="C185">
        <v>31</v>
      </c>
      <c r="D185">
        <v>1</v>
      </c>
      <c r="E185">
        <v>2020</v>
      </c>
      <c r="F185">
        <v>5601</v>
      </c>
      <c r="G185" t="str">
        <f>VLOOKUP(F185,'[1]Sheet 1'!$B$2:$E$347,2,FALSE)</f>
        <v>Valparaíso</v>
      </c>
      <c r="H185" t="str">
        <f>VLOOKUP(F185,'[1]Sheet 1'!$B$2:$E$347,3,FALSE)</f>
        <v>San Antonio</v>
      </c>
      <c r="I185" t="str">
        <f>VLOOKUP(F185,'[1]Sheet 1'!$B$2:$E$347,4,FALSE)</f>
        <v>San Antonio</v>
      </c>
      <c r="J185" t="s">
        <v>136</v>
      </c>
      <c r="K185" s="3" t="s">
        <v>4</v>
      </c>
      <c r="L185" s="12" t="str">
        <f>VLOOKUP(K185,[2]Hoja4!$A$2:$C$443,2,FALSE)</f>
        <v>Intentional self-harm by hanging, strangulation and suffocation</v>
      </c>
      <c r="M185" s="12" t="str">
        <f>VLOOKUP(K185,[2]Hoja4!$A$2:$C$443,3,FALSE)</f>
        <v>At home</v>
      </c>
      <c r="N185" s="1">
        <v>12.8</v>
      </c>
      <c r="O185" s="1">
        <v>21.5</v>
      </c>
      <c r="P185" s="1">
        <v>16.8</v>
      </c>
      <c r="Q185" s="1">
        <v>1008</v>
      </c>
      <c r="R185" s="1">
        <v>0</v>
      </c>
      <c r="S185" s="1">
        <v>83.8</v>
      </c>
      <c r="T185" s="5">
        <v>7.4399999999999994E-2</v>
      </c>
      <c r="U185" s="9">
        <v>6.0000000000000001E-3</v>
      </c>
    </row>
    <row r="186" spans="1:21" customFormat="1">
      <c r="A186">
        <v>1</v>
      </c>
      <c r="B186">
        <v>16</v>
      </c>
      <c r="C186">
        <v>31</v>
      </c>
      <c r="D186">
        <v>1</v>
      </c>
      <c r="E186">
        <v>2020</v>
      </c>
      <c r="F186">
        <v>4101</v>
      </c>
      <c r="G186" t="str">
        <f>VLOOKUP(F186,'[1]Sheet 1'!$B$2:$E$347,2,FALSE)</f>
        <v>Coquimbo</v>
      </c>
      <c r="H186" t="str">
        <f>VLOOKUP(F186,'[1]Sheet 1'!$B$2:$E$347,3,FALSE)</f>
        <v>Elqui</v>
      </c>
      <c r="I186" t="str">
        <f>VLOOKUP(F186,'[1]Sheet 1'!$B$2:$E$347,4,FALSE)</f>
        <v>La Serena</v>
      </c>
      <c r="J186" t="s">
        <v>147</v>
      </c>
      <c r="K186" s="3" t="s">
        <v>39</v>
      </c>
      <c r="L186" s="12" t="str">
        <f>VLOOKUP(K186,[2]Hoja4!$A$2:$C$443,2,FALSE)</f>
        <v>Intentional self-harm by smoke, fire and flames</v>
      </c>
      <c r="M186" s="12" t="str">
        <f>VLOOKUP(K186,[2]Hoja4!$A$2:$C$443,3,FALSE)</f>
        <v>Street and highway</v>
      </c>
      <c r="N186" s="1">
        <v>16.600000000000001</v>
      </c>
      <c r="O186" s="1">
        <v>21.2</v>
      </c>
      <c r="P186" s="1">
        <v>18.100000000000001</v>
      </c>
      <c r="Q186" s="1">
        <v>998.9</v>
      </c>
      <c r="R186" s="1">
        <v>0</v>
      </c>
      <c r="S186" s="1">
        <v>79.2</v>
      </c>
      <c r="T186" s="5">
        <v>7.4399999999999994E-2</v>
      </c>
      <c r="U186" s="9">
        <v>6.0000000000000001E-3</v>
      </c>
    </row>
    <row r="187" spans="1:21" customFormat="1">
      <c r="A187">
        <v>1</v>
      </c>
      <c r="B187">
        <v>76</v>
      </c>
      <c r="C187">
        <v>1</v>
      </c>
      <c r="D187">
        <v>2</v>
      </c>
      <c r="E187">
        <v>2020</v>
      </c>
      <c r="F187">
        <v>9206</v>
      </c>
      <c r="G187" t="str">
        <f>VLOOKUP(F187,'[1]Sheet 1'!$B$2:$E$347,2,FALSE)</f>
        <v>La Araucanía</v>
      </c>
      <c r="H187" t="str">
        <f>VLOOKUP(F187,'[1]Sheet 1'!$B$2:$E$347,3,FALSE)</f>
        <v>Malleco</v>
      </c>
      <c r="I187" t="str">
        <f>VLOOKUP(F187,'[1]Sheet 1'!$B$2:$E$347,4,FALSE)</f>
        <v>Los Sauces</v>
      </c>
      <c r="J187" t="s">
        <v>136</v>
      </c>
      <c r="K187" s="3" t="s">
        <v>4</v>
      </c>
      <c r="L187" s="12" t="str">
        <f>VLOOKUP(K187,[2]Hoja4!$A$2:$C$443,2,FALSE)</f>
        <v>Intentional self-harm by hanging, strangulation and suffocation</v>
      </c>
      <c r="M187" s="12" t="str">
        <f>VLOOKUP(K187,[2]Hoja4!$A$2:$C$443,3,FALSE)</f>
        <v>At home</v>
      </c>
      <c r="N187" s="1">
        <v>13.3</v>
      </c>
      <c r="O187" s="1">
        <v>29</v>
      </c>
      <c r="P187" s="1">
        <v>21.2</v>
      </c>
      <c r="Q187" s="1">
        <v>1006.1</v>
      </c>
      <c r="R187" s="1">
        <v>0</v>
      </c>
      <c r="S187" s="1">
        <v>63.4</v>
      </c>
      <c r="T187" s="5">
        <v>7.8100000000000003E-2</v>
      </c>
      <c r="U187" s="10">
        <v>4.0000000000000001E-3</v>
      </c>
    </row>
    <row r="188" spans="1:21" customFormat="1">
      <c r="A188">
        <v>1</v>
      </c>
      <c r="B188">
        <v>86</v>
      </c>
      <c r="C188">
        <v>1</v>
      </c>
      <c r="D188">
        <v>2</v>
      </c>
      <c r="E188">
        <v>2020</v>
      </c>
      <c r="F188">
        <v>7305</v>
      </c>
      <c r="G188" t="str">
        <f>VLOOKUP(F188,'[1]Sheet 1'!$B$2:$E$347,2,FALSE)</f>
        <v>Maule</v>
      </c>
      <c r="H188" t="str">
        <f>VLOOKUP(F188,'[1]Sheet 1'!$B$2:$E$347,3,FALSE)</f>
        <v>Curicó</v>
      </c>
      <c r="I188" t="str">
        <f>VLOOKUP(F188,'[1]Sheet 1'!$B$2:$E$347,4,FALSE)</f>
        <v>Rauco</v>
      </c>
      <c r="J188" t="s">
        <v>136</v>
      </c>
      <c r="K188" s="3" t="s">
        <v>4</v>
      </c>
      <c r="L188" s="12" t="str">
        <f>VLOOKUP(K188,[2]Hoja4!$A$2:$C$443,2,FALSE)</f>
        <v>Intentional self-harm by hanging, strangulation and suffocation</v>
      </c>
      <c r="M188" s="12" t="str">
        <f>VLOOKUP(K188,[2]Hoja4!$A$2:$C$443,3,FALSE)</f>
        <v>At home</v>
      </c>
      <c r="N188" s="1">
        <v>14.6</v>
      </c>
      <c r="O188" s="1">
        <v>34</v>
      </c>
      <c r="P188" s="1">
        <v>24</v>
      </c>
      <c r="Q188" s="1">
        <v>987</v>
      </c>
      <c r="R188" s="1">
        <v>0</v>
      </c>
      <c r="S188" s="1">
        <v>51</v>
      </c>
      <c r="T188" s="5">
        <v>7.8100000000000003E-2</v>
      </c>
      <c r="U188" s="10">
        <v>4.0000000000000001E-3</v>
      </c>
    </row>
    <row r="189" spans="1:21" customFormat="1">
      <c r="A189">
        <v>1</v>
      </c>
      <c r="B189">
        <v>55</v>
      </c>
      <c r="C189">
        <v>1</v>
      </c>
      <c r="D189">
        <v>2</v>
      </c>
      <c r="E189">
        <v>2020</v>
      </c>
      <c r="F189">
        <v>6106</v>
      </c>
      <c r="G189" t="str">
        <f>VLOOKUP(F189,'[1]Sheet 1'!$B$2:$E$347,2,FALSE)</f>
        <v>Libertador General Bernardo O'Higgins</v>
      </c>
      <c r="H189" t="str">
        <f>VLOOKUP(F189,'[1]Sheet 1'!$B$2:$E$347,3,FALSE)</f>
        <v>Cachapoal</v>
      </c>
      <c r="I189" t="str">
        <f>VLOOKUP(F189,'[1]Sheet 1'!$B$2:$E$347,4,FALSE)</f>
        <v>Graneros</v>
      </c>
      <c r="J189" t="s">
        <v>148</v>
      </c>
      <c r="K189" s="3" t="s">
        <v>22</v>
      </c>
      <c r="L189" s="12" t="str">
        <f>VLOOKUP(K189,[2]Hoja4!$A$2:$C$443,2,FALSE)</f>
        <v>Intentional self-harm by sharp object</v>
      </c>
      <c r="M189" s="12" t="str">
        <f>VLOOKUP(K189,[2]Hoja4!$A$2:$C$443,3,FALSE)</f>
        <v>Unspecified place</v>
      </c>
      <c r="N189" s="1">
        <v>13.9</v>
      </c>
      <c r="O189" s="1">
        <v>32.4</v>
      </c>
      <c r="P189" s="1">
        <v>23.5</v>
      </c>
      <c r="Q189" s="1">
        <v>957.5</v>
      </c>
      <c r="R189" s="1">
        <v>0</v>
      </c>
      <c r="S189" s="1">
        <v>46.1</v>
      </c>
      <c r="T189" s="5">
        <v>7.8100000000000003E-2</v>
      </c>
      <c r="U189" s="10">
        <v>4.0000000000000001E-3</v>
      </c>
    </row>
    <row r="190" spans="1:21" customFormat="1">
      <c r="A190">
        <v>1</v>
      </c>
      <c r="B190">
        <v>24</v>
      </c>
      <c r="C190">
        <v>1</v>
      </c>
      <c r="D190">
        <v>2</v>
      </c>
      <c r="E190">
        <v>2020</v>
      </c>
      <c r="F190">
        <v>8101</v>
      </c>
      <c r="G190" t="str">
        <f>VLOOKUP(F190,'[1]Sheet 1'!$B$2:$E$347,2,FALSE)</f>
        <v>Biobío</v>
      </c>
      <c r="H190" t="str">
        <f>VLOOKUP(F190,'[1]Sheet 1'!$B$2:$E$347,3,FALSE)</f>
        <v>Concepción</v>
      </c>
      <c r="I190" t="str">
        <f>VLOOKUP(F190,'[1]Sheet 1'!$B$2:$E$347,4,FALSE)</f>
        <v>Concepción</v>
      </c>
      <c r="J190" t="s">
        <v>136</v>
      </c>
      <c r="K190" s="3" t="s">
        <v>4</v>
      </c>
      <c r="L190" s="12" t="str">
        <f>VLOOKUP(K190,[2]Hoja4!$A$2:$C$443,2,FALSE)</f>
        <v>Intentional self-harm by hanging, strangulation and suffocation</v>
      </c>
      <c r="M190" s="12" t="str">
        <f>VLOOKUP(K190,[2]Hoja4!$A$2:$C$443,3,FALSE)</f>
        <v>At home</v>
      </c>
      <c r="N190" s="1">
        <v>14.8</v>
      </c>
      <c r="O190" s="1">
        <v>23.4</v>
      </c>
      <c r="P190" s="1">
        <v>18.100000000000001</v>
      </c>
      <c r="Q190" s="1">
        <v>1014.8</v>
      </c>
      <c r="R190" s="1">
        <v>0</v>
      </c>
      <c r="S190" s="1">
        <v>81.5</v>
      </c>
      <c r="T190" s="5">
        <v>7.8100000000000003E-2</v>
      </c>
      <c r="U190" s="10">
        <v>4.0000000000000001E-3</v>
      </c>
    </row>
    <row r="191" spans="1:21" customFormat="1">
      <c r="A191">
        <v>1</v>
      </c>
      <c r="B191">
        <v>62</v>
      </c>
      <c r="C191">
        <v>2</v>
      </c>
      <c r="D191">
        <v>2</v>
      </c>
      <c r="E191">
        <v>2020</v>
      </c>
      <c r="F191">
        <v>8301</v>
      </c>
      <c r="G191" t="str">
        <f>VLOOKUP(F191,'[1]Sheet 1'!$B$2:$E$347,2,FALSE)</f>
        <v>Biobío</v>
      </c>
      <c r="H191" t="str">
        <f>VLOOKUP(F191,'[1]Sheet 1'!$B$2:$E$347,3,FALSE)</f>
        <v>Biobío</v>
      </c>
      <c r="I191" t="str">
        <f>VLOOKUP(F191,'[1]Sheet 1'!$B$2:$E$347,4,FALSE)</f>
        <v>Los Angeles</v>
      </c>
      <c r="J191" t="s">
        <v>136</v>
      </c>
      <c r="K191" s="3" t="s">
        <v>4</v>
      </c>
      <c r="L191" s="12" t="str">
        <f>VLOOKUP(K191,[2]Hoja4!$A$2:$C$443,2,FALSE)</f>
        <v>Intentional self-harm by hanging, strangulation and suffocation</v>
      </c>
      <c r="M191" s="12" t="str">
        <f>VLOOKUP(K191,[2]Hoja4!$A$2:$C$443,3,FALSE)</f>
        <v>At home</v>
      </c>
      <c r="N191" s="1">
        <v>8.6</v>
      </c>
      <c r="O191" s="1">
        <v>30.8</v>
      </c>
      <c r="P191" s="1">
        <v>19.7</v>
      </c>
      <c r="Q191" s="1">
        <v>1001.7</v>
      </c>
      <c r="R191" s="1">
        <v>0</v>
      </c>
      <c r="S191" s="1">
        <v>63.2</v>
      </c>
      <c r="T191" s="5">
        <v>7.8100000000000003E-2</v>
      </c>
      <c r="U191" s="10">
        <v>4.0000000000000001E-3</v>
      </c>
    </row>
    <row r="192" spans="1:21" customFormat="1">
      <c r="A192">
        <v>1</v>
      </c>
      <c r="B192">
        <v>51</v>
      </c>
      <c r="C192">
        <v>2</v>
      </c>
      <c r="D192">
        <v>2</v>
      </c>
      <c r="E192">
        <v>2020</v>
      </c>
      <c r="F192">
        <v>12101</v>
      </c>
      <c r="G192" t="str">
        <f>VLOOKUP(F192,'[1]Sheet 1'!$B$2:$E$347,2,FALSE)</f>
        <v>Magallanes y de la Antártica Chilena</v>
      </c>
      <c r="H192" t="str">
        <f>VLOOKUP(F192,'[1]Sheet 1'!$B$2:$E$347,3,FALSE)</f>
        <v>Magallanes</v>
      </c>
      <c r="I192" t="str">
        <f>VLOOKUP(F192,'[1]Sheet 1'!$B$2:$E$347,4,FALSE)</f>
        <v>Punta Arenas</v>
      </c>
      <c r="J192" t="s">
        <v>136</v>
      </c>
      <c r="K192" s="3" t="s">
        <v>4</v>
      </c>
      <c r="L192" s="12" t="str">
        <f>VLOOKUP(K192,[2]Hoja4!$A$2:$C$443,2,FALSE)</f>
        <v>Intentional self-harm by hanging, strangulation and suffocation</v>
      </c>
      <c r="M192" s="12" t="str">
        <f>VLOOKUP(K192,[2]Hoja4!$A$2:$C$443,3,FALSE)</f>
        <v>At home</v>
      </c>
      <c r="N192" s="1">
        <v>5.9</v>
      </c>
      <c r="O192" s="1">
        <v>13</v>
      </c>
      <c r="P192" s="1">
        <v>9.5</v>
      </c>
      <c r="Q192" s="1">
        <v>990.3</v>
      </c>
      <c r="R192" s="1">
        <v>0.6</v>
      </c>
      <c r="S192" s="1">
        <v>71.8</v>
      </c>
      <c r="T192" s="5">
        <v>7.8100000000000003E-2</v>
      </c>
      <c r="U192" s="10">
        <v>4.0000000000000001E-3</v>
      </c>
    </row>
    <row r="193" spans="1:21" customFormat="1">
      <c r="A193">
        <v>1</v>
      </c>
      <c r="B193">
        <v>56</v>
      </c>
      <c r="C193">
        <v>2</v>
      </c>
      <c r="D193">
        <v>2</v>
      </c>
      <c r="E193">
        <v>2020</v>
      </c>
      <c r="F193">
        <v>13116</v>
      </c>
      <c r="G193" t="str">
        <f>VLOOKUP(F193,'[1]Sheet 1'!$B$2:$E$347,2,FALSE)</f>
        <v>Metropolitana de Santiago</v>
      </c>
      <c r="H193" t="str">
        <f>VLOOKUP(F193,'[1]Sheet 1'!$B$2:$E$347,3,FALSE)</f>
        <v>Santiago</v>
      </c>
      <c r="I193" t="str">
        <f>VLOOKUP(F193,'[1]Sheet 1'!$B$2:$E$347,4,FALSE)</f>
        <v>Lo Espejo</v>
      </c>
      <c r="J193" t="s">
        <v>136</v>
      </c>
      <c r="K193" s="3" t="s">
        <v>0</v>
      </c>
      <c r="L193" s="12" t="str">
        <f>VLOOKUP(K193,[2]Hoja4!$A$2:$C$443,2,FALSE)</f>
        <v>Intentional self-harm by hanging, strangulation and suffocation</v>
      </c>
      <c r="M193" s="12" t="str">
        <f>VLOOKUP(K193,[2]Hoja4!$A$2:$C$443,3,FALSE)</f>
        <v>Unspecified place</v>
      </c>
      <c r="N193" s="1">
        <v>15.1</v>
      </c>
      <c r="O193" s="1">
        <v>32.5</v>
      </c>
      <c r="P193" s="1">
        <v>23.6</v>
      </c>
      <c r="Q193" s="1">
        <v>954.9</v>
      </c>
      <c r="R193" s="1"/>
      <c r="S193" s="1">
        <v>46.8</v>
      </c>
      <c r="T193" s="5">
        <v>7.8100000000000003E-2</v>
      </c>
      <c r="U193" s="10">
        <v>4.0000000000000001E-3</v>
      </c>
    </row>
    <row r="194" spans="1:21" customFormat="1">
      <c r="A194">
        <v>1</v>
      </c>
      <c r="B194">
        <v>43</v>
      </c>
      <c r="C194">
        <v>2</v>
      </c>
      <c r="D194">
        <v>2</v>
      </c>
      <c r="E194">
        <v>2020</v>
      </c>
      <c r="F194">
        <v>5501</v>
      </c>
      <c r="G194" t="str">
        <f>VLOOKUP(F194,'[1]Sheet 1'!$B$2:$E$347,2,FALSE)</f>
        <v>Valparaíso</v>
      </c>
      <c r="H194" t="str">
        <f>VLOOKUP(F194,'[1]Sheet 1'!$B$2:$E$347,3,FALSE)</f>
        <v>Quillota</v>
      </c>
      <c r="I194" t="str">
        <f>VLOOKUP(F194,'[1]Sheet 1'!$B$2:$E$347,4,FALSE)</f>
        <v>Quillota</v>
      </c>
      <c r="J194" t="s">
        <v>136</v>
      </c>
      <c r="K194" s="3" t="s">
        <v>13</v>
      </c>
      <c r="L194" s="12" t="str">
        <f>VLOOKUP(K194,[2]Hoja4!$A$2:$C$443,2,FALSE)</f>
        <v>Intentional self-harm by hanging, strangulation and suffocation</v>
      </c>
      <c r="M194" s="12" t="str">
        <f>VLOOKUP(K194,[2]Hoja4!$A$2:$C$443,3,FALSE)</f>
        <v>Other specified places</v>
      </c>
      <c r="N194" s="1">
        <v>11.9</v>
      </c>
      <c r="O194" s="1">
        <v>30.6</v>
      </c>
      <c r="P194" s="1">
        <v>20.2</v>
      </c>
      <c r="Q194" s="1">
        <v>995.3</v>
      </c>
      <c r="R194" s="1">
        <v>0</v>
      </c>
      <c r="S194" s="1">
        <v>61.9</v>
      </c>
      <c r="T194" s="5">
        <v>7.8100000000000003E-2</v>
      </c>
      <c r="U194" s="10">
        <v>4.0000000000000001E-3</v>
      </c>
    </row>
    <row r="195" spans="1:21" customFormat="1">
      <c r="A195">
        <v>2</v>
      </c>
      <c r="B195">
        <v>38</v>
      </c>
      <c r="C195">
        <v>2</v>
      </c>
      <c r="D195">
        <v>2</v>
      </c>
      <c r="E195">
        <v>2020</v>
      </c>
      <c r="F195">
        <v>7101</v>
      </c>
      <c r="G195" t="str">
        <f>VLOOKUP(F195,'[1]Sheet 1'!$B$2:$E$347,2,FALSE)</f>
        <v>Maule</v>
      </c>
      <c r="H195" t="str">
        <f>VLOOKUP(F195,'[1]Sheet 1'!$B$2:$E$347,3,FALSE)</f>
        <v>Talca</v>
      </c>
      <c r="I195" t="str">
        <f>VLOOKUP(F195,'[1]Sheet 1'!$B$2:$E$347,4,FALSE)</f>
        <v>Talca</v>
      </c>
      <c r="J195" t="s">
        <v>136</v>
      </c>
      <c r="K195" s="3" t="s">
        <v>4</v>
      </c>
      <c r="L195" s="12" t="str">
        <f>VLOOKUP(K195,[2]Hoja4!$A$2:$C$443,2,FALSE)</f>
        <v>Intentional self-harm by hanging, strangulation and suffocation</v>
      </c>
      <c r="M195" s="12" t="str">
        <f>VLOOKUP(K195,[2]Hoja4!$A$2:$C$443,3,FALSE)</f>
        <v>At home</v>
      </c>
      <c r="N195" s="1">
        <v>15.3</v>
      </c>
      <c r="O195" s="1">
        <v>34.9</v>
      </c>
      <c r="P195" s="1">
        <v>23.6</v>
      </c>
      <c r="Q195" s="1">
        <v>1001.4</v>
      </c>
      <c r="R195" s="1">
        <v>0</v>
      </c>
      <c r="S195" s="1">
        <v>47.7</v>
      </c>
      <c r="T195" s="5">
        <v>7.8100000000000003E-2</v>
      </c>
      <c r="U195" s="10">
        <v>4.0000000000000001E-3</v>
      </c>
    </row>
    <row r="196" spans="1:21" customFormat="1">
      <c r="A196">
        <v>1</v>
      </c>
      <c r="B196">
        <v>38</v>
      </c>
      <c r="C196">
        <v>2</v>
      </c>
      <c r="D196">
        <v>2</v>
      </c>
      <c r="E196">
        <v>2020</v>
      </c>
      <c r="F196">
        <v>9114</v>
      </c>
      <c r="G196" t="str">
        <f>VLOOKUP(F196,'[1]Sheet 1'!$B$2:$E$347,2,FALSE)</f>
        <v>La Araucanía</v>
      </c>
      <c r="H196" t="str">
        <f>VLOOKUP(F196,'[1]Sheet 1'!$B$2:$E$347,3,FALSE)</f>
        <v>Cautín</v>
      </c>
      <c r="I196" t="str">
        <f>VLOOKUP(F196,'[1]Sheet 1'!$B$2:$E$347,4,FALSE)</f>
        <v>Pitrufquén</v>
      </c>
      <c r="J196" t="s">
        <v>142</v>
      </c>
      <c r="K196" s="3" t="s">
        <v>18</v>
      </c>
      <c r="L196" s="12" t="str">
        <f>VLOOKUP(K196,[2]Hoja4!$A$2:$C$443,2,FALSE)</f>
        <v>Intentional self-harm by rifle, shotgun and larger firearm discharge</v>
      </c>
      <c r="M196" s="12" t="str">
        <f>VLOOKUP(K196,[2]Hoja4!$A$2:$C$443,3,FALSE)</f>
        <v>At home</v>
      </c>
      <c r="N196" s="1">
        <v>3.2</v>
      </c>
      <c r="O196" s="1">
        <v>24.9</v>
      </c>
      <c r="P196" s="1">
        <v>13.9</v>
      </c>
      <c r="Q196" s="1">
        <v>1003.4</v>
      </c>
      <c r="R196" s="1">
        <v>0</v>
      </c>
      <c r="S196" s="1">
        <v>74</v>
      </c>
      <c r="T196" s="5">
        <v>7.8100000000000003E-2</v>
      </c>
      <c r="U196" s="10">
        <v>4.0000000000000001E-3</v>
      </c>
    </row>
    <row r="197" spans="1:21" customFormat="1">
      <c r="A197">
        <v>1</v>
      </c>
      <c r="B197">
        <v>57</v>
      </c>
      <c r="C197">
        <v>3</v>
      </c>
      <c r="D197">
        <v>2</v>
      </c>
      <c r="E197">
        <v>2020</v>
      </c>
      <c r="F197">
        <v>10101</v>
      </c>
      <c r="G197" t="str">
        <f>VLOOKUP(F197,'[1]Sheet 1'!$B$2:$E$347,2,FALSE)</f>
        <v>Los Lagos</v>
      </c>
      <c r="H197" t="str">
        <f>VLOOKUP(F197,'[1]Sheet 1'!$B$2:$E$347,3,FALSE)</f>
        <v>Llanquihue</v>
      </c>
      <c r="I197" t="str">
        <f>VLOOKUP(F197,'[1]Sheet 1'!$B$2:$E$347,4,FALSE)</f>
        <v>Puerto Montt</v>
      </c>
      <c r="J197" t="s">
        <v>136</v>
      </c>
      <c r="K197" s="3" t="s">
        <v>0</v>
      </c>
      <c r="L197" s="12" t="str">
        <f>VLOOKUP(K197,[2]Hoja4!$A$2:$C$443,2,FALSE)</f>
        <v>Intentional self-harm by hanging, strangulation and suffocation</v>
      </c>
      <c r="M197" s="12" t="str">
        <f>VLOOKUP(K197,[2]Hoja4!$A$2:$C$443,3,FALSE)</f>
        <v>Unspecified place</v>
      </c>
      <c r="N197" s="1">
        <v>12.4</v>
      </c>
      <c r="O197" s="1">
        <v>20.100000000000001</v>
      </c>
      <c r="P197" s="1">
        <v>15.2</v>
      </c>
      <c r="Q197" s="1">
        <v>1000.1</v>
      </c>
      <c r="R197" s="1">
        <v>7.6</v>
      </c>
      <c r="S197" s="1">
        <v>85</v>
      </c>
      <c r="T197" s="5">
        <v>7.8100000000000003E-2</v>
      </c>
      <c r="U197" s="10">
        <v>4.0000000000000001E-3</v>
      </c>
    </row>
    <row r="198" spans="1:21" customFormat="1">
      <c r="A198">
        <v>2</v>
      </c>
      <c r="B198">
        <v>56</v>
      </c>
      <c r="C198">
        <v>3</v>
      </c>
      <c r="D198">
        <v>2</v>
      </c>
      <c r="E198">
        <v>2020</v>
      </c>
      <c r="F198">
        <v>13119</v>
      </c>
      <c r="G198" t="str">
        <f>VLOOKUP(F198,'[1]Sheet 1'!$B$2:$E$347,2,FALSE)</f>
        <v>Metropolitana de Santiago</v>
      </c>
      <c r="H198" t="str">
        <f>VLOOKUP(F198,'[1]Sheet 1'!$B$2:$E$347,3,FALSE)</f>
        <v>Santiago</v>
      </c>
      <c r="I198" t="str">
        <f>VLOOKUP(F198,'[1]Sheet 1'!$B$2:$E$347,4,FALSE)</f>
        <v>Maipú</v>
      </c>
      <c r="J198" t="s">
        <v>136</v>
      </c>
      <c r="K198" s="3" t="s">
        <v>0</v>
      </c>
      <c r="L198" s="12" t="str">
        <f>VLOOKUP(K198,[2]Hoja4!$A$2:$C$443,2,FALSE)</f>
        <v>Intentional self-harm by hanging, strangulation and suffocation</v>
      </c>
      <c r="M198" s="12" t="str">
        <f>VLOOKUP(K198,[2]Hoja4!$A$2:$C$443,3,FALSE)</f>
        <v>Unspecified place</v>
      </c>
      <c r="N198" s="1">
        <v>13.1</v>
      </c>
      <c r="O198" s="1">
        <v>31.8</v>
      </c>
      <c r="P198" s="1">
        <v>22.6</v>
      </c>
      <c r="Q198" s="1">
        <v>954.3</v>
      </c>
      <c r="R198" s="1"/>
      <c r="S198" s="1">
        <v>37.799999999999997</v>
      </c>
      <c r="T198" s="5">
        <v>7.8100000000000003E-2</v>
      </c>
      <c r="U198" s="10">
        <v>4.0000000000000001E-3</v>
      </c>
    </row>
    <row r="199" spans="1:21" customFormat="1">
      <c r="A199">
        <v>1</v>
      </c>
      <c r="B199">
        <v>44</v>
      </c>
      <c r="C199">
        <v>3</v>
      </c>
      <c r="D199">
        <v>2</v>
      </c>
      <c r="E199">
        <v>2020</v>
      </c>
      <c r="F199">
        <v>2201</v>
      </c>
      <c r="G199" t="str">
        <f>VLOOKUP(F199,'[1]Sheet 1'!$B$2:$E$347,2,FALSE)</f>
        <v>Antofagasta</v>
      </c>
      <c r="H199" t="str">
        <f>VLOOKUP(F199,'[1]Sheet 1'!$B$2:$E$347,3,FALSE)</f>
        <v>El Loa</v>
      </c>
      <c r="I199" t="str">
        <f>VLOOKUP(F199,'[1]Sheet 1'!$B$2:$E$347,4,FALSE)</f>
        <v>Calama</v>
      </c>
      <c r="J199" t="s">
        <v>136</v>
      </c>
      <c r="K199" s="3" t="s">
        <v>4</v>
      </c>
      <c r="L199" s="12" t="str">
        <f>VLOOKUP(K199,[2]Hoja4!$A$2:$C$443,2,FALSE)</f>
        <v>Intentional self-harm by hanging, strangulation and suffocation</v>
      </c>
      <c r="M199" s="12" t="str">
        <f>VLOOKUP(K199,[2]Hoja4!$A$2:$C$443,3,FALSE)</f>
        <v>At home</v>
      </c>
      <c r="N199" s="1">
        <v>7.1</v>
      </c>
      <c r="O199" s="1">
        <v>27.2</v>
      </c>
      <c r="P199" s="1">
        <v>17.899999999999999</v>
      </c>
      <c r="Q199" s="1">
        <v>774</v>
      </c>
      <c r="R199" s="1">
        <v>0</v>
      </c>
      <c r="S199" s="1">
        <v>25.5</v>
      </c>
      <c r="T199" s="5">
        <v>7.8100000000000003E-2</v>
      </c>
      <c r="U199" s="10">
        <v>4.0000000000000001E-3</v>
      </c>
    </row>
    <row r="200" spans="1:21" customFormat="1">
      <c r="A200">
        <v>1</v>
      </c>
      <c r="B200">
        <v>28</v>
      </c>
      <c r="C200">
        <v>3</v>
      </c>
      <c r="D200">
        <v>2</v>
      </c>
      <c r="E200">
        <v>2020</v>
      </c>
      <c r="F200">
        <v>7201</v>
      </c>
      <c r="G200" t="str">
        <f>VLOOKUP(F200,'[1]Sheet 1'!$B$2:$E$347,2,FALSE)</f>
        <v>Maule</v>
      </c>
      <c r="H200" t="str">
        <f>VLOOKUP(F200,'[1]Sheet 1'!$B$2:$E$347,3,FALSE)</f>
        <v>Cauquenes</v>
      </c>
      <c r="I200" t="str">
        <f>VLOOKUP(F200,'[1]Sheet 1'!$B$2:$E$347,4,FALSE)</f>
        <v>Cauquenes</v>
      </c>
      <c r="J200" t="s">
        <v>136</v>
      </c>
      <c r="K200" s="3" t="s">
        <v>4</v>
      </c>
      <c r="L200" s="12" t="str">
        <f>VLOOKUP(K200,[2]Hoja4!$A$2:$C$443,2,FALSE)</f>
        <v>Intentional self-harm by hanging, strangulation and suffocation</v>
      </c>
      <c r="M200" s="12" t="str">
        <f>VLOOKUP(K200,[2]Hoja4!$A$2:$C$443,3,FALSE)</f>
        <v>At home</v>
      </c>
      <c r="N200" s="1">
        <v>6.2</v>
      </c>
      <c r="O200" s="1">
        <v>29.8</v>
      </c>
      <c r="P200" s="1">
        <v>18.100000000000001</v>
      </c>
      <c r="Q200" s="1">
        <v>998</v>
      </c>
      <c r="R200" s="1">
        <v>0</v>
      </c>
      <c r="S200" s="1">
        <v>56.2</v>
      </c>
      <c r="T200" s="5">
        <v>7.8100000000000003E-2</v>
      </c>
      <c r="U200" s="10">
        <v>4.0000000000000001E-3</v>
      </c>
    </row>
    <row r="201" spans="1:21" customFormat="1">
      <c r="A201">
        <v>1</v>
      </c>
      <c r="B201">
        <v>29</v>
      </c>
      <c r="C201">
        <v>3</v>
      </c>
      <c r="D201">
        <v>2</v>
      </c>
      <c r="E201">
        <v>2020</v>
      </c>
      <c r="F201">
        <v>1101</v>
      </c>
      <c r="G201" t="str">
        <f>VLOOKUP(F201,'[1]Sheet 1'!$B$2:$E$347,2,FALSE)</f>
        <v>Tarapacá</v>
      </c>
      <c r="H201" t="str">
        <f>VLOOKUP(F201,'[1]Sheet 1'!$B$2:$E$347,3,FALSE)</f>
        <v>Iquique</v>
      </c>
      <c r="I201" t="str">
        <f>VLOOKUP(F201,'[1]Sheet 1'!$B$2:$E$347,4,FALSE)</f>
        <v>Iquique</v>
      </c>
      <c r="J201" t="s">
        <v>149</v>
      </c>
      <c r="K201" s="3" t="s">
        <v>6</v>
      </c>
      <c r="L201" s="12" t="str">
        <f>VLOOKUP(K201,[2]Hoja4!$A$2:$C$443,2,FALSE)</f>
        <v>Intentional self-harm by sharp object</v>
      </c>
      <c r="M201" s="12" t="str">
        <f>VLOOKUP(K201,[2]Hoja4!$A$2:$C$443,3,FALSE)</f>
        <v>At home</v>
      </c>
      <c r="N201" s="1">
        <v>19.100000000000001</v>
      </c>
      <c r="O201" s="1">
        <v>23.6</v>
      </c>
      <c r="P201" s="1">
        <v>21.3</v>
      </c>
      <c r="Q201" s="1">
        <v>1011.1</v>
      </c>
      <c r="R201" s="1">
        <v>0</v>
      </c>
      <c r="S201" s="1">
        <v>74.400000000000006</v>
      </c>
      <c r="T201" s="5">
        <v>7.8100000000000003E-2</v>
      </c>
      <c r="U201" s="10">
        <v>4.0000000000000001E-3</v>
      </c>
    </row>
    <row r="202" spans="1:21" customFormat="1">
      <c r="A202">
        <v>1</v>
      </c>
      <c r="B202">
        <v>23</v>
      </c>
      <c r="C202">
        <v>3</v>
      </c>
      <c r="D202">
        <v>2</v>
      </c>
      <c r="E202">
        <v>2020</v>
      </c>
      <c r="F202">
        <v>13102</v>
      </c>
      <c r="G202" t="str">
        <f>VLOOKUP(F202,'[1]Sheet 1'!$B$2:$E$347,2,FALSE)</f>
        <v>Metropolitana de Santiago</v>
      </c>
      <c r="H202" t="str">
        <f>VLOOKUP(F202,'[1]Sheet 1'!$B$2:$E$347,3,FALSE)</f>
        <v>Santiago</v>
      </c>
      <c r="I202" t="str">
        <f>VLOOKUP(F202,'[1]Sheet 1'!$B$2:$E$347,4,FALSE)</f>
        <v>Cerrillos</v>
      </c>
      <c r="J202" t="s">
        <v>136</v>
      </c>
      <c r="K202" s="3" t="s">
        <v>0</v>
      </c>
      <c r="L202" s="12" t="str">
        <f>VLOOKUP(K202,[2]Hoja4!$A$2:$C$443,2,FALSE)</f>
        <v>Intentional self-harm by hanging, strangulation and suffocation</v>
      </c>
      <c r="M202" s="12" t="str">
        <f>VLOOKUP(K202,[2]Hoja4!$A$2:$C$443,3,FALSE)</f>
        <v>Unspecified place</v>
      </c>
      <c r="N202" s="1">
        <v>13.1</v>
      </c>
      <c r="O202" s="1">
        <v>31.8</v>
      </c>
      <c r="P202" s="1">
        <v>22.6</v>
      </c>
      <c r="Q202" s="1">
        <v>954.3</v>
      </c>
      <c r="R202" s="1"/>
      <c r="S202" s="1">
        <v>37.799999999999997</v>
      </c>
      <c r="T202" s="5">
        <v>7.8100000000000003E-2</v>
      </c>
      <c r="U202" s="10">
        <v>4.0000000000000001E-3</v>
      </c>
    </row>
    <row r="203" spans="1:21" customFormat="1">
      <c r="A203">
        <v>1</v>
      </c>
      <c r="B203">
        <v>40</v>
      </c>
      <c r="C203">
        <v>4</v>
      </c>
      <c r="D203">
        <v>2</v>
      </c>
      <c r="E203">
        <v>2020</v>
      </c>
      <c r="F203">
        <v>4303</v>
      </c>
      <c r="G203" t="str">
        <f>VLOOKUP(F203,'[1]Sheet 1'!$B$2:$E$347,2,FALSE)</f>
        <v>Coquimbo</v>
      </c>
      <c r="H203" t="str">
        <f>VLOOKUP(F203,'[1]Sheet 1'!$B$2:$E$347,3,FALSE)</f>
        <v>Limarí</v>
      </c>
      <c r="I203" t="str">
        <f>VLOOKUP(F203,'[1]Sheet 1'!$B$2:$E$347,4,FALSE)</f>
        <v>Monte Patria</v>
      </c>
      <c r="J203" t="s">
        <v>136</v>
      </c>
      <c r="K203" s="3" t="s">
        <v>4</v>
      </c>
      <c r="L203" s="12" t="str">
        <f>VLOOKUP(K203,[2]Hoja4!$A$2:$C$443,2,FALSE)</f>
        <v>Intentional self-harm by hanging, strangulation and suffocation</v>
      </c>
      <c r="M203" s="12" t="str">
        <f>VLOOKUP(K203,[2]Hoja4!$A$2:$C$443,3,FALSE)</f>
        <v>At home</v>
      </c>
      <c r="N203" s="1">
        <v>12</v>
      </c>
      <c r="O203" s="1">
        <v>28.7</v>
      </c>
      <c r="P203" s="1">
        <v>19.600000000000001</v>
      </c>
      <c r="Q203" s="1">
        <v>978</v>
      </c>
      <c r="R203" s="1">
        <v>0</v>
      </c>
      <c r="S203" s="1">
        <v>58.6</v>
      </c>
      <c r="T203" s="5">
        <v>7.8100000000000003E-2</v>
      </c>
      <c r="U203" s="10">
        <v>4.0000000000000001E-3</v>
      </c>
    </row>
    <row r="204" spans="1:21" customFormat="1">
      <c r="A204">
        <v>2</v>
      </c>
      <c r="B204">
        <v>16</v>
      </c>
      <c r="C204">
        <v>4</v>
      </c>
      <c r="D204">
        <v>2</v>
      </c>
      <c r="E204">
        <v>2020</v>
      </c>
      <c r="F204">
        <v>5804</v>
      </c>
      <c r="G204" t="str">
        <f>VLOOKUP(F204,'[1]Sheet 1'!$B$2:$E$347,2,FALSE)</f>
        <v>Valparaíso</v>
      </c>
      <c r="H204" t="str">
        <f>VLOOKUP(F204,'[1]Sheet 1'!$B$2:$E$347,3,FALSE)</f>
        <v>Marga Marga</v>
      </c>
      <c r="I204" t="str">
        <f>VLOOKUP(F204,'[1]Sheet 1'!$B$2:$E$347,4,FALSE)</f>
        <v>Villa Alemana</v>
      </c>
      <c r="J204" t="s">
        <v>136</v>
      </c>
      <c r="K204" s="3" t="s">
        <v>0</v>
      </c>
      <c r="L204" s="12" t="str">
        <f>VLOOKUP(K204,[2]Hoja4!$A$2:$C$443,2,FALSE)</f>
        <v>Intentional self-harm by hanging, strangulation and suffocation</v>
      </c>
      <c r="M204" s="12" t="str">
        <f>VLOOKUP(K204,[2]Hoja4!$A$2:$C$443,3,FALSE)</f>
        <v>Unspecified place</v>
      </c>
      <c r="N204" s="1">
        <v>11.3</v>
      </c>
      <c r="O204" s="1">
        <v>29.5</v>
      </c>
      <c r="P204" s="1">
        <v>19.600000000000001</v>
      </c>
      <c r="Q204" s="1">
        <v>1012.5</v>
      </c>
      <c r="R204" s="1">
        <v>0</v>
      </c>
      <c r="S204" s="1">
        <v>63.3</v>
      </c>
      <c r="T204" s="5">
        <v>7.8100000000000003E-2</v>
      </c>
      <c r="U204" s="10">
        <v>4.0000000000000001E-3</v>
      </c>
    </row>
    <row r="205" spans="1:21" customFormat="1">
      <c r="A205">
        <v>2</v>
      </c>
      <c r="B205">
        <v>22</v>
      </c>
      <c r="C205">
        <v>4</v>
      </c>
      <c r="D205">
        <v>2</v>
      </c>
      <c r="E205">
        <v>2020</v>
      </c>
      <c r="F205">
        <v>13120</v>
      </c>
      <c r="G205" t="str">
        <f>VLOOKUP(F205,'[1]Sheet 1'!$B$2:$E$347,2,FALSE)</f>
        <v>Metropolitana de Santiago</v>
      </c>
      <c r="H205" t="str">
        <f>VLOOKUP(F205,'[1]Sheet 1'!$B$2:$E$347,3,FALSE)</f>
        <v>Santiago</v>
      </c>
      <c r="I205" t="str">
        <f>VLOOKUP(F205,'[1]Sheet 1'!$B$2:$E$347,4,FALSE)</f>
        <v>Ñuñoa</v>
      </c>
      <c r="J205" t="s">
        <v>136</v>
      </c>
      <c r="K205" s="3" t="s">
        <v>0</v>
      </c>
      <c r="L205" s="12" t="str">
        <f>VLOOKUP(K205,[2]Hoja4!$A$2:$C$443,2,FALSE)</f>
        <v>Intentional self-harm by hanging, strangulation and suffocation</v>
      </c>
      <c r="M205" s="12" t="str">
        <f>VLOOKUP(K205,[2]Hoja4!$A$2:$C$443,3,FALSE)</f>
        <v>Unspecified place</v>
      </c>
      <c r="N205" s="1">
        <v>13.1</v>
      </c>
      <c r="O205" s="1">
        <v>29.5</v>
      </c>
      <c r="P205" s="1">
        <v>21</v>
      </c>
      <c r="Q205" s="1">
        <v>955.4</v>
      </c>
      <c r="R205" s="1"/>
      <c r="S205" s="1">
        <v>50.2</v>
      </c>
      <c r="T205" s="5">
        <v>7.8100000000000003E-2</v>
      </c>
      <c r="U205" s="10">
        <v>4.0000000000000001E-3</v>
      </c>
    </row>
    <row r="206" spans="1:21" customFormat="1">
      <c r="A206">
        <v>1</v>
      </c>
      <c r="B206">
        <v>23</v>
      </c>
      <c r="C206">
        <v>4</v>
      </c>
      <c r="D206">
        <v>2</v>
      </c>
      <c r="E206">
        <v>2020</v>
      </c>
      <c r="F206">
        <v>5109</v>
      </c>
      <c r="G206" t="str">
        <f>VLOOKUP(F206,'[1]Sheet 1'!$B$2:$E$347,2,FALSE)</f>
        <v>Valparaíso</v>
      </c>
      <c r="H206" t="str">
        <f>VLOOKUP(F206,'[1]Sheet 1'!$B$2:$E$347,3,FALSE)</f>
        <v>Valparaíso</v>
      </c>
      <c r="I206" t="str">
        <f>VLOOKUP(F206,'[1]Sheet 1'!$B$2:$E$347,4,FALSE)</f>
        <v>Viña del Mar</v>
      </c>
      <c r="J206" t="s">
        <v>136</v>
      </c>
      <c r="K206" s="3" t="s">
        <v>2</v>
      </c>
      <c r="L206" s="12" t="str">
        <f>VLOOKUP(K206,[2]Hoja4!$A$2:$C$443,2,FALSE)</f>
        <v>Intentional self-harm by hanging, strangulation and suffocation</v>
      </c>
      <c r="M206" s="12" t="str">
        <f>VLOOKUP(K206,[2]Hoja4!$A$2:$C$443,3,FALSE)</f>
        <v>Street and highway</v>
      </c>
      <c r="N206" s="1">
        <v>14</v>
      </c>
      <c r="O206" s="1">
        <v>27.3</v>
      </c>
      <c r="P206" s="1">
        <v>19</v>
      </c>
      <c r="Q206" s="1">
        <v>976.8</v>
      </c>
      <c r="R206" s="1">
        <v>0</v>
      </c>
      <c r="S206" s="1">
        <v>63.8</v>
      </c>
      <c r="T206" s="5">
        <v>7.8100000000000003E-2</v>
      </c>
      <c r="U206" s="10">
        <v>4.0000000000000001E-3</v>
      </c>
    </row>
    <row r="207" spans="1:21" customFormat="1">
      <c r="A207">
        <v>1</v>
      </c>
      <c r="B207">
        <v>61</v>
      </c>
      <c r="C207">
        <v>5</v>
      </c>
      <c r="D207">
        <v>2</v>
      </c>
      <c r="E207">
        <v>2020</v>
      </c>
      <c r="F207">
        <v>13501</v>
      </c>
      <c r="G207" t="str">
        <f>VLOOKUP(F207,'[1]Sheet 1'!$B$2:$E$347,2,FALSE)</f>
        <v>Metropolitana de Santiago</v>
      </c>
      <c r="H207" t="str">
        <f>VLOOKUP(F207,'[1]Sheet 1'!$B$2:$E$347,3,FALSE)</f>
        <v>Melipilla</v>
      </c>
      <c r="I207" t="str">
        <f>VLOOKUP(F207,'[1]Sheet 1'!$B$2:$E$347,4,FALSE)</f>
        <v>Melipilla</v>
      </c>
      <c r="J207" t="s">
        <v>136</v>
      </c>
      <c r="K207" s="3" t="s">
        <v>4</v>
      </c>
      <c r="L207" s="12" t="str">
        <f>VLOOKUP(K207,[2]Hoja4!$A$2:$C$443,2,FALSE)</f>
        <v>Intentional self-harm by hanging, strangulation and suffocation</v>
      </c>
      <c r="M207" s="12" t="str">
        <f>VLOOKUP(K207,[2]Hoja4!$A$2:$C$443,3,FALSE)</f>
        <v>At home</v>
      </c>
      <c r="N207" s="1">
        <v>9.6</v>
      </c>
      <c r="O207" s="1">
        <v>25.9</v>
      </c>
      <c r="P207" s="1">
        <v>18.100000000000001</v>
      </c>
      <c r="Q207" s="1">
        <v>1013.6</v>
      </c>
      <c r="R207" s="1">
        <v>0</v>
      </c>
      <c r="S207" s="1">
        <v>46.8</v>
      </c>
      <c r="T207" s="5">
        <v>7.8100000000000003E-2</v>
      </c>
      <c r="U207" s="10">
        <v>4.0000000000000001E-3</v>
      </c>
    </row>
    <row r="208" spans="1:21" customFormat="1">
      <c r="A208">
        <v>1</v>
      </c>
      <c r="B208">
        <v>36</v>
      </c>
      <c r="C208">
        <v>5</v>
      </c>
      <c r="D208">
        <v>2</v>
      </c>
      <c r="E208">
        <v>2020</v>
      </c>
      <c r="F208">
        <v>5602</v>
      </c>
      <c r="G208" t="str">
        <f>VLOOKUP(F208,'[1]Sheet 1'!$B$2:$E$347,2,FALSE)</f>
        <v>Valparaíso</v>
      </c>
      <c r="H208" t="str">
        <f>VLOOKUP(F208,'[1]Sheet 1'!$B$2:$E$347,3,FALSE)</f>
        <v>San Antonio</v>
      </c>
      <c r="I208" t="str">
        <f>VLOOKUP(F208,'[1]Sheet 1'!$B$2:$E$347,4,FALSE)</f>
        <v>Algarrobo</v>
      </c>
      <c r="J208" t="s">
        <v>136</v>
      </c>
      <c r="K208" s="3" t="s">
        <v>4</v>
      </c>
      <c r="L208" s="12" t="str">
        <f>VLOOKUP(K208,[2]Hoja4!$A$2:$C$443,2,FALSE)</f>
        <v>Intentional self-harm by hanging, strangulation and suffocation</v>
      </c>
      <c r="M208" s="12" t="str">
        <f>VLOOKUP(K208,[2]Hoja4!$A$2:$C$443,3,FALSE)</f>
        <v>At home</v>
      </c>
      <c r="N208" s="1">
        <v>11</v>
      </c>
      <c r="O208" s="1">
        <v>21.5</v>
      </c>
      <c r="P208" s="1">
        <v>15.7</v>
      </c>
      <c r="Q208" s="1">
        <v>1007</v>
      </c>
      <c r="R208" s="1">
        <v>0</v>
      </c>
      <c r="S208" s="1">
        <v>80</v>
      </c>
      <c r="T208" s="5">
        <v>7.8100000000000003E-2</v>
      </c>
      <c r="U208" s="10">
        <v>4.0000000000000001E-3</v>
      </c>
    </row>
    <row r="209" spans="1:21" customFormat="1">
      <c r="A209">
        <v>1</v>
      </c>
      <c r="B209">
        <v>80</v>
      </c>
      <c r="C209">
        <v>6</v>
      </c>
      <c r="D209">
        <v>2</v>
      </c>
      <c r="E209">
        <v>2020</v>
      </c>
      <c r="F209">
        <v>10101</v>
      </c>
      <c r="G209" t="str">
        <f>VLOOKUP(F209,'[1]Sheet 1'!$B$2:$E$347,2,FALSE)</f>
        <v>Los Lagos</v>
      </c>
      <c r="H209" t="str">
        <f>VLOOKUP(F209,'[1]Sheet 1'!$B$2:$E$347,3,FALSE)</f>
        <v>Llanquihue</v>
      </c>
      <c r="I209" t="str">
        <f>VLOOKUP(F209,'[1]Sheet 1'!$B$2:$E$347,4,FALSE)</f>
        <v>Puerto Montt</v>
      </c>
      <c r="J209" t="s">
        <v>142</v>
      </c>
      <c r="K209" s="3" t="s">
        <v>11</v>
      </c>
      <c r="L209" s="12" t="str">
        <f>VLOOKUP(K209,[2]Hoja4!$A$2:$C$443,2,FALSE)</f>
        <v>Intentional self-harm by other and unspecified firearm discharge</v>
      </c>
      <c r="M209" s="12" t="str">
        <f>VLOOKUP(K209,[2]Hoja4!$A$2:$C$443,3,FALSE)</f>
        <v>Unspecified place</v>
      </c>
      <c r="N209" s="1">
        <v>3.5</v>
      </c>
      <c r="O209" s="1">
        <v>19.5</v>
      </c>
      <c r="P209" s="1">
        <v>11.3</v>
      </c>
      <c r="Q209" s="1">
        <v>1009.7</v>
      </c>
      <c r="R209" s="1">
        <v>0</v>
      </c>
      <c r="S209" s="1">
        <v>67.5</v>
      </c>
      <c r="T209" s="5">
        <v>7.8100000000000003E-2</v>
      </c>
      <c r="U209" s="10">
        <v>4.0000000000000001E-3</v>
      </c>
    </row>
    <row r="210" spans="1:21" customFormat="1">
      <c r="A210">
        <v>1</v>
      </c>
      <c r="B210">
        <v>74</v>
      </c>
      <c r="C210">
        <v>6</v>
      </c>
      <c r="D210">
        <v>2</v>
      </c>
      <c r="E210">
        <v>2020</v>
      </c>
      <c r="F210">
        <v>9105</v>
      </c>
      <c r="G210" t="str">
        <f>VLOOKUP(F210,'[1]Sheet 1'!$B$2:$E$347,2,FALSE)</f>
        <v>La Araucanía</v>
      </c>
      <c r="H210" t="str">
        <f>VLOOKUP(F210,'[1]Sheet 1'!$B$2:$E$347,3,FALSE)</f>
        <v>Cautín</v>
      </c>
      <c r="I210" t="str">
        <f>VLOOKUP(F210,'[1]Sheet 1'!$B$2:$E$347,4,FALSE)</f>
        <v>Freire</v>
      </c>
      <c r="J210" t="s">
        <v>136</v>
      </c>
      <c r="K210" s="3" t="s">
        <v>0</v>
      </c>
      <c r="L210" s="12" t="str">
        <f>VLOOKUP(K210,[2]Hoja4!$A$2:$C$443,2,FALSE)</f>
        <v>Intentional self-harm by hanging, strangulation and suffocation</v>
      </c>
      <c r="M210" s="12" t="str">
        <f>VLOOKUP(K210,[2]Hoja4!$A$2:$C$443,3,FALSE)</f>
        <v>Unspecified place</v>
      </c>
      <c r="N210" s="1">
        <v>2.2999999999999998</v>
      </c>
      <c r="O210" s="1">
        <v>21.8</v>
      </c>
      <c r="P210" s="1">
        <v>12</v>
      </c>
      <c r="Q210" s="1">
        <v>1007.2</v>
      </c>
      <c r="R210" s="1">
        <v>0</v>
      </c>
      <c r="S210" s="1">
        <v>73.8</v>
      </c>
      <c r="T210" s="5">
        <v>7.8100000000000003E-2</v>
      </c>
      <c r="U210" s="10">
        <v>4.0000000000000001E-3</v>
      </c>
    </row>
    <row r="211" spans="1:21" customFormat="1">
      <c r="A211">
        <v>1</v>
      </c>
      <c r="B211">
        <v>27</v>
      </c>
      <c r="C211">
        <v>6</v>
      </c>
      <c r="D211">
        <v>2</v>
      </c>
      <c r="E211">
        <v>2020</v>
      </c>
      <c r="F211">
        <v>5101</v>
      </c>
      <c r="G211" t="str">
        <f>VLOOKUP(F211,'[1]Sheet 1'!$B$2:$E$347,2,FALSE)</f>
        <v>Valparaíso</v>
      </c>
      <c r="H211" t="str">
        <f>VLOOKUP(F211,'[1]Sheet 1'!$B$2:$E$347,3,FALSE)</f>
        <v>Valparaíso</v>
      </c>
      <c r="I211" t="str">
        <f>VLOOKUP(F211,'[1]Sheet 1'!$B$2:$E$347,4,FALSE)</f>
        <v>Valparaíso</v>
      </c>
      <c r="J211" t="s">
        <v>136</v>
      </c>
      <c r="K211" s="3" t="s">
        <v>2</v>
      </c>
      <c r="L211" s="12" t="str">
        <f>VLOOKUP(K211,[2]Hoja4!$A$2:$C$443,2,FALSE)</f>
        <v>Intentional self-harm by hanging, strangulation and suffocation</v>
      </c>
      <c r="M211" s="12" t="str">
        <f>VLOOKUP(K211,[2]Hoja4!$A$2:$C$443,3,FALSE)</f>
        <v>Street and highway</v>
      </c>
      <c r="N211" s="1">
        <v>9</v>
      </c>
      <c r="O211" s="1">
        <v>24.8</v>
      </c>
      <c r="P211" s="1">
        <v>14.9</v>
      </c>
      <c r="Q211" s="1">
        <v>977.4</v>
      </c>
      <c r="R211" s="1">
        <v>0</v>
      </c>
      <c r="S211" s="1">
        <v>62.8</v>
      </c>
      <c r="T211" s="5">
        <v>7.8100000000000003E-2</v>
      </c>
      <c r="U211" s="10">
        <v>4.0000000000000001E-3</v>
      </c>
    </row>
    <row r="212" spans="1:21" customFormat="1">
      <c r="A212">
        <v>1</v>
      </c>
      <c r="B212">
        <v>78</v>
      </c>
      <c r="C212">
        <v>7</v>
      </c>
      <c r="D212">
        <v>2</v>
      </c>
      <c r="E212">
        <v>2020</v>
      </c>
      <c r="F212">
        <v>7103</v>
      </c>
      <c r="G212" t="str">
        <f>VLOOKUP(F212,'[1]Sheet 1'!$B$2:$E$347,2,FALSE)</f>
        <v>Maule</v>
      </c>
      <c r="H212" t="str">
        <f>VLOOKUP(F212,'[1]Sheet 1'!$B$2:$E$347,3,FALSE)</f>
        <v>Talca</v>
      </c>
      <c r="I212" t="str">
        <f>VLOOKUP(F212,'[1]Sheet 1'!$B$2:$E$347,4,FALSE)</f>
        <v>Curepto</v>
      </c>
      <c r="J212" t="s">
        <v>146</v>
      </c>
      <c r="K212" s="3" t="s">
        <v>3</v>
      </c>
      <c r="L212" s="12" t="str">
        <f>VLOOKUP(K212,[2]Hoja4!$A$2:$C$443,2,FALSE)</f>
        <v>Intentional self-poisoning by and exposure to pesticides</v>
      </c>
      <c r="M212" s="12" t="str">
        <f>VLOOKUP(K212,[2]Hoja4!$A$2:$C$443,3,FALSE)</f>
        <v>Unspecified place</v>
      </c>
      <c r="N212" s="1">
        <v>8.6</v>
      </c>
      <c r="O212" s="1">
        <v>31.7</v>
      </c>
      <c r="P212" s="1">
        <v>20</v>
      </c>
      <c r="Q212" s="1">
        <v>1002.7</v>
      </c>
      <c r="R212" s="1">
        <v>0</v>
      </c>
      <c r="S212" s="1">
        <v>40.299999999999997</v>
      </c>
      <c r="T212" s="5">
        <v>7.8100000000000003E-2</v>
      </c>
      <c r="U212" s="10">
        <v>4.0000000000000001E-3</v>
      </c>
    </row>
    <row r="213" spans="1:21" customFormat="1">
      <c r="A213">
        <v>1</v>
      </c>
      <c r="B213">
        <v>54</v>
      </c>
      <c r="C213">
        <v>7</v>
      </c>
      <c r="D213">
        <v>2</v>
      </c>
      <c r="E213">
        <v>2020</v>
      </c>
      <c r="F213">
        <v>9107</v>
      </c>
      <c r="G213" t="str">
        <f>VLOOKUP(F213,'[1]Sheet 1'!$B$2:$E$347,2,FALSE)</f>
        <v>La Araucanía</v>
      </c>
      <c r="H213" t="str">
        <f>VLOOKUP(F213,'[1]Sheet 1'!$B$2:$E$347,3,FALSE)</f>
        <v>Cautín</v>
      </c>
      <c r="I213" t="str">
        <f>VLOOKUP(F213,'[1]Sheet 1'!$B$2:$E$347,4,FALSE)</f>
        <v>Gorbea</v>
      </c>
      <c r="J213" t="s">
        <v>136</v>
      </c>
      <c r="K213" s="3" t="s">
        <v>4</v>
      </c>
      <c r="L213" s="12" t="str">
        <f>VLOOKUP(K213,[2]Hoja4!$A$2:$C$443,2,FALSE)</f>
        <v>Intentional self-harm by hanging, strangulation and suffocation</v>
      </c>
      <c r="M213" s="12" t="str">
        <f>VLOOKUP(K213,[2]Hoja4!$A$2:$C$443,3,FALSE)</f>
        <v>At home</v>
      </c>
      <c r="N213" s="1">
        <v>2</v>
      </c>
      <c r="O213" s="1">
        <v>26.6</v>
      </c>
      <c r="P213" s="1">
        <v>13.5</v>
      </c>
      <c r="Q213" s="1">
        <v>1007.9</v>
      </c>
      <c r="R213" s="1">
        <v>0</v>
      </c>
      <c r="S213" s="1">
        <v>74.8</v>
      </c>
      <c r="T213" s="5">
        <v>7.8100000000000003E-2</v>
      </c>
      <c r="U213" s="10">
        <v>4.0000000000000001E-3</v>
      </c>
    </row>
    <row r="214" spans="1:21" customFormat="1">
      <c r="A214">
        <v>1</v>
      </c>
      <c r="B214">
        <v>49</v>
      </c>
      <c r="C214">
        <v>7</v>
      </c>
      <c r="D214">
        <v>2</v>
      </c>
      <c r="E214">
        <v>2020</v>
      </c>
      <c r="F214">
        <v>1107</v>
      </c>
      <c r="G214" t="str">
        <f>VLOOKUP(F214,'[1]Sheet 1'!$B$2:$E$347,2,FALSE)</f>
        <v>Tarapacá</v>
      </c>
      <c r="H214" t="str">
        <f>VLOOKUP(F214,'[1]Sheet 1'!$B$2:$E$347,3,FALSE)</f>
        <v>Iquique</v>
      </c>
      <c r="I214" t="str">
        <f>VLOOKUP(F214,'[1]Sheet 1'!$B$2:$E$347,4,FALSE)</f>
        <v>Alto Hospicio</v>
      </c>
      <c r="J214" t="s">
        <v>136</v>
      </c>
      <c r="K214" s="3" t="s">
        <v>4</v>
      </c>
      <c r="L214" s="12" t="str">
        <f>VLOOKUP(K214,[2]Hoja4!$A$2:$C$443,2,FALSE)</f>
        <v>Intentional self-harm by hanging, strangulation and suffocation</v>
      </c>
      <c r="M214" s="12" t="str">
        <f>VLOOKUP(K214,[2]Hoja4!$A$2:$C$443,3,FALSE)</f>
        <v>At home</v>
      </c>
      <c r="N214" s="1">
        <v>17.600000000000001</v>
      </c>
      <c r="O214" s="1">
        <v>25.3</v>
      </c>
      <c r="P214" s="1">
        <v>20.399999999999999</v>
      </c>
      <c r="Q214" s="1">
        <v>1011</v>
      </c>
      <c r="R214" s="1">
        <v>0</v>
      </c>
      <c r="S214" s="1">
        <v>75.099999999999994</v>
      </c>
      <c r="T214" s="5">
        <v>7.8100000000000003E-2</v>
      </c>
      <c r="U214" s="10">
        <v>4.0000000000000001E-3</v>
      </c>
    </row>
    <row r="215" spans="1:21" customFormat="1">
      <c r="A215">
        <v>1</v>
      </c>
      <c r="B215">
        <v>27</v>
      </c>
      <c r="C215">
        <v>7</v>
      </c>
      <c r="D215">
        <v>2</v>
      </c>
      <c r="E215">
        <v>2020</v>
      </c>
      <c r="F215">
        <v>10101</v>
      </c>
      <c r="G215" t="str">
        <f>VLOOKUP(F215,'[1]Sheet 1'!$B$2:$E$347,2,FALSE)</f>
        <v>Los Lagos</v>
      </c>
      <c r="H215" t="str">
        <f>VLOOKUP(F215,'[1]Sheet 1'!$B$2:$E$347,3,FALSE)</f>
        <v>Llanquihue</v>
      </c>
      <c r="I215" t="str">
        <f>VLOOKUP(F215,'[1]Sheet 1'!$B$2:$E$347,4,FALSE)</f>
        <v>Puerto Montt</v>
      </c>
      <c r="J215" t="s">
        <v>136</v>
      </c>
      <c r="K215" s="3" t="s">
        <v>4</v>
      </c>
      <c r="L215" s="12" t="str">
        <f>VLOOKUP(K215,[2]Hoja4!$A$2:$C$443,2,FALSE)</f>
        <v>Intentional self-harm by hanging, strangulation and suffocation</v>
      </c>
      <c r="M215" s="12" t="str">
        <f>VLOOKUP(K215,[2]Hoja4!$A$2:$C$443,3,FALSE)</f>
        <v>At home</v>
      </c>
      <c r="N215" s="1">
        <v>4.5999999999999996</v>
      </c>
      <c r="O215" s="1">
        <v>19.100000000000001</v>
      </c>
      <c r="P215" s="1">
        <v>12.6</v>
      </c>
      <c r="Q215" s="1">
        <v>1013.3</v>
      </c>
      <c r="R215" s="1">
        <v>0</v>
      </c>
      <c r="S215" s="1">
        <v>79</v>
      </c>
      <c r="T215" s="5">
        <v>7.8100000000000003E-2</v>
      </c>
      <c r="U215" s="10">
        <v>4.0000000000000001E-3</v>
      </c>
    </row>
    <row r="216" spans="1:21" customFormat="1">
      <c r="A216">
        <v>1</v>
      </c>
      <c r="B216">
        <v>27</v>
      </c>
      <c r="C216">
        <v>7</v>
      </c>
      <c r="D216">
        <v>2</v>
      </c>
      <c r="E216">
        <v>2020</v>
      </c>
      <c r="F216">
        <v>6107</v>
      </c>
      <c r="G216" t="str">
        <f>VLOOKUP(F216,'[1]Sheet 1'!$B$2:$E$347,2,FALSE)</f>
        <v>Libertador General Bernardo O'Higgins</v>
      </c>
      <c r="H216" t="str">
        <f>VLOOKUP(F216,'[1]Sheet 1'!$B$2:$E$347,3,FALSE)</f>
        <v>Cachapoal</v>
      </c>
      <c r="I216" t="str">
        <f>VLOOKUP(F216,'[1]Sheet 1'!$B$2:$E$347,4,FALSE)</f>
        <v>Las Cabras</v>
      </c>
      <c r="J216" t="s">
        <v>136</v>
      </c>
      <c r="K216" s="3" t="s">
        <v>0</v>
      </c>
      <c r="L216" s="12" t="str">
        <f>VLOOKUP(K216,[2]Hoja4!$A$2:$C$443,2,FALSE)</f>
        <v>Intentional self-harm by hanging, strangulation and suffocation</v>
      </c>
      <c r="M216" s="12" t="str">
        <f>VLOOKUP(K216,[2]Hoja4!$A$2:$C$443,3,FALSE)</f>
        <v>Unspecified place</v>
      </c>
      <c r="N216" s="1">
        <v>11.4</v>
      </c>
      <c r="O216" s="1">
        <v>32.6</v>
      </c>
      <c r="P216" s="1">
        <v>21.9</v>
      </c>
      <c r="Q216" s="1">
        <v>959</v>
      </c>
      <c r="R216" s="1">
        <v>0</v>
      </c>
      <c r="S216" s="1">
        <v>38.200000000000003</v>
      </c>
      <c r="T216" s="5">
        <v>7.8100000000000003E-2</v>
      </c>
      <c r="U216" s="10">
        <v>4.0000000000000001E-3</v>
      </c>
    </row>
    <row r="217" spans="1:21" customFormat="1">
      <c r="A217">
        <v>1</v>
      </c>
      <c r="B217">
        <v>75</v>
      </c>
      <c r="C217">
        <v>8</v>
      </c>
      <c r="D217">
        <v>2</v>
      </c>
      <c r="E217">
        <v>2020</v>
      </c>
      <c r="F217">
        <v>14201</v>
      </c>
      <c r="G217" t="str">
        <f>VLOOKUP(F217,'[1]Sheet 1'!$B$2:$E$347,2,FALSE)</f>
        <v>Los Ríos</v>
      </c>
      <c r="H217" t="str">
        <f>VLOOKUP(F217,'[1]Sheet 1'!$B$2:$E$347,3,FALSE)</f>
        <v>Ranco</v>
      </c>
      <c r="I217" t="str">
        <f>VLOOKUP(F217,'[1]Sheet 1'!$B$2:$E$347,4,FALSE)</f>
        <v>La Unión</v>
      </c>
      <c r="J217" t="s">
        <v>136</v>
      </c>
      <c r="K217" s="3" t="s">
        <v>4</v>
      </c>
      <c r="L217" s="12" t="str">
        <f>VLOOKUP(K217,[2]Hoja4!$A$2:$C$443,2,FALSE)</f>
        <v>Intentional self-harm by hanging, strangulation and suffocation</v>
      </c>
      <c r="M217" s="12" t="str">
        <f>VLOOKUP(K217,[2]Hoja4!$A$2:$C$443,3,FALSE)</f>
        <v>At home</v>
      </c>
      <c r="N217" s="1">
        <v>9.1</v>
      </c>
      <c r="O217" s="1">
        <v>29.1</v>
      </c>
      <c r="P217" s="1">
        <v>17.7</v>
      </c>
      <c r="Q217" s="1">
        <v>1008</v>
      </c>
      <c r="R217" s="1">
        <v>0</v>
      </c>
      <c r="S217" s="1">
        <v>52.2</v>
      </c>
      <c r="T217" s="5">
        <v>7.8100000000000003E-2</v>
      </c>
      <c r="U217" s="10">
        <v>4.0000000000000001E-3</v>
      </c>
    </row>
    <row r="218" spans="1:21" customFormat="1">
      <c r="A218">
        <v>2</v>
      </c>
      <c r="B218">
        <v>50</v>
      </c>
      <c r="C218">
        <v>8</v>
      </c>
      <c r="D218">
        <v>2</v>
      </c>
      <c r="E218">
        <v>2020</v>
      </c>
      <c r="F218">
        <v>5109</v>
      </c>
      <c r="G218" t="str">
        <f>VLOOKUP(F218,'[1]Sheet 1'!$B$2:$E$347,2,FALSE)</f>
        <v>Valparaíso</v>
      </c>
      <c r="H218" t="str">
        <f>VLOOKUP(F218,'[1]Sheet 1'!$B$2:$E$347,3,FALSE)</f>
        <v>Valparaíso</v>
      </c>
      <c r="I218" t="str">
        <f>VLOOKUP(F218,'[1]Sheet 1'!$B$2:$E$347,4,FALSE)</f>
        <v>Viña del Mar</v>
      </c>
      <c r="J218" t="s">
        <v>138</v>
      </c>
      <c r="K218" s="3" t="s">
        <v>29</v>
      </c>
      <c r="L218" s="12" t="str">
        <f>VLOOKUP(K218,[2]Hoja4!$A$2:$C$443,2,FALSE)</f>
        <v>Intentional self-harm by jumping from a high place</v>
      </c>
      <c r="M218" s="12" t="str">
        <f>VLOOKUP(K218,[2]Hoja4!$A$2:$C$443,3,FALSE)</f>
        <v>Street and highway</v>
      </c>
      <c r="N218" s="1">
        <v>12.3</v>
      </c>
      <c r="O218" s="1">
        <v>20.5</v>
      </c>
      <c r="P218" s="1">
        <v>17.600000000000001</v>
      </c>
      <c r="Q218" s="1">
        <v>975.1</v>
      </c>
      <c r="R218" s="1">
        <v>0</v>
      </c>
      <c r="S218" s="1">
        <v>73.2</v>
      </c>
      <c r="T218" s="5">
        <v>7.8100000000000003E-2</v>
      </c>
      <c r="U218" s="10">
        <v>4.0000000000000001E-3</v>
      </c>
    </row>
    <row r="219" spans="1:21" customFormat="1">
      <c r="A219">
        <v>1</v>
      </c>
      <c r="B219">
        <v>46</v>
      </c>
      <c r="C219">
        <v>8</v>
      </c>
      <c r="D219">
        <v>2</v>
      </c>
      <c r="E219">
        <v>2020</v>
      </c>
      <c r="F219">
        <v>6113</v>
      </c>
      <c r="G219" t="str">
        <f>VLOOKUP(F219,'[1]Sheet 1'!$B$2:$E$347,2,FALSE)</f>
        <v>Libertador General Bernardo O'Higgins</v>
      </c>
      <c r="H219" t="str">
        <f>VLOOKUP(F219,'[1]Sheet 1'!$B$2:$E$347,3,FALSE)</f>
        <v>Cachapoal</v>
      </c>
      <c r="I219" t="str">
        <f>VLOOKUP(F219,'[1]Sheet 1'!$B$2:$E$347,4,FALSE)</f>
        <v>Pichidegua</v>
      </c>
      <c r="J219" t="s">
        <v>136</v>
      </c>
      <c r="K219" s="3" t="s">
        <v>0</v>
      </c>
      <c r="L219" s="12" t="str">
        <f>VLOOKUP(K219,[2]Hoja4!$A$2:$C$443,2,FALSE)</f>
        <v>Intentional self-harm by hanging, strangulation and suffocation</v>
      </c>
      <c r="M219" s="12" t="str">
        <f>VLOOKUP(K219,[2]Hoja4!$A$2:$C$443,3,FALSE)</f>
        <v>Unspecified place</v>
      </c>
      <c r="N219" s="1">
        <v>12.5</v>
      </c>
      <c r="O219" s="1">
        <v>34.4</v>
      </c>
      <c r="P219" s="1">
        <v>24.5</v>
      </c>
      <c r="Q219" s="1">
        <v>956.8</v>
      </c>
      <c r="R219" s="1">
        <v>0</v>
      </c>
      <c r="S219" s="1">
        <v>34.6</v>
      </c>
      <c r="T219" s="5">
        <v>7.8100000000000003E-2</v>
      </c>
      <c r="U219" s="10">
        <v>4.0000000000000001E-3</v>
      </c>
    </row>
    <row r="220" spans="1:21" customFormat="1">
      <c r="A220">
        <v>1</v>
      </c>
      <c r="B220">
        <v>45</v>
      </c>
      <c r="C220">
        <v>8</v>
      </c>
      <c r="D220">
        <v>2</v>
      </c>
      <c r="E220">
        <v>2020</v>
      </c>
      <c r="F220">
        <v>11101</v>
      </c>
      <c r="G220" t="str">
        <f>VLOOKUP(F220,'[1]Sheet 1'!$B$2:$E$347,2,FALSE)</f>
        <v>Aysén del General Carlos Ibáñez del Campo</v>
      </c>
      <c r="H220" t="str">
        <f>VLOOKUP(F220,'[1]Sheet 1'!$B$2:$E$347,3,FALSE)</f>
        <v>Coihaique</v>
      </c>
      <c r="I220" t="str">
        <f>VLOOKUP(F220,'[1]Sheet 1'!$B$2:$E$347,4,FALSE)</f>
        <v>Coihaique</v>
      </c>
      <c r="J220" t="s">
        <v>136</v>
      </c>
      <c r="K220" s="3" t="s">
        <v>4</v>
      </c>
      <c r="L220" s="12" t="str">
        <f>VLOOKUP(K220,[2]Hoja4!$A$2:$C$443,2,FALSE)</f>
        <v>Intentional self-harm by hanging, strangulation and suffocation</v>
      </c>
      <c r="M220" s="12" t="str">
        <f>VLOOKUP(K220,[2]Hoja4!$A$2:$C$443,3,FALSE)</f>
        <v>At home</v>
      </c>
      <c r="N220" s="1">
        <v>2.8</v>
      </c>
      <c r="O220" s="1">
        <v>23.6</v>
      </c>
      <c r="P220" s="1">
        <v>12.4</v>
      </c>
      <c r="Q220" s="1">
        <v>985.8</v>
      </c>
      <c r="R220" s="1">
        <v>0</v>
      </c>
      <c r="S220" s="1">
        <v>71</v>
      </c>
      <c r="T220" s="5">
        <v>7.8100000000000003E-2</v>
      </c>
      <c r="U220" s="10">
        <v>4.0000000000000001E-3</v>
      </c>
    </row>
    <row r="221" spans="1:21" customFormat="1">
      <c r="A221">
        <v>1</v>
      </c>
      <c r="B221">
        <v>43</v>
      </c>
      <c r="C221">
        <v>8</v>
      </c>
      <c r="D221">
        <v>2</v>
      </c>
      <c r="E221">
        <v>2020</v>
      </c>
      <c r="F221">
        <v>16101</v>
      </c>
      <c r="G221" t="str">
        <f>VLOOKUP(F221,'[1]Sheet 1'!$B$2:$E$347,2,FALSE)</f>
        <v>Ñuble</v>
      </c>
      <c r="H221" t="str">
        <f>VLOOKUP(F221,'[1]Sheet 1'!$B$2:$E$347,3,FALSE)</f>
        <v>Diguillín</v>
      </c>
      <c r="I221" t="str">
        <f>VLOOKUP(F221,'[1]Sheet 1'!$B$2:$E$347,4,FALSE)</f>
        <v>Chillán</v>
      </c>
      <c r="J221" t="s">
        <v>136</v>
      </c>
      <c r="K221" s="3" t="s">
        <v>4</v>
      </c>
      <c r="L221" s="12" t="str">
        <f>VLOOKUP(K221,[2]Hoja4!$A$2:$C$443,2,FALSE)</f>
        <v>Intentional self-harm by hanging, strangulation and suffocation</v>
      </c>
      <c r="M221" s="12" t="str">
        <f>VLOOKUP(K221,[2]Hoja4!$A$2:$C$443,3,FALSE)</f>
        <v>At home</v>
      </c>
      <c r="N221" s="1">
        <v>12.1</v>
      </c>
      <c r="O221" s="1">
        <v>36.1</v>
      </c>
      <c r="P221" s="1">
        <v>22.7</v>
      </c>
      <c r="Q221" s="1">
        <v>994.3</v>
      </c>
      <c r="R221" s="1">
        <v>0</v>
      </c>
      <c r="S221" s="1">
        <v>45.8</v>
      </c>
      <c r="T221" s="5">
        <v>7.8100000000000003E-2</v>
      </c>
      <c r="U221" s="10">
        <v>4.0000000000000001E-3</v>
      </c>
    </row>
    <row r="222" spans="1:21" customFormat="1">
      <c r="A222">
        <v>1</v>
      </c>
      <c r="B222">
        <v>43</v>
      </c>
      <c r="C222">
        <v>8</v>
      </c>
      <c r="D222">
        <v>2</v>
      </c>
      <c r="E222">
        <v>2020</v>
      </c>
      <c r="F222">
        <v>8308</v>
      </c>
      <c r="G222" t="str">
        <f>VLOOKUP(F222,'[1]Sheet 1'!$B$2:$E$347,2,FALSE)</f>
        <v>Biobío</v>
      </c>
      <c r="H222" t="str">
        <f>VLOOKUP(F222,'[1]Sheet 1'!$B$2:$E$347,3,FALSE)</f>
        <v>Biobío</v>
      </c>
      <c r="I222" t="str">
        <f>VLOOKUP(F222,'[1]Sheet 1'!$B$2:$E$347,4,FALSE)</f>
        <v>Quilaco</v>
      </c>
      <c r="J222" t="s">
        <v>136</v>
      </c>
      <c r="K222" s="3" t="s">
        <v>0</v>
      </c>
      <c r="L222" s="12" t="str">
        <f>VLOOKUP(K222,[2]Hoja4!$A$2:$C$443,2,FALSE)</f>
        <v>Intentional self-harm by hanging, strangulation and suffocation</v>
      </c>
      <c r="M222" s="12" t="str">
        <f>VLOOKUP(K222,[2]Hoja4!$A$2:$C$443,3,FALSE)</f>
        <v>Unspecified place</v>
      </c>
      <c r="N222" s="1">
        <v>13.4</v>
      </c>
      <c r="O222" s="1">
        <v>35.6</v>
      </c>
      <c r="P222" s="1">
        <v>24.5</v>
      </c>
      <c r="Q222" s="1">
        <v>1000.2</v>
      </c>
      <c r="R222" s="1">
        <v>0</v>
      </c>
      <c r="S222" s="1">
        <v>53.2</v>
      </c>
      <c r="T222" s="5">
        <v>7.8100000000000003E-2</v>
      </c>
      <c r="U222" s="10">
        <v>4.0000000000000001E-3</v>
      </c>
    </row>
    <row r="223" spans="1:21" customFormat="1">
      <c r="A223">
        <v>1</v>
      </c>
      <c r="B223">
        <v>23</v>
      </c>
      <c r="C223">
        <v>8</v>
      </c>
      <c r="D223">
        <v>2</v>
      </c>
      <c r="E223">
        <v>2020</v>
      </c>
      <c r="F223">
        <v>4102</v>
      </c>
      <c r="G223" t="str">
        <f>VLOOKUP(F223,'[1]Sheet 1'!$B$2:$E$347,2,FALSE)</f>
        <v>Coquimbo</v>
      </c>
      <c r="H223" t="str">
        <f>VLOOKUP(F223,'[1]Sheet 1'!$B$2:$E$347,3,FALSE)</f>
        <v>Elqui</v>
      </c>
      <c r="I223" t="str">
        <f>VLOOKUP(F223,'[1]Sheet 1'!$B$2:$E$347,4,FALSE)</f>
        <v>Coquimbo</v>
      </c>
      <c r="J223" t="s">
        <v>136</v>
      </c>
      <c r="K223" s="3" t="s">
        <v>4</v>
      </c>
      <c r="L223" s="12" t="str">
        <f>VLOOKUP(K223,[2]Hoja4!$A$2:$C$443,2,FALSE)</f>
        <v>Intentional self-harm by hanging, strangulation and suffocation</v>
      </c>
      <c r="M223" s="12" t="str">
        <f>VLOOKUP(K223,[2]Hoja4!$A$2:$C$443,3,FALSE)</f>
        <v>At home</v>
      </c>
      <c r="N223" s="1">
        <v>14</v>
      </c>
      <c r="O223" s="1">
        <v>20.399999999999999</v>
      </c>
      <c r="P223" s="1">
        <v>16.600000000000001</v>
      </c>
      <c r="Q223" s="1">
        <v>998.4</v>
      </c>
      <c r="R223" s="1">
        <v>0</v>
      </c>
      <c r="S223" s="1">
        <v>81</v>
      </c>
      <c r="T223" s="5">
        <v>7.8100000000000003E-2</v>
      </c>
      <c r="U223" s="10">
        <v>4.0000000000000001E-3</v>
      </c>
    </row>
    <row r="224" spans="1:21" customFormat="1">
      <c r="A224">
        <v>1</v>
      </c>
      <c r="B224">
        <v>68</v>
      </c>
      <c r="C224">
        <v>9</v>
      </c>
      <c r="D224">
        <v>2</v>
      </c>
      <c r="E224">
        <v>2020</v>
      </c>
      <c r="F224">
        <v>12101</v>
      </c>
      <c r="G224" t="str">
        <f>VLOOKUP(F224,'[1]Sheet 1'!$B$2:$E$347,2,FALSE)</f>
        <v>Magallanes y de la Antártica Chilena</v>
      </c>
      <c r="H224" t="str">
        <f>VLOOKUP(F224,'[1]Sheet 1'!$B$2:$E$347,3,FALSE)</f>
        <v>Magallanes</v>
      </c>
      <c r="I224" t="str">
        <f>VLOOKUP(F224,'[1]Sheet 1'!$B$2:$E$347,4,FALSE)</f>
        <v>Punta Arenas</v>
      </c>
      <c r="J224" t="s">
        <v>136</v>
      </c>
      <c r="K224" s="3" t="s">
        <v>4</v>
      </c>
      <c r="L224" s="12" t="str">
        <f>VLOOKUP(K224,[2]Hoja4!$A$2:$C$443,2,FALSE)</f>
        <v>Intentional self-harm by hanging, strangulation and suffocation</v>
      </c>
      <c r="M224" s="12" t="str">
        <f>VLOOKUP(K224,[2]Hoja4!$A$2:$C$443,3,FALSE)</f>
        <v>At home</v>
      </c>
      <c r="N224" s="1">
        <v>10.1</v>
      </c>
      <c r="O224" s="1">
        <v>19.7</v>
      </c>
      <c r="P224" s="1">
        <v>14.1</v>
      </c>
      <c r="Q224" s="1">
        <v>1008.1</v>
      </c>
      <c r="R224" s="1">
        <v>0</v>
      </c>
      <c r="S224" s="1">
        <v>68</v>
      </c>
      <c r="T224" s="5">
        <v>7.8100000000000003E-2</v>
      </c>
      <c r="U224" s="10">
        <v>4.0000000000000001E-3</v>
      </c>
    </row>
    <row r="225" spans="1:21" customFormat="1">
      <c r="A225">
        <v>2</v>
      </c>
      <c r="B225">
        <v>54</v>
      </c>
      <c r="C225">
        <v>9</v>
      </c>
      <c r="D225">
        <v>2</v>
      </c>
      <c r="E225">
        <v>2020</v>
      </c>
      <c r="F225">
        <v>13103</v>
      </c>
      <c r="G225" t="str">
        <f>VLOOKUP(F225,'[1]Sheet 1'!$B$2:$E$347,2,FALSE)</f>
        <v>Metropolitana de Santiago</v>
      </c>
      <c r="H225" t="str">
        <f>VLOOKUP(F225,'[1]Sheet 1'!$B$2:$E$347,3,FALSE)</f>
        <v>Santiago</v>
      </c>
      <c r="I225" t="str">
        <f>VLOOKUP(F225,'[1]Sheet 1'!$B$2:$E$347,4,FALSE)</f>
        <v>Cerro Navia</v>
      </c>
      <c r="J225" t="s">
        <v>136</v>
      </c>
      <c r="K225" s="3" t="s">
        <v>0</v>
      </c>
      <c r="L225" s="12" t="str">
        <f>VLOOKUP(K225,[2]Hoja4!$A$2:$C$443,2,FALSE)</f>
        <v>Intentional self-harm by hanging, strangulation and suffocation</v>
      </c>
      <c r="M225" s="12" t="str">
        <f>VLOOKUP(K225,[2]Hoja4!$A$2:$C$443,3,FALSE)</f>
        <v>Unspecified place</v>
      </c>
      <c r="N225" s="1">
        <v>12.1</v>
      </c>
      <c r="O225" s="1">
        <v>32.4</v>
      </c>
      <c r="P225" s="1">
        <v>22.8</v>
      </c>
      <c r="Q225" s="1">
        <v>954.4</v>
      </c>
      <c r="R225" s="1"/>
      <c r="S225" s="1">
        <v>39.799999999999997</v>
      </c>
      <c r="T225" s="5">
        <v>7.8100000000000003E-2</v>
      </c>
      <c r="U225" s="10">
        <v>4.0000000000000001E-3</v>
      </c>
    </row>
    <row r="226" spans="1:21" customFormat="1">
      <c r="A226">
        <v>1</v>
      </c>
      <c r="B226">
        <v>46</v>
      </c>
      <c r="C226">
        <v>9</v>
      </c>
      <c r="D226">
        <v>2</v>
      </c>
      <c r="E226">
        <v>2020</v>
      </c>
      <c r="F226">
        <v>10101</v>
      </c>
      <c r="G226" t="str">
        <f>VLOOKUP(F226,'[1]Sheet 1'!$B$2:$E$347,2,FALSE)</f>
        <v>Los Lagos</v>
      </c>
      <c r="H226" t="str">
        <f>VLOOKUP(F226,'[1]Sheet 1'!$B$2:$E$347,3,FALSE)</f>
        <v>Llanquihue</v>
      </c>
      <c r="I226" t="str">
        <f>VLOOKUP(F226,'[1]Sheet 1'!$B$2:$E$347,4,FALSE)</f>
        <v>Puerto Montt</v>
      </c>
      <c r="J226" t="s">
        <v>136</v>
      </c>
      <c r="K226" s="3" t="s">
        <v>0</v>
      </c>
      <c r="L226" s="12" t="str">
        <f>VLOOKUP(K226,[2]Hoja4!$A$2:$C$443,2,FALSE)</f>
        <v>Intentional self-harm by hanging, strangulation and suffocation</v>
      </c>
      <c r="M226" s="12" t="str">
        <f>VLOOKUP(K226,[2]Hoja4!$A$2:$C$443,3,FALSE)</f>
        <v>Unspecified place</v>
      </c>
      <c r="N226" s="1">
        <v>7.5</v>
      </c>
      <c r="O226" s="1">
        <v>23.7</v>
      </c>
      <c r="P226" s="1">
        <v>15.5</v>
      </c>
      <c r="Q226" s="1">
        <v>1009</v>
      </c>
      <c r="R226" s="1">
        <v>0</v>
      </c>
      <c r="S226" s="1">
        <v>69.5</v>
      </c>
      <c r="T226" s="5">
        <v>7.8100000000000003E-2</v>
      </c>
      <c r="U226" s="10">
        <v>4.0000000000000001E-3</v>
      </c>
    </row>
    <row r="227" spans="1:21" customFormat="1">
      <c r="A227">
        <v>1</v>
      </c>
      <c r="B227">
        <v>47</v>
      </c>
      <c r="C227">
        <v>9</v>
      </c>
      <c r="D227">
        <v>2</v>
      </c>
      <c r="E227">
        <v>2020</v>
      </c>
      <c r="F227">
        <v>9112</v>
      </c>
      <c r="G227" t="str">
        <f>VLOOKUP(F227,'[1]Sheet 1'!$B$2:$E$347,2,FALSE)</f>
        <v>La Araucanía</v>
      </c>
      <c r="H227" t="str">
        <f>VLOOKUP(F227,'[1]Sheet 1'!$B$2:$E$347,3,FALSE)</f>
        <v>Cautín</v>
      </c>
      <c r="I227" t="str">
        <f>VLOOKUP(F227,'[1]Sheet 1'!$B$2:$E$347,4,FALSE)</f>
        <v>Padre Las Casas</v>
      </c>
      <c r="J227" t="s">
        <v>150</v>
      </c>
      <c r="K227" s="3" t="s">
        <v>30</v>
      </c>
      <c r="L227" s="12" t="str">
        <f>VLOOKUP(K227,[2]Hoja4!$A$2:$C$443,2,FALSE)</f>
        <v>Intentional self-poisoning by and exposure to pesticides</v>
      </c>
      <c r="M227" s="12" t="str">
        <f>VLOOKUP(K227,[2]Hoja4!$A$2:$C$443,3,FALSE)</f>
        <v>Street and highway</v>
      </c>
      <c r="N227" s="1">
        <v>9.6999999999999993</v>
      </c>
      <c r="O227" s="1">
        <v>30.9</v>
      </c>
      <c r="P227" s="1">
        <v>19.600000000000001</v>
      </c>
      <c r="Q227" s="1">
        <v>1004</v>
      </c>
      <c r="R227" s="1">
        <v>0</v>
      </c>
      <c r="S227" s="1">
        <v>69.8</v>
      </c>
      <c r="T227" s="5">
        <v>7.8100000000000003E-2</v>
      </c>
      <c r="U227" s="10">
        <v>4.0000000000000001E-3</v>
      </c>
    </row>
    <row r="228" spans="1:21" customFormat="1">
      <c r="A228">
        <v>1</v>
      </c>
      <c r="B228">
        <v>27</v>
      </c>
      <c r="C228">
        <v>9</v>
      </c>
      <c r="D228">
        <v>2</v>
      </c>
      <c r="E228">
        <v>2020</v>
      </c>
      <c r="F228">
        <v>5501</v>
      </c>
      <c r="G228" t="str">
        <f>VLOOKUP(F228,'[1]Sheet 1'!$B$2:$E$347,2,FALSE)</f>
        <v>Valparaíso</v>
      </c>
      <c r="H228" t="str">
        <f>VLOOKUP(F228,'[1]Sheet 1'!$B$2:$E$347,3,FALSE)</f>
        <v>Quillota</v>
      </c>
      <c r="I228" t="str">
        <f>VLOOKUP(F228,'[1]Sheet 1'!$B$2:$E$347,4,FALSE)</f>
        <v>Quillota</v>
      </c>
      <c r="J228" t="s">
        <v>136</v>
      </c>
      <c r="K228" s="3" t="s">
        <v>4</v>
      </c>
      <c r="L228" s="12" t="str">
        <f>VLOOKUP(K228,[2]Hoja4!$A$2:$C$443,2,FALSE)</f>
        <v>Intentional self-harm by hanging, strangulation and suffocation</v>
      </c>
      <c r="M228" s="12" t="str">
        <f>VLOOKUP(K228,[2]Hoja4!$A$2:$C$443,3,FALSE)</f>
        <v>At home</v>
      </c>
      <c r="N228" s="1">
        <v>13.8</v>
      </c>
      <c r="O228" s="1">
        <v>27.7</v>
      </c>
      <c r="P228" s="1">
        <v>19.2</v>
      </c>
      <c r="Q228" s="1">
        <v>995.3</v>
      </c>
      <c r="R228" s="1">
        <v>0</v>
      </c>
      <c r="S228" s="1">
        <v>71</v>
      </c>
      <c r="T228" s="5">
        <v>7.8100000000000003E-2</v>
      </c>
      <c r="U228" s="10">
        <v>4.0000000000000001E-3</v>
      </c>
    </row>
    <row r="229" spans="1:21" customFormat="1">
      <c r="A229">
        <v>1</v>
      </c>
      <c r="B229">
        <v>28</v>
      </c>
      <c r="C229">
        <v>9</v>
      </c>
      <c r="D229">
        <v>2</v>
      </c>
      <c r="E229">
        <v>2020</v>
      </c>
      <c r="F229">
        <v>13111</v>
      </c>
      <c r="G229" t="str">
        <f>VLOOKUP(F229,'[1]Sheet 1'!$B$2:$E$347,2,FALSE)</f>
        <v>Metropolitana de Santiago</v>
      </c>
      <c r="H229" t="str">
        <f>VLOOKUP(F229,'[1]Sheet 1'!$B$2:$E$347,3,FALSE)</f>
        <v>Santiago</v>
      </c>
      <c r="I229" t="str">
        <f>VLOOKUP(F229,'[1]Sheet 1'!$B$2:$E$347,4,FALSE)</f>
        <v>La Granja</v>
      </c>
      <c r="J229" t="s">
        <v>136</v>
      </c>
      <c r="K229" s="3" t="s">
        <v>0</v>
      </c>
      <c r="L229" s="12" t="str">
        <f>VLOOKUP(K229,[2]Hoja4!$A$2:$C$443,2,FALSE)</f>
        <v>Intentional self-harm by hanging, strangulation and suffocation</v>
      </c>
      <c r="M229" s="12" t="str">
        <f>VLOOKUP(K229,[2]Hoja4!$A$2:$C$443,3,FALSE)</f>
        <v>Unspecified place</v>
      </c>
      <c r="N229" s="1">
        <v>12.1</v>
      </c>
      <c r="O229" s="1">
        <v>32.4</v>
      </c>
      <c r="P229" s="1">
        <v>22.8</v>
      </c>
      <c r="Q229" s="1">
        <v>954.4</v>
      </c>
      <c r="R229" s="1"/>
      <c r="S229" s="1">
        <v>39.799999999999997</v>
      </c>
      <c r="T229" s="5">
        <v>7.8100000000000003E-2</v>
      </c>
      <c r="U229" s="10">
        <v>4.0000000000000001E-3</v>
      </c>
    </row>
    <row r="230" spans="1:21" customFormat="1">
      <c r="A230">
        <v>1</v>
      </c>
      <c r="B230">
        <v>71</v>
      </c>
      <c r="C230">
        <v>10</v>
      </c>
      <c r="D230">
        <v>2</v>
      </c>
      <c r="E230">
        <v>2020</v>
      </c>
      <c r="F230">
        <v>16207</v>
      </c>
      <c r="G230" t="str">
        <f>VLOOKUP(F230,'[1]Sheet 1'!$B$2:$E$347,2,FALSE)</f>
        <v>Ñuble</v>
      </c>
      <c r="H230" t="str">
        <f>VLOOKUP(F230,'[1]Sheet 1'!$B$2:$E$347,3,FALSE)</f>
        <v>Itata</v>
      </c>
      <c r="I230" t="str">
        <f>VLOOKUP(F230,'[1]Sheet 1'!$B$2:$E$347,4,FALSE)</f>
        <v>Treguaco</v>
      </c>
      <c r="J230" t="s">
        <v>136</v>
      </c>
      <c r="K230" s="3" t="s">
        <v>13</v>
      </c>
      <c r="L230" s="12" t="str">
        <f>VLOOKUP(K230,[2]Hoja4!$A$2:$C$443,2,FALSE)</f>
        <v>Intentional self-harm by hanging, strangulation and suffocation</v>
      </c>
      <c r="M230" s="12" t="str">
        <f>VLOOKUP(K230,[2]Hoja4!$A$2:$C$443,3,FALSE)</f>
        <v>Other specified places</v>
      </c>
      <c r="N230" s="1">
        <v>19.600000000000001</v>
      </c>
      <c r="O230" s="1">
        <v>35.1</v>
      </c>
      <c r="P230" s="1">
        <v>25.8</v>
      </c>
      <c r="Q230" s="1">
        <v>1000</v>
      </c>
      <c r="R230" s="1">
        <v>0</v>
      </c>
      <c r="S230" s="1">
        <v>41.9</v>
      </c>
      <c r="T230" s="5">
        <v>7.8100000000000003E-2</v>
      </c>
      <c r="U230" s="10">
        <v>4.0000000000000001E-3</v>
      </c>
    </row>
    <row r="231" spans="1:21" customFormat="1">
      <c r="A231">
        <v>1</v>
      </c>
      <c r="B231">
        <v>70</v>
      </c>
      <c r="C231">
        <v>10</v>
      </c>
      <c r="D231">
        <v>2</v>
      </c>
      <c r="E231">
        <v>2020</v>
      </c>
      <c r="F231">
        <v>2101</v>
      </c>
      <c r="G231" t="str">
        <f>VLOOKUP(F231,'[1]Sheet 1'!$B$2:$E$347,2,FALSE)</f>
        <v>Antofagasta</v>
      </c>
      <c r="H231" t="str">
        <f>VLOOKUP(F231,'[1]Sheet 1'!$B$2:$E$347,3,FALSE)</f>
        <v>Antofagasta</v>
      </c>
      <c r="I231" t="str">
        <f>VLOOKUP(F231,'[1]Sheet 1'!$B$2:$E$347,4,FALSE)</f>
        <v>Antofagasta</v>
      </c>
      <c r="J231" t="s">
        <v>136</v>
      </c>
      <c r="K231" s="3" t="s">
        <v>4</v>
      </c>
      <c r="L231" s="12" t="str">
        <f>VLOOKUP(K231,[2]Hoja4!$A$2:$C$443,2,FALSE)</f>
        <v>Intentional self-harm by hanging, strangulation and suffocation</v>
      </c>
      <c r="M231" s="12" t="str">
        <f>VLOOKUP(K231,[2]Hoja4!$A$2:$C$443,3,FALSE)</f>
        <v>At home</v>
      </c>
      <c r="N231" s="1">
        <v>18.5</v>
      </c>
      <c r="O231" s="1">
        <v>22.7</v>
      </c>
      <c r="P231" s="1">
        <v>20.5</v>
      </c>
      <c r="Q231" s="1">
        <v>997.1</v>
      </c>
      <c r="R231" s="1">
        <v>0</v>
      </c>
      <c r="S231" s="1">
        <v>67.2</v>
      </c>
      <c r="T231" s="5">
        <v>7.8100000000000003E-2</v>
      </c>
      <c r="U231" s="10">
        <v>4.0000000000000001E-3</v>
      </c>
    </row>
    <row r="232" spans="1:21" customFormat="1">
      <c r="A232">
        <v>2</v>
      </c>
      <c r="B232">
        <v>65</v>
      </c>
      <c r="C232">
        <v>10</v>
      </c>
      <c r="D232">
        <v>2</v>
      </c>
      <c r="E232">
        <v>2020</v>
      </c>
      <c r="F232">
        <v>8110</v>
      </c>
      <c r="G232" t="str">
        <f>VLOOKUP(F232,'[1]Sheet 1'!$B$2:$E$347,2,FALSE)</f>
        <v>Biobío</v>
      </c>
      <c r="H232" t="str">
        <f>VLOOKUP(F232,'[1]Sheet 1'!$B$2:$E$347,3,FALSE)</f>
        <v>Concepción</v>
      </c>
      <c r="I232" t="str">
        <f>VLOOKUP(F232,'[1]Sheet 1'!$B$2:$E$347,4,FALSE)</f>
        <v>Talcahuano</v>
      </c>
      <c r="J232" t="s">
        <v>136</v>
      </c>
      <c r="K232" s="3" t="s">
        <v>4</v>
      </c>
      <c r="L232" s="12" t="str">
        <f>VLOOKUP(K232,[2]Hoja4!$A$2:$C$443,2,FALSE)</f>
        <v>Intentional self-harm by hanging, strangulation and suffocation</v>
      </c>
      <c r="M232" s="12" t="str">
        <f>VLOOKUP(K232,[2]Hoja4!$A$2:$C$443,3,FALSE)</f>
        <v>At home</v>
      </c>
      <c r="N232" s="1">
        <v>13.1</v>
      </c>
      <c r="O232" s="1">
        <v>24.3</v>
      </c>
      <c r="P232" s="1">
        <v>18</v>
      </c>
      <c r="Q232" s="1">
        <v>1012.9</v>
      </c>
      <c r="R232" s="1">
        <v>0</v>
      </c>
      <c r="S232" s="1">
        <v>75.2</v>
      </c>
      <c r="T232" s="5">
        <v>7.8100000000000003E-2</v>
      </c>
      <c r="U232" s="10">
        <v>4.0000000000000001E-3</v>
      </c>
    </row>
    <row r="233" spans="1:21" customFormat="1">
      <c r="A233">
        <v>1</v>
      </c>
      <c r="B233">
        <v>16</v>
      </c>
      <c r="C233">
        <v>10</v>
      </c>
      <c r="D233">
        <v>2</v>
      </c>
      <c r="E233">
        <v>2020</v>
      </c>
      <c r="F233">
        <v>7201</v>
      </c>
      <c r="G233" t="str">
        <f>VLOOKUP(F233,'[1]Sheet 1'!$B$2:$E$347,2,FALSE)</f>
        <v>Maule</v>
      </c>
      <c r="H233" t="str">
        <f>VLOOKUP(F233,'[1]Sheet 1'!$B$2:$E$347,3,FALSE)</f>
        <v>Cauquenes</v>
      </c>
      <c r="I233" t="str">
        <f>VLOOKUP(F233,'[1]Sheet 1'!$B$2:$E$347,4,FALSE)</f>
        <v>Cauquenes</v>
      </c>
      <c r="J233" t="s">
        <v>136</v>
      </c>
      <c r="K233" s="3" t="s">
        <v>4</v>
      </c>
      <c r="L233" s="12" t="str">
        <f>VLOOKUP(K233,[2]Hoja4!$A$2:$C$443,2,FALSE)</f>
        <v>Intentional self-harm by hanging, strangulation and suffocation</v>
      </c>
      <c r="M233" s="12" t="str">
        <f>VLOOKUP(K233,[2]Hoja4!$A$2:$C$443,3,FALSE)</f>
        <v>At home</v>
      </c>
      <c r="N233" s="1">
        <v>12.5</v>
      </c>
      <c r="O233" s="1">
        <v>36.299999999999997</v>
      </c>
      <c r="P233" s="1">
        <v>24.3</v>
      </c>
      <c r="Q233" s="1">
        <v>995.7</v>
      </c>
      <c r="R233" s="1">
        <v>0</v>
      </c>
      <c r="S233" s="1">
        <v>50.9</v>
      </c>
      <c r="T233" s="5">
        <v>7.8100000000000003E-2</v>
      </c>
      <c r="U233" s="10">
        <v>4.0000000000000001E-3</v>
      </c>
    </row>
    <row r="234" spans="1:21" customFormat="1">
      <c r="A234">
        <v>1</v>
      </c>
      <c r="B234">
        <v>24</v>
      </c>
      <c r="C234">
        <v>10</v>
      </c>
      <c r="D234">
        <v>2</v>
      </c>
      <c r="E234">
        <v>2020</v>
      </c>
      <c r="F234">
        <v>8301</v>
      </c>
      <c r="G234" t="str">
        <f>VLOOKUP(F234,'[1]Sheet 1'!$B$2:$E$347,2,FALSE)</f>
        <v>Biobío</v>
      </c>
      <c r="H234" t="str">
        <f>VLOOKUP(F234,'[1]Sheet 1'!$B$2:$E$347,3,FALSE)</f>
        <v>Biobío</v>
      </c>
      <c r="I234" t="str">
        <f>VLOOKUP(F234,'[1]Sheet 1'!$B$2:$E$347,4,FALSE)</f>
        <v>Los Angeles</v>
      </c>
      <c r="J234" t="s">
        <v>136</v>
      </c>
      <c r="K234" s="3" t="s">
        <v>0</v>
      </c>
      <c r="L234" s="12" t="str">
        <f>VLOOKUP(K234,[2]Hoja4!$A$2:$C$443,2,FALSE)</f>
        <v>Intentional self-harm by hanging, strangulation and suffocation</v>
      </c>
      <c r="M234" s="12" t="str">
        <f>VLOOKUP(K234,[2]Hoja4!$A$2:$C$443,3,FALSE)</f>
        <v>Unspecified place</v>
      </c>
      <c r="N234" s="1">
        <v>17</v>
      </c>
      <c r="O234" s="1">
        <v>35.200000000000003</v>
      </c>
      <c r="P234" s="1">
        <v>26.1</v>
      </c>
      <c r="Q234" s="1">
        <v>999.1</v>
      </c>
      <c r="R234" s="1">
        <v>0</v>
      </c>
      <c r="S234" s="1">
        <v>62.2</v>
      </c>
      <c r="T234" s="5">
        <v>7.8100000000000003E-2</v>
      </c>
      <c r="U234" s="10">
        <v>4.0000000000000001E-3</v>
      </c>
    </row>
    <row r="235" spans="1:21" customFormat="1">
      <c r="A235">
        <v>1</v>
      </c>
      <c r="B235">
        <v>52</v>
      </c>
      <c r="C235">
        <v>11</v>
      </c>
      <c r="D235">
        <v>2</v>
      </c>
      <c r="E235">
        <v>2020</v>
      </c>
      <c r="F235">
        <v>9120</v>
      </c>
      <c r="G235" t="str">
        <f>VLOOKUP(F235,'[1]Sheet 1'!$B$2:$E$347,2,FALSE)</f>
        <v>La Araucanía</v>
      </c>
      <c r="H235" t="str">
        <f>VLOOKUP(F235,'[1]Sheet 1'!$B$2:$E$347,3,FALSE)</f>
        <v>Cautín</v>
      </c>
      <c r="I235" t="str">
        <f>VLOOKUP(F235,'[1]Sheet 1'!$B$2:$E$347,4,FALSE)</f>
        <v>Villarrica</v>
      </c>
      <c r="J235" t="s">
        <v>136</v>
      </c>
      <c r="K235" s="3" t="s">
        <v>0</v>
      </c>
      <c r="L235" s="12" t="str">
        <f>VLOOKUP(K235,[2]Hoja4!$A$2:$C$443,2,FALSE)</f>
        <v>Intentional self-harm by hanging, strangulation and suffocation</v>
      </c>
      <c r="M235" s="12" t="str">
        <f>VLOOKUP(K235,[2]Hoja4!$A$2:$C$443,3,FALSE)</f>
        <v>Unspecified place</v>
      </c>
      <c r="N235" s="1">
        <v>11.2</v>
      </c>
      <c r="O235" s="1">
        <v>28.3</v>
      </c>
      <c r="P235" s="1">
        <v>16.899999999999999</v>
      </c>
      <c r="Q235" s="1">
        <v>1001.6</v>
      </c>
      <c r="R235" s="1">
        <v>0.4</v>
      </c>
      <c r="S235" s="1">
        <v>82</v>
      </c>
      <c r="T235" s="5">
        <v>7.8100000000000003E-2</v>
      </c>
      <c r="U235" s="10">
        <v>4.0000000000000001E-3</v>
      </c>
    </row>
    <row r="236" spans="1:21" customFormat="1">
      <c r="A236">
        <v>1</v>
      </c>
      <c r="B236">
        <v>38</v>
      </c>
      <c r="C236">
        <v>11</v>
      </c>
      <c r="D236">
        <v>2</v>
      </c>
      <c r="E236">
        <v>2020</v>
      </c>
      <c r="F236">
        <v>4302</v>
      </c>
      <c r="G236" t="str">
        <f>VLOOKUP(F236,'[1]Sheet 1'!$B$2:$E$347,2,FALSE)</f>
        <v>Coquimbo</v>
      </c>
      <c r="H236" t="str">
        <f>VLOOKUP(F236,'[1]Sheet 1'!$B$2:$E$347,3,FALSE)</f>
        <v>Limarí</v>
      </c>
      <c r="I236" t="str">
        <f>VLOOKUP(F236,'[1]Sheet 1'!$B$2:$E$347,4,FALSE)</f>
        <v>Combarbalá</v>
      </c>
      <c r="J236" t="s">
        <v>136</v>
      </c>
      <c r="K236" s="3" t="s">
        <v>4</v>
      </c>
      <c r="L236" s="12" t="str">
        <f>VLOOKUP(K236,[2]Hoja4!$A$2:$C$443,2,FALSE)</f>
        <v>Intentional self-harm by hanging, strangulation and suffocation</v>
      </c>
      <c r="M236" s="12" t="str">
        <f>VLOOKUP(K236,[2]Hoja4!$A$2:$C$443,3,FALSE)</f>
        <v>At home</v>
      </c>
      <c r="N236" s="1">
        <v>13.1</v>
      </c>
      <c r="O236" s="1">
        <v>26.8</v>
      </c>
      <c r="P236" s="1">
        <v>18.100000000000001</v>
      </c>
      <c r="Q236" s="1">
        <v>977</v>
      </c>
      <c r="R236" s="1">
        <v>0</v>
      </c>
      <c r="S236" s="1">
        <v>78.599999999999994</v>
      </c>
      <c r="T236" s="5">
        <v>7.8100000000000003E-2</v>
      </c>
      <c r="U236" s="10">
        <v>4.0000000000000001E-3</v>
      </c>
    </row>
    <row r="237" spans="1:21" customFormat="1">
      <c r="A237">
        <v>1</v>
      </c>
      <c r="B237">
        <v>20</v>
      </c>
      <c r="C237">
        <v>11</v>
      </c>
      <c r="D237">
        <v>2</v>
      </c>
      <c r="E237">
        <v>2020</v>
      </c>
      <c r="F237">
        <v>2101</v>
      </c>
      <c r="G237" t="str">
        <f>VLOOKUP(F237,'[1]Sheet 1'!$B$2:$E$347,2,FALSE)</f>
        <v>Antofagasta</v>
      </c>
      <c r="H237" t="str">
        <f>VLOOKUP(F237,'[1]Sheet 1'!$B$2:$E$347,3,FALSE)</f>
        <v>Antofagasta</v>
      </c>
      <c r="I237" t="str">
        <f>VLOOKUP(F237,'[1]Sheet 1'!$B$2:$E$347,4,FALSE)</f>
        <v>Antofagasta</v>
      </c>
      <c r="J237" t="s">
        <v>138</v>
      </c>
      <c r="K237" s="3" t="s">
        <v>9</v>
      </c>
      <c r="L237" s="12" t="str">
        <f>VLOOKUP(K237,[2]Hoja4!$A$2:$C$443,2,FALSE)</f>
        <v>Intentional self-harm by jumping from a high place</v>
      </c>
      <c r="M237" s="12" t="str">
        <f>VLOOKUP(K237,[2]Hoja4!$A$2:$C$443,3,FALSE)</f>
        <v>Unspecified place</v>
      </c>
      <c r="N237" s="1">
        <v>17.5</v>
      </c>
      <c r="O237" s="1">
        <v>22.7</v>
      </c>
      <c r="P237" s="1">
        <v>20.100000000000001</v>
      </c>
      <c r="Q237" s="1">
        <v>995.6</v>
      </c>
      <c r="R237" s="1">
        <v>0</v>
      </c>
      <c r="S237" s="1">
        <v>70.8</v>
      </c>
      <c r="T237" s="5">
        <v>7.8100000000000003E-2</v>
      </c>
      <c r="U237" s="10">
        <v>4.0000000000000001E-3</v>
      </c>
    </row>
    <row r="238" spans="1:21" customFormat="1">
      <c r="A238">
        <v>1</v>
      </c>
      <c r="B238">
        <v>39</v>
      </c>
      <c r="C238">
        <v>12</v>
      </c>
      <c r="D238">
        <v>2</v>
      </c>
      <c r="E238">
        <v>2020</v>
      </c>
      <c r="F238">
        <v>9211</v>
      </c>
      <c r="G238" t="str">
        <f>VLOOKUP(F238,'[1]Sheet 1'!$B$2:$E$347,2,FALSE)</f>
        <v>La Araucanía</v>
      </c>
      <c r="H238" t="str">
        <f>VLOOKUP(F238,'[1]Sheet 1'!$B$2:$E$347,3,FALSE)</f>
        <v>Malleco</v>
      </c>
      <c r="I238" t="str">
        <f>VLOOKUP(F238,'[1]Sheet 1'!$B$2:$E$347,4,FALSE)</f>
        <v>Victoria</v>
      </c>
      <c r="J238" t="s">
        <v>136</v>
      </c>
      <c r="K238" s="3" t="s">
        <v>0</v>
      </c>
      <c r="L238" s="12" t="str">
        <f>VLOOKUP(K238,[2]Hoja4!$A$2:$C$443,2,FALSE)</f>
        <v>Intentional self-harm by hanging, strangulation and suffocation</v>
      </c>
      <c r="M238" s="12" t="str">
        <f>VLOOKUP(K238,[2]Hoja4!$A$2:$C$443,3,FALSE)</f>
        <v>Unspecified place</v>
      </c>
      <c r="N238" s="1">
        <v>13.9</v>
      </c>
      <c r="O238" s="1" t="s">
        <v>57</v>
      </c>
      <c r="P238" s="1">
        <v>19.8</v>
      </c>
      <c r="Q238" s="1">
        <v>1007.9</v>
      </c>
      <c r="R238" s="1">
        <v>0</v>
      </c>
      <c r="S238" s="1">
        <v>66.3</v>
      </c>
      <c r="T238" s="5">
        <v>7.8100000000000003E-2</v>
      </c>
      <c r="U238" s="10">
        <v>4.0000000000000001E-3</v>
      </c>
    </row>
    <row r="239" spans="1:21" customFormat="1">
      <c r="A239">
        <v>1</v>
      </c>
      <c r="B239">
        <v>33</v>
      </c>
      <c r="C239">
        <v>12</v>
      </c>
      <c r="D239">
        <v>2</v>
      </c>
      <c r="E239">
        <v>2020</v>
      </c>
      <c r="F239">
        <v>13110</v>
      </c>
      <c r="G239" t="str">
        <f>VLOOKUP(F239,'[1]Sheet 1'!$B$2:$E$347,2,FALSE)</f>
        <v>Metropolitana de Santiago</v>
      </c>
      <c r="H239" t="str">
        <f>VLOOKUP(F239,'[1]Sheet 1'!$B$2:$E$347,3,FALSE)</f>
        <v>Santiago</v>
      </c>
      <c r="I239" t="str">
        <f>VLOOKUP(F239,'[1]Sheet 1'!$B$2:$E$347,4,FALSE)</f>
        <v>La Florida</v>
      </c>
      <c r="J239" t="s">
        <v>136</v>
      </c>
      <c r="K239" s="3" t="s">
        <v>0</v>
      </c>
      <c r="L239" s="12" t="str">
        <f>VLOOKUP(K239,[2]Hoja4!$A$2:$C$443,2,FALSE)</f>
        <v>Intentional self-harm by hanging, strangulation and suffocation</v>
      </c>
      <c r="M239" s="12" t="str">
        <f>VLOOKUP(K239,[2]Hoja4!$A$2:$C$443,3,FALSE)</f>
        <v>Unspecified place</v>
      </c>
      <c r="N239" s="1">
        <v>14.8</v>
      </c>
      <c r="O239" s="1">
        <v>30.1</v>
      </c>
      <c r="P239" s="1">
        <v>21.9</v>
      </c>
      <c r="Q239" s="1">
        <v>953.4</v>
      </c>
      <c r="R239" s="1"/>
      <c r="S239" s="1">
        <v>57.8</v>
      </c>
      <c r="T239" s="5">
        <v>7.8100000000000003E-2</v>
      </c>
      <c r="U239" s="10">
        <v>4.0000000000000001E-3</v>
      </c>
    </row>
    <row r="240" spans="1:21" customFormat="1">
      <c r="A240">
        <v>2</v>
      </c>
      <c r="B240">
        <v>24</v>
      </c>
      <c r="C240">
        <v>12</v>
      </c>
      <c r="D240">
        <v>2</v>
      </c>
      <c r="E240">
        <v>2020</v>
      </c>
      <c r="F240">
        <v>13202</v>
      </c>
      <c r="G240" t="str">
        <f>VLOOKUP(F240,'[1]Sheet 1'!$B$2:$E$347,2,FALSE)</f>
        <v>Metropolitana de Santiago</v>
      </c>
      <c r="H240" t="str">
        <f>VLOOKUP(F240,'[1]Sheet 1'!$B$2:$E$347,3,FALSE)</f>
        <v>Cordillera</v>
      </c>
      <c r="I240" t="str">
        <f>VLOOKUP(F240,'[1]Sheet 1'!$B$2:$E$347,4,FALSE)</f>
        <v>Pirque</v>
      </c>
      <c r="J240" t="s">
        <v>136</v>
      </c>
      <c r="K240" s="3" t="s">
        <v>0</v>
      </c>
      <c r="L240" s="12" t="str">
        <f>VLOOKUP(K240,[2]Hoja4!$A$2:$C$443,2,FALSE)</f>
        <v>Intentional self-harm by hanging, strangulation and suffocation</v>
      </c>
      <c r="M240" s="12" t="str">
        <f>VLOOKUP(K240,[2]Hoja4!$A$2:$C$443,3,FALSE)</f>
        <v>Unspecified place</v>
      </c>
      <c r="N240" s="1">
        <v>11.2</v>
      </c>
      <c r="O240" s="1">
        <v>30.4</v>
      </c>
      <c r="P240" s="1">
        <v>20.6</v>
      </c>
      <c r="Q240" s="1">
        <v>937.4</v>
      </c>
      <c r="R240" s="1">
        <v>0</v>
      </c>
      <c r="S240" s="1">
        <v>63</v>
      </c>
      <c r="T240" s="5">
        <v>7.8100000000000003E-2</v>
      </c>
      <c r="U240" s="10">
        <v>4.0000000000000001E-3</v>
      </c>
    </row>
    <row r="241" spans="1:21" customFormat="1">
      <c r="A241">
        <v>1</v>
      </c>
      <c r="B241">
        <v>26</v>
      </c>
      <c r="C241">
        <v>12</v>
      </c>
      <c r="D241">
        <v>2</v>
      </c>
      <c r="E241">
        <v>2020</v>
      </c>
      <c r="F241">
        <v>13120</v>
      </c>
      <c r="G241" t="str">
        <f>VLOOKUP(F241,'[1]Sheet 1'!$B$2:$E$347,2,FALSE)</f>
        <v>Metropolitana de Santiago</v>
      </c>
      <c r="H241" t="str">
        <f>VLOOKUP(F241,'[1]Sheet 1'!$B$2:$E$347,3,FALSE)</f>
        <v>Santiago</v>
      </c>
      <c r="I241" t="str">
        <f>VLOOKUP(F241,'[1]Sheet 1'!$B$2:$E$347,4,FALSE)</f>
        <v>Ñuñoa</v>
      </c>
      <c r="J241" t="s">
        <v>136</v>
      </c>
      <c r="K241" s="3" t="s">
        <v>0</v>
      </c>
      <c r="L241" s="12" t="str">
        <f>VLOOKUP(K241,[2]Hoja4!$A$2:$C$443,2,FALSE)</f>
        <v>Intentional self-harm by hanging, strangulation and suffocation</v>
      </c>
      <c r="M241" s="12" t="str">
        <f>VLOOKUP(K241,[2]Hoja4!$A$2:$C$443,3,FALSE)</f>
        <v>Unspecified place</v>
      </c>
      <c r="N241" s="1">
        <v>14.8</v>
      </c>
      <c r="O241" s="1">
        <v>30.1</v>
      </c>
      <c r="P241" s="1">
        <v>21.9</v>
      </c>
      <c r="Q241" s="1">
        <v>953.4</v>
      </c>
      <c r="R241" s="1"/>
      <c r="S241" s="1">
        <v>57.8</v>
      </c>
      <c r="T241" s="5">
        <v>7.8100000000000003E-2</v>
      </c>
      <c r="U241" s="10">
        <v>4.0000000000000001E-3</v>
      </c>
    </row>
    <row r="242" spans="1:21" customFormat="1">
      <c r="A242">
        <v>1</v>
      </c>
      <c r="B242">
        <v>71</v>
      </c>
      <c r="C242">
        <v>13</v>
      </c>
      <c r="D242">
        <v>2</v>
      </c>
      <c r="E242">
        <v>2020</v>
      </c>
      <c r="F242">
        <v>7102</v>
      </c>
      <c r="G242" t="str">
        <f>VLOOKUP(F242,'[1]Sheet 1'!$B$2:$E$347,2,FALSE)</f>
        <v>Maule</v>
      </c>
      <c r="H242" t="str">
        <f>VLOOKUP(F242,'[1]Sheet 1'!$B$2:$E$347,3,FALSE)</f>
        <v>Talca</v>
      </c>
      <c r="I242" t="str">
        <f>VLOOKUP(F242,'[1]Sheet 1'!$B$2:$E$347,4,FALSE)</f>
        <v>Constitución</v>
      </c>
      <c r="J242" t="s">
        <v>136</v>
      </c>
      <c r="K242" s="3" t="s">
        <v>0</v>
      </c>
      <c r="L242" s="12" t="str">
        <f>VLOOKUP(K242,[2]Hoja4!$A$2:$C$443,2,FALSE)</f>
        <v>Intentional self-harm by hanging, strangulation and suffocation</v>
      </c>
      <c r="M242" s="12" t="str">
        <f>VLOOKUP(K242,[2]Hoja4!$A$2:$C$443,3,FALSE)</f>
        <v>Unspecified place</v>
      </c>
      <c r="N242" s="1">
        <v>12.8</v>
      </c>
      <c r="O242" s="1">
        <v>27.5</v>
      </c>
      <c r="P242" s="1">
        <v>20.100000000000001</v>
      </c>
      <c r="Q242" s="1">
        <v>1002.3</v>
      </c>
      <c r="R242" s="1">
        <v>0</v>
      </c>
      <c r="S242" s="1">
        <v>47.5</v>
      </c>
      <c r="T242" s="5">
        <v>7.8100000000000003E-2</v>
      </c>
      <c r="U242" s="10">
        <v>4.0000000000000001E-3</v>
      </c>
    </row>
    <row r="243" spans="1:21" customFormat="1">
      <c r="A243">
        <v>1</v>
      </c>
      <c r="B243">
        <v>67</v>
      </c>
      <c r="C243">
        <v>13</v>
      </c>
      <c r="D243">
        <v>2</v>
      </c>
      <c r="E243">
        <v>2020</v>
      </c>
      <c r="F243">
        <v>7406</v>
      </c>
      <c r="G243" t="str">
        <f>VLOOKUP(F243,'[1]Sheet 1'!$B$2:$E$347,2,FALSE)</f>
        <v>Maule</v>
      </c>
      <c r="H243" t="str">
        <f>VLOOKUP(F243,'[1]Sheet 1'!$B$2:$E$347,3,FALSE)</f>
        <v>Linares</v>
      </c>
      <c r="I243" t="str">
        <f>VLOOKUP(F243,'[1]Sheet 1'!$B$2:$E$347,4,FALSE)</f>
        <v>San Javier</v>
      </c>
      <c r="J243" t="s">
        <v>136</v>
      </c>
      <c r="K243" s="3" t="s">
        <v>4</v>
      </c>
      <c r="L243" s="12" t="str">
        <f>VLOOKUP(K243,[2]Hoja4!$A$2:$C$443,2,FALSE)</f>
        <v>Intentional self-harm by hanging, strangulation and suffocation</v>
      </c>
      <c r="M243" s="12" t="str">
        <f>VLOOKUP(K243,[2]Hoja4!$A$2:$C$443,3,FALSE)</f>
        <v>At home</v>
      </c>
      <c r="N243" s="1">
        <v>8.3000000000000007</v>
      </c>
      <c r="O243" s="1">
        <v>26.3</v>
      </c>
      <c r="P243" s="1">
        <v>17.8</v>
      </c>
      <c r="Q243" s="1">
        <v>995.8</v>
      </c>
      <c r="R243" s="1">
        <v>0</v>
      </c>
      <c r="S243" s="1">
        <v>58.6</v>
      </c>
      <c r="T243" s="5">
        <v>7.8100000000000003E-2</v>
      </c>
      <c r="U243" s="10">
        <v>4.0000000000000001E-3</v>
      </c>
    </row>
    <row r="244" spans="1:21" customFormat="1">
      <c r="A244">
        <v>1</v>
      </c>
      <c r="B244">
        <v>61</v>
      </c>
      <c r="C244">
        <v>13</v>
      </c>
      <c r="D244">
        <v>2</v>
      </c>
      <c r="E244">
        <v>2020</v>
      </c>
      <c r="F244">
        <v>13105</v>
      </c>
      <c r="G244" t="str">
        <f>VLOOKUP(F244,'[1]Sheet 1'!$B$2:$E$347,2,FALSE)</f>
        <v>Metropolitana de Santiago</v>
      </c>
      <c r="H244" t="str">
        <f>VLOOKUP(F244,'[1]Sheet 1'!$B$2:$E$347,3,FALSE)</f>
        <v>Santiago</v>
      </c>
      <c r="I244" t="str">
        <f>VLOOKUP(F244,'[1]Sheet 1'!$B$2:$E$347,4,FALSE)</f>
        <v>El Bosque</v>
      </c>
      <c r="J244" t="s">
        <v>136</v>
      </c>
      <c r="K244" s="3" t="s">
        <v>0</v>
      </c>
      <c r="L244" s="12" t="str">
        <f>VLOOKUP(K244,[2]Hoja4!$A$2:$C$443,2,FALSE)</f>
        <v>Intentional self-harm by hanging, strangulation and suffocation</v>
      </c>
      <c r="M244" s="12" t="str">
        <f>VLOOKUP(K244,[2]Hoja4!$A$2:$C$443,3,FALSE)</f>
        <v>Unspecified place</v>
      </c>
      <c r="N244" s="1">
        <v>14</v>
      </c>
      <c r="O244" s="1">
        <v>30.3</v>
      </c>
      <c r="P244" s="1">
        <v>21.9</v>
      </c>
      <c r="Q244" s="1">
        <v>953.3</v>
      </c>
      <c r="R244" s="1">
        <v>0</v>
      </c>
      <c r="S244" s="1">
        <v>47.8</v>
      </c>
      <c r="T244" s="5">
        <v>7.8100000000000003E-2</v>
      </c>
      <c r="U244" s="10">
        <v>4.0000000000000001E-3</v>
      </c>
    </row>
    <row r="245" spans="1:21" customFormat="1">
      <c r="A245">
        <v>1</v>
      </c>
      <c r="B245">
        <v>61</v>
      </c>
      <c r="C245">
        <v>13</v>
      </c>
      <c r="D245">
        <v>2</v>
      </c>
      <c r="E245">
        <v>2020</v>
      </c>
      <c r="F245">
        <v>9116</v>
      </c>
      <c r="G245" t="str">
        <f>VLOOKUP(F245,'[1]Sheet 1'!$B$2:$E$347,2,FALSE)</f>
        <v>La Araucanía</v>
      </c>
      <c r="H245" t="str">
        <f>VLOOKUP(F245,'[1]Sheet 1'!$B$2:$E$347,3,FALSE)</f>
        <v>Cautín</v>
      </c>
      <c r="I245" t="str">
        <f>VLOOKUP(F245,'[1]Sheet 1'!$B$2:$E$347,4,FALSE)</f>
        <v>Saavedra</v>
      </c>
      <c r="J245" t="s">
        <v>136</v>
      </c>
      <c r="K245" s="3" t="s">
        <v>0</v>
      </c>
      <c r="L245" s="12" t="str">
        <f>VLOOKUP(K245,[2]Hoja4!$A$2:$C$443,2,FALSE)</f>
        <v>Intentional self-harm by hanging, strangulation and suffocation</v>
      </c>
      <c r="M245" s="12" t="str">
        <f>VLOOKUP(K245,[2]Hoja4!$A$2:$C$443,3,FALSE)</f>
        <v>Unspecified place</v>
      </c>
      <c r="N245" s="1">
        <v>3.9</v>
      </c>
      <c r="O245" s="1">
        <v>21.6</v>
      </c>
      <c r="P245" s="1">
        <v>13.3</v>
      </c>
      <c r="Q245" s="1">
        <v>1007.3</v>
      </c>
      <c r="R245" s="1">
        <v>0</v>
      </c>
      <c r="S245" s="1">
        <v>75</v>
      </c>
      <c r="T245" s="5">
        <v>7.8100000000000003E-2</v>
      </c>
      <c r="U245" s="10">
        <v>4.0000000000000001E-3</v>
      </c>
    </row>
    <row r="246" spans="1:21" customFormat="1">
      <c r="A246">
        <v>1</v>
      </c>
      <c r="B246">
        <v>41</v>
      </c>
      <c r="C246">
        <v>13</v>
      </c>
      <c r="D246">
        <v>2</v>
      </c>
      <c r="E246">
        <v>2020</v>
      </c>
      <c r="F246">
        <v>13604</v>
      </c>
      <c r="G246" t="str">
        <f>VLOOKUP(F246,'[1]Sheet 1'!$B$2:$E$347,2,FALSE)</f>
        <v>Metropolitana de Santiago</v>
      </c>
      <c r="H246" t="str">
        <f>VLOOKUP(F246,'[1]Sheet 1'!$B$2:$E$347,3,FALSE)</f>
        <v>Talagante</v>
      </c>
      <c r="I246" t="str">
        <f>VLOOKUP(F246,'[1]Sheet 1'!$B$2:$E$347,4,FALSE)</f>
        <v>Padre Hurtado</v>
      </c>
      <c r="J246" t="s">
        <v>136</v>
      </c>
      <c r="K246" s="3" t="s">
        <v>4</v>
      </c>
      <c r="L246" s="12" t="str">
        <f>VLOOKUP(K246,[2]Hoja4!$A$2:$C$443,2,FALSE)</f>
        <v>Intentional self-harm by hanging, strangulation and suffocation</v>
      </c>
      <c r="M246" s="12" t="str">
        <f>VLOOKUP(K246,[2]Hoja4!$A$2:$C$443,3,FALSE)</f>
        <v>At home</v>
      </c>
      <c r="N246" s="1">
        <v>11.3</v>
      </c>
      <c r="O246" s="1">
        <v>31.2</v>
      </c>
      <c r="P246" s="1">
        <v>20.9</v>
      </c>
      <c r="Q246" s="1"/>
      <c r="R246" s="1">
        <v>0</v>
      </c>
      <c r="S246" s="1">
        <v>51</v>
      </c>
      <c r="T246" s="5">
        <v>7.8100000000000003E-2</v>
      </c>
      <c r="U246" s="10">
        <v>4.0000000000000001E-3</v>
      </c>
    </row>
    <row r="247" spans="1:21" customFormat="1">
      <c r="A247">
        <v>1</v>
      </c>
      <c r="B247">
        <v>41</v>
      </c>
      <c r="C247">
        <v>13</v>
      </c>
      <c r="D247">
        <v>2</v>
      </c>
      <c r="E247">
        <v>2020</v>
      </c>
      <c r="F247">
        <v>7301</v>
      </c>
      <c r="G247" t="str">
        <f>VLOOKUP(F247,'[1]Sheet 1'!$B$2:$E$347,2,FALSE)</f>
        <v>Maule</v>
      </c>
      <c r="H247" t="str">
        <f>VLOOKUP(F247,'[1]Sheet 1'!$B$2:$E$347,3,FALSE)</f>
        <v>Curicó</v>
      </c>
      <c r="I247" t="str">
        <f>VLOOKUP(F247,'[1]Sheet 1'!$B$2:$E$347,4,FALSE)</f>
        <v>Curicó</v>
      </c>
      <c r="J247" t="s">
        <v>136</v>
      </c>
      <c r="K247" s="3" t="s">
        <v>4</v>
      </c>
      <c r="L247" s="12" t="str">
        <f>VLOOKUP(K247,[2]Hoja4!$A$2:$C$443,2,FALSE)</f>
        <v>Intentional self-harm by hanging, strangulation and suffocation</v>
      </c>
      <c r="M247" s="12" t="str">
        <f>VLOOKUP(K247,[2]Hoja4!$A$2:$C$443,3,FALSE)</f>
        <v>At home</v>
      </c>
      <c r="N247" s="1">
        <v>12.7</v>
      </c>
      <c r="O247" s="1">
        <v>26.8</v>
      </c>
      <c r="P247" s="1">
        <v>19.7</v>
      </c>
      <c r="Q247" s="1">
        <v>988.4</v>
      </c>
      <c r="R247" s="1">
        <v>0</v>
      </c>
      <c r="S247" s="1">
        <v>45.8</v>
      </c>
      <c r="T247" s="5">
        <v>7.8100000000000003E-2</v>
      </c>
      <c r="U247" s="10">
        <v>4.0000000000000001E-3</v>
      </c>
    </row>
    <row r="248" spans="1:21" customFormat="1">
      <c r="A248">
        <v>1</v>
      </c>
      <c r="B248">
        <v>25</v>
      </c>
      <c r="C248">
        <v>13</v>
      </c>
      <c r="D248">
        <v>2</v>
      </c>
      <c r="E248">
        <v>2020</v>
      </c>
      <c r="F248">
        <v>14201</v>
      </c>
      <c r="G248" t="str">
        <f>VLOOKUP(F248,'[1]Sheet 1'!$B$2:$E$347,2,FALSE)</f>
        <v>Los Ríos</v>
      </c>
      <c r="H248" t="str">
        <f>VLOOKUP(F248,'[1]Sheet 1'!$B$2:$E$347,3,FALSE)</f>
        <v>Ranco</v>
      </c>
      <c r="I248" t="str">
        <f>VLOOKUP(F248,'[1]Sheet 1'!$B$2:$E$347,4,FALSE)</f>
        <v>La Unión</v>
      </c>
      <c r="J248" t="s">
        <v>136</v>
      </c>
      <c r="K248" s="3" t="s">
        <v>0</v>
      </c>
      <c r="L248" s="12" t="str">
        <f>VLOOKUP(K248,[2]Hoja4!$A$2:$C$443,2,FALSE)</f>
        <v>Intentional self-harm by hanging, strangulation and suffocation</v>
      </c>
      <c r="M248" s="12" t="str">
        <f>VLOOKUP(K248,[2]Hoja4!$A$2:$C$443,3,FALSE)</f>
        <v>Unspecified place</v>
      </c>
      <c r="N248" s="1" t="s">
        <v>73</v>
      </c>
      <c r="O248" s="1" t="s">
        <v>74</v>
      </c>
      <c r="P248" s="1">
        <v>14</v>
      </c>
      <c r="Q248" s="1">
        <v>1010</v>
      </c>
      <c r="R248" s="1">
        <v>0</v>
      </c>
      <c r="S248" s="1">
        <v>62</v>
      </c>
      <c r="T248" s="5">
        <v>7.8100000000000003E-2</v>
      </c>
      <c r="U248" s="10">
        <v>4.0000000000000001E-3</v>
      </c>
    </row>
    <row r="249" spans="1:21" customFormat="1">
      <c r="A249">
        <v>1</v>
      </c>
      <c r="B249">
        <v>56</v>
      </c>
      <c r="C249">
        <v>14</v>
      </c>
      <c r="D249">
        <v>2</v>
      </c>
      <c r="E249">
        <v>2020</v>
      </c>
      <c r="F249">
        <v>13101</v>
      </c>
      <c r="G249" t="str">
        <f>VLOOKUP(F249,'[1]Sheet 1'!$B$2:$E$347,2,FALSE)</f>
        <v>Metropolitana de Santiago</v>
      </c>
      <c r="H249" t="str">
        <f>VLOOKUP(F249,'[1]Sheet 1'!$B$2:$E$347,3,FALSE)</f>
        <v>Santiago</v>
      </c>
      <c r="I249" t="str">
        <f>VLOOKUP(F249,'[1]Sheet 1'!$B$2:$E$347,4,FALSE)</f>
        <v>Santiago</v>
      </c>
      <c r="J249" t="s">
        <v>136</v>
      </c>
      <c r="K249" s="3" t="s">
        <v>0</v>
      </c>
      <c r="L249" s="12" t="str">
        <f>VLOOKUP(K249,[2]Hoja4!$A$2:$C$443,2,FALSE)</f>
        <v>Intentional self-harm by hanging, strangulation and suffocation</v>
      </c>
      <c r="M249" s="12" t="str">
        <f>VLOOKUP(K249,[2]Hoja4!$A$2:$C$443,3,FALSE)</f>
        <v>Unspecified place</v>
      </c>
      <c r="N249" s="1">
        <v>12.1</v>
      </c>
      <c r="O249" s="1">
        <v>33.299999999999997</v>
      </c>
      <c r="P249" s="1">
        <v>22.5</v>
      </c>
      <c r="Q249" s="1">
        <v>952.2</v>
      </c>
      <c r="R249" s="1"/>
      <c r="S249" s="1">
        <v>31.8</v>
      </c>
      <c r="T249" s="5">
        <v>7.8100000000000003E-2</v>
      </c>
      <c r="U249" s="10">
        <v>4.0000000000000001E-3</v>
      </c>
    </row>
    <row r="250" spans="1:21" customFormat="1">
      <c r="A250">
        <v>2</v>
      </c>
      <c r="B250">
        <v>50</v>
      </c>
      <c r="C250">
        <v>14</v>
      </c>
      <c r="D250">
        <v>2</v>
      </c>
      <c r="E250">
        <v>2020</v>
      </c>
      <c r="F250">
        <v>13604</v>
      </c>
      <c r="G250" t="str">
        <f>VLOOKUP(F250,'[1]Sheet 1'!$B$2:$E$347,2,FALSE)</f>
        <v>Metropolitana de Santiago</v>
      </c>
      <c r="H250" t="str">
        <f>VLOOKUP(F250,'[1]Sheet 1'!$B$2:$E$347,3,FALSE)</f>
        <v>Talagante</v>
      </c>
      <c r="I250" t="str">
        <f>VLOOKUP(F250,'[1]Sheet 1'!$B$2:$E$347,4,FALSE)</f>
        <v>Padre Hurtado</v>
      </c>
      <c r="J250" t="s">
        <v>136</v>
      </c>
      <c r="K250" s="3" t="s">
        <v>4</v>
      </c>
      <c r="L250" s="12" t="str">
        <f>VLOOKUP(K250,[2]Hoja4!$A$2:$C$443,2,FALSE)</f>
        <v>Intentional self-harm by hanging, strangulation and suffocation</v>
      </c>
      <c r="M250" s="12" t="str">
        <f>VLOOKUP(K250,[2]Hoja4!$A$2:$C$443,3,FALSE)</f>
        <v>At home</v>
      </c>
      <c r="N250" s="1">
        <v>9.6</v>
      </c>
      <c r="O250" s="1">
        <v>33.299999999999997</v>
      </c>
      <c r="P250" s="1">
        <v>21.8</v>
      </c>
      <c r="Q250" s="1"/>
      <c r="R250" s="1">
        <v>0</v>
      </c>
      <c r="S250" s="1">
        <v>32</v>
      </c>
      <c r="T250" s="5">
        <v>7.8100000000000003E-2</v>
      </c>
      <c r="U250" s="10">
        <v>4.0000000000000001E-3</v>
      </c>
    </row>
    <row r="251" spans="1:21" customFormat="1">
      <c r="A251">
        <v>1</v>
      </c>
      <c r="B251">
        <v>18</v>
      </c>
      <c r="C251">
        <v>14</v>
      </c>
      <c r="D251">
        <v>2</v>
      </c>
      <c r="E251">
        <v>2020</v>
      </c>
      <c r="F251">
        <v>6101</v>
      </c>
      <c r="G251" t="str">
        <f>VLOOKUP(F251,'[1]Sheet 1'!$B$2:$E$347,2,FALSE)</f>
        <v>Libertador General Bernardo O'Higgins</v>
      </c>
      <c r="H251" t="str">
        <f>VLOOKUP(F251,'[1]Sheet 1'!$B$2:$E$347,3,FALSE)</f>
        <v>Cachapoal</v>
      </c>
      <c r="I251" t="str">
        <f>VLOOKUP(F251,'[1]Sheet 1'!$B$2:$E$347,4,FALSE)</f>
        <v>Rancagua</v>
      </c>
      <c r="J251" t="s">
        <v>136</v>
      </c>
      <c r="K251" s="3" t="s">
        <v>0</v>
      </c>
      <c r="L251" s="12" t="str">
        <f>VLOOKUP(K251,[2]Hoja4!$A$2:$C$443,2,FALSE)</f>
        <v>Intentional self-harm by hanging, strangulation and suffocation</v>
      </c>
      <c r="M251" s="12" t="str">
        <f>VLOOKUP(K251,[2]Hoja4!$A$2:$C$443,3,FALSE)</f>
        <v>Unspecified place</v>
      </c>
      <c r="N251" s="1">
        <v>11.4</v>
      </c>
      <c r="O251" s="1">
        <v>31.5</v>
      </c>
      <c r="P251" s="1">
        <v>20.5</v>
      </c>
      <c r="Q251" s="1">
        <v>956.5</v>
      </c>
      <c r="R251" s="1">
        <v>0</v>
      </c>
      <c r="S251" s="1">
        <v>37.9</v>
      </c>
      <c r="T251" s="5">
        <v>7.8100000000000003E-2</v>
      </c>
      <c r="U251" s="10">
        <v>4.0000000000000001E-3</v>
      </c>
    </row>
    <row r="252" spans="1:21" customFormat="1">
      <c r="A252">
        <v>1</v>
      </c>
      <c r="B252">
        <v>18</v>
      </c>
      <c r="C252">
        <v>14</v>
      </c>
      <c r="D252">
        <v>2</v>
      </c>
      <c r="E252">
        <v>2020</v>
      </c>
      <c r="F252">
        <v>16301</v>
      </c>
      <c r="G252" t="str">
        <f>VLOOKUP(F252,'[1]Sheet 1'!$B$2:$E$347,2,FALSE)</f>
        <v>Ñuble</v>
      </c>
      <c r="H252" t="str">
        <f>VLOOKUP(F252,'[1]Sheet 1'!$B$2:$E$347,3,FALSE)</f>
        <v>Punilla</v>
      </c>
      <c r="I252" t="str">
        <f>VLOOKUP(F252,'[1]Sheet 1'!$B$2:$E$347,4,FALSE)</f>
        <v>San Carlos</v>
      </c>
      <c r="J252" t="s">
        <v>136</v>
      </c>
      <c r="K252" s="3" t="s">
        <v>0</v>
      </c>
      <c r="L252" s="12" t="str">
        <f>VLOOKUP(K252,[2]Hoja4!$A$2:$C$443,2,FALSE)</f>
        <v>Intentional self-harm by hanging, strangulation and suffocation</v>
      </c>
      <c r="M252" s="12" t="str">
        <f>VLOOKUP(K252,[2]Hoja4!$A$2:$C$443,3,FALSE)</f>
        <v>Unspecified place</v>
      </c>
      <c r="N252" s="1">
        <v>1.3</v>
      </c>
      <c r="O252" s="1">
        <v>29.1</v>
      </c>
      <c r="P252" s="1">
        <v>15.7</v>
      </c>
      <c r="Q252" s="1">
        <v>987.9</v>
      </c>
      <c r="R252" s="1">
        <v>0</v>
      </c>
      <c r="S252" s="1">
        <v>61.5</v>
      </c>
      <c r="T252" s="5">
        <v>7.8100000000000003E-2</v>
      </c>
      <c r="U252" s="10">
        <v>4.0000000000000001E-3</v>
      </c>
    </row>
    <row r="253" spans="1:21" customFormat="1">
      <c r="A253">
        <v>1</v>
      </c>
      <c r="B253">
        <v>68</v>
      </c>
      <c r="C253">
        <v>15</v>
      </c>
      <c r="D253">
        <v>2</v>
      </c>
      <c r="E253">
        <v>2020</v>
      </c>
      <c r="F253">
        <v>13101</v>
      </c>
      <c r="G253" t="str">
        <f>VLOOKUP(F253,'[1]Sheet 1'!$B$2:$E$347,2,FALSE)</f>
        <v>Metropolitana de Santiago</v>
      </c>
      <c r="H253" t="str">
        <f>VLOOKUP(F253,'[1]Sheet 1'!$B$2:$E$347,3,FALSE)</f>
        <v>Santiago</v>
      </c>
      <c r="I253" t="str">
        <f>VLOOKUP(F253,'[1]Sheet 1'!$B$2:$E$347,4,FALSE)</f>
        <v>Santiago</v>
      </c>
      <c r="J253" t="s">
        <v>136</v>
      </c>
      <c r="K253" s="3" t="s">
        <v>0</v>
      </c>
      <c r="L253" s="12" t="str">
        <f>VLOOKUP(K253,[2]Hoja4!$A$2:$C$443,2,FALSE)</f>
        <v>Intentional self-harm by hanging, strangulation and suffocation</v>
      </c>
      <c r="M253" s="12" t="str">
        <f>VLOOKUP(K253,[2]Hoja4!$A$2:$C$443,3,FALSE)</f>
        <v>Unspecified place</v>
      </c>
      <c r="N253" s="1">
        <v>11.9</v>
      </c>
      <c r="O253" s="1">
        <v>33.1</v>
      </c>
      <c r="P253" s="1">
        <v>22.8</v>
      </c>
      <c r="Q253" s="1">
        <v>951.6</v>
      </c>
      <c r="R253" s="1"/>
      <c r="S253" s="1">
        <v>39.200000000000003</v>
      </c>
      <c r="T253" s="5">
        <v>7.8100000000000003E-2</v>
      </c>
      <c r="U253" s="10">
        <v>4.0000000000000001E-3</v>
      </c>
    </row>
    <row r="254" spans="1:21" customFormat="1">
      <c r="A254">
        <v>1</v>
      </c>
      <c r="B254">
        <v>60</v>
      </c>
      <c r="C254">
        <v>15</v>
      </c>
      <c r="D254">
        <v>2</v>
      </c>
      <c r="E254">
        <v>2020</v>
      </c>
      <c r="F254">
        <v>10210</v>
      </c>
      <c r="G254" t="str">
        <f>VLOOKUP(F254,'[1]Sheet 1'!$B$2:$E$347,2,FALSE)</f>
        <v>Los Lagos</v>
      </c>
      <c r="H254" t="str">
        <f>VLOOKUP(F254,'[1]Sheet 1'!$B$2:$E$347,3,FALSE)</f>
        <v>Chiloé</v>
      </c>
      <c r="I254" t="str">
        <f>VLOOKUP(F254,'[1]Sheet 1'!$B$2:$E$347,4,FALSE)</f>
        <v>Quinchao</v>
      </c>
      <c r="J254" t="s">
        <v>136</v>
      </c>
      <c r="K254" s="3" t="s">
        <v>4</v>
      </c>
      <c r="L254" s="12" t="str">
        <f>VLOOKUP(K254,[2]Hoja4!$A$2:$C$443,2,FALSE)</f>
        <v>Intentional self-harm by hanging, strangulation and suffocation</v>
      </c>
      <c r="M254" s="12" t="str">
        <f>VLOOKUP(K254,[2]Hoja4!$A$2:$C$443,3,FALSE)</f>
        <v>At home</v>
      </c>
      <c r="N254" s="1">
        <v>11.1</v>
      </c>
      <c r="O254" s="1">
        <v>18.8</v>
      </c>
      <c r="P254" s="1">
        <v>14.3</v>
      </c>
      <c r="Q254" s="1">
        <v>989.9</v>
      </c>
      <c r="R254" s="1">
        <v>2</v>
      </c>
      <c r="S254" s="1">
        <v>84.2</v>
      </c>
      <c r="T254" s="5">
        <v>7.8100000000000003E-2</v>
      </c>
      <c r="U254" s="10">
        <v>4.0000000000000001E-3</v>
      </c>
    </row>
    <row r="255" spans="1:21" customFormat="1">
      <c r="A255">
        <v>1</v>
      </c>
      <c r="B255">
        <v>54</v>
      </c>
      <c r="C255">
        <v>15</v>
      </c>
      <c r="D255">
        <v>2</v>
      </c>
      <c r="E255">
        <v>2020</v>
      </c>
      <c r="F255">
        <v>13101</v>
      </c>
      <c r="G255" t="str">
        <f>VLOOKUP(F255,'[1]Sheet 1'!$B$2:$E$347,2,FALSE)</f>
        <v>Metropolitana de Santiago</v>
      </c>
      <c r="H255" t="str">
        <f>VLOOKUP(F255,'[1]Sheet 1'!$B$2:$E$347,3,FALSE)</f>
        <v>Santiago</v>
      </c>
      <c r="I255" t="str">
        <f>VLOOKUP(F255,'[1]Sheet 1'!$B$2:$E$347,4,FALSE)</f>
        <v>Santiago</v>
      </c>
      <c r="J255" t="s">
        <v>151</v>
      </c>
      <c r="K255" s="3" t="s">
        <v>8</v>
      </c>
      <c r="L255" s="12" t="str">
        <f>VLOOKUP(K255,[2]Hoja4!$A$2:$C$443,2,FALSE)</f>
        <v>Intentional self-harm by jumping from a high place</v>
      </c>
      <c r="M255" s="12" t="str">
        <f>VLOOKUP(K255,[2]Hoja4!$A$2:$C$443,3,FALSE)</f>
        <v>At home</v>
      </c>
      <c r="N255" s="1">
        <v>11.9</v>
      </c>
      <c r="O255" s="1">
        <v>33.1</v>
      </c>
      <c r="P255" s="1">
        <v>22.8</v>
      </c>
      <c r="Q255" s="1">
        <v>951.6</v>
      </c>
      <c r="R255" s="1"/>
      <c r="S255" s="1">
        <v>39.200000000000003</v>
      </c>
      <c r="T255" s="5">
        <v>7.8100000000000003E-2</v>
      </c>
      <c r="U255" s="10">
        <v>4.0000000000000001E-3</v>
      </c>
    </row>
    <row r="256" spans="1:21" customFormat="1">
      <c r="A256">
        <v>1</v>
      </c>
      <c r="B256">
        <v>41</v>
      </c>
      <c r="C256">
        <v>15</v>
      </c>
      <c r="D256">
        <v>2</v>
      </c>
      <c r="E256">
        <v>2020</v>
      </c>
      <c r="F256">
        <v>9115</v>
      </c>
      <c r="G256" t="str">
        <f>VLOOKUP(F256,'[1]Sheet 1'!$B$2:$E$347,2,FALSE)</f>
        <v>La Araucanía</v>
      </c>
      <c r="H256" t="str">
        <f>VLOOKUP(F256,'[1]Sheet 1'!$B$2:$E$347,3,FALSE)</f>
        <v>Cautín</v>
      </c>
      <c r="I256" t="str">
        <f>VLOOKUP(F256,'[1]Sheet 1'!$B$2:$E$347,4,FALSE)</f>
        <v>Pucón</v>
      </c>
      <c r="J256" t="s">
        <v>136</v>
      </c>
      <c r="K256" s="3" t="s">
        <v>4</v>
      </c>
      <c r="L256" s="12" t="str">
        <f>VLOOKUP(K256,[2]Hoja4!$A$2:$C$443,2,FALSE)</f>
        <v>Intentional self-harm by hanging, strangulation and suffocation</v>
      </c>
      <c r="M256" s="12" t="str">
        <f>VLOOKUP(K256,[2]Hoja4!$A$2:$C$443,3,FALSE)</f>
        <v>At home</v>
      </c>
      <c r="N256" s="1">
        <v>14.2</v>
      </c>
      <c r="O256" s="1">
        <v>24.5</v>
      </c>
      <c r="P256" s="1">
        <v>19.3</v>
      </c>
      <c r="Q256" s="1">
        <v>1001.7</v>
      </c>
      <c r="R256" s="1">
        <v>0.4</v>
      </c>
      <c r="S256" s="1">
        <v>78</v>
      </c>
      <c r="T256" s="5">
        <v>7.8100000000000003E-2</v>
      </c>
      <c r="U256" s="10">
        <v>4.0000000000000001E-3</v>
      </c>
    </row>
    <row r="257" spans="1:21" customFormat="1">
      <c r="A257">
        <v>1</v>
      </c>
      <c r="B257">
        <v>32</v>
      </c>
      <c r="C257">
        <v>15</v>
      </c>
      <c r="D257">
        <v>2</v>
      </c>
      <c r="E257">
        <v>2020</v>
      </c>
      <c r="F257">
        <v>13125</v>
      </c>
      <c r="G257" t="str">
        <f>VLOOKUP(F257,'[1]Sheet 1'!$B$2:$E$347,2,FALSE)</f>
        <v>Metropolitana de Santiago</v>
      </c>
      <c r="H257" t="str">
        <f>VLOOKUP(F257,'[1]Sheet 1'!$B$2:$E$347,3,FALSE)</f>
        <v>Santiago</v>
      </c>
      <c r="I257" t="str">
        <f>VLOOKUP(F257,'[1]Sheet 1'!$B$2:$E$347,4,FALSE)</f>
        <v>Quilicura</v>
      </c>
      <c r="J257" t="s">
        <v>136</v>
      </c>
      <c r="K257" s="3" t="s">
        <v>0</v>
      </c>
      <c r="L257" s="12" t="str">
        <f>VLOOKUP(K257,[2]Hoja4!$A$2:$C$443,2,FALSE)</f>
        <v>Intentional self-harm by hanging, strangulation and suffocation</v>
      </c>
      <c r="M257" s="12" t="str">
        <f>VLOOKUP(K257,[2]Hoja4!$A$2:$C$443,3,FALSE)</f>
        <v>Unspecified place</v>
      </c>
      <c r="N257" s="1">
        <v>11.9</v>
      </c>
      <c r="O257" s="1">
        <v>33.1</v>
      </c>
      <c r="P257" s="1">
        <v>22.8</v>
      </c>
      <c r="Q257" s="1">
        <v>951.6</v>
      </c>
      <c r="R257" s="1"/>
      <c r="S257" s="1">
        <v>39.200000000000003</v>
      </c>
      <c r="T257" s="5">
        <v>7.8100000000000003E-2</v>
      </c>
      <c r="U257" s="10">
        <v>4.0000000000000001E-3</v>
      </c>
    </row>
    <row r="258" spans="1:21" customFormat="1">
      <c r="A258">
        <v>1</v>
      </c>
      <c r="B258">
        <v>28</v>
      </c>
      <c r="C258">
        <v>15</v>
      </c>
      <c r="D258">
        <v>2</v>
      </c>
      <c r="E258">
        <v>2020</v>
      </c>
      <c r="F258">
        <v>13119</v>
      </c>
      <c r="G258" t="str">
        <f>VLOOKUP(F258,'[1]Sheet 1'!$B$2:$E$347,2,FALSE)</f>
        <v>Metropolitana de Santiago</v>
      </c>
      <c r="H258" t="str">
        <f>VLOOKUP(F258,'[1]Sheet 1'!$B$2:$E$347,3,FALSE)</f>
        <v>Santiago</v>
      </c>
      <c r="I258" t="str">
        <f>VLOOKUP(F258,'[1]Sheet 1'!$B$2:$E$347,4,FALSE)</f>
        <v>Maipú</v>
      </c>
      <c r="J258" t="s">
        <v>136</v>
      </c>
      <c r="K258" s="3" t="s">
        <v>0</v>
      </c>
      <c r="L258" s="12" t="str">
        <f>VLOOKUP(K258,[2]Hoja4!$A$2:$C$443,2,FALSE)</f>
        <v>Intentional self-harm by hanging, strangulation and suffocation</v>
      </c>
      <c r="M258" s="12" t="str">
        <f>VLOOKUP(K258,[2]Hoja4!$A$2:$C$443,3,FALSE)</f>
        <v>Unspecified place</v>
      </c>
      <c r="N258" s="1">
        <v>11.9</v>
      </c>
      <c r="O258" s="1">
        <v>33.1</v>
      </c>
      <c r="P258" s="1">
        <v>22.8</v>
      </c>
      <c r="Q258" s="1">
        <v>951.6</v>
      </c>
      <c r="R258" s="1"/>
      <c r="S258" s="1">
        <v>39.200000000000003</v>
      </c>
      <c r="T258" s="5">
        <v>7.8100000000000003E-2</v>
      </c>
      <c r="U258" s="10">
        <v>4.0000000000000001E-3</v>
      </c>
    </row>
    <row r="259" spans="1:21" customFormat="1">
      <c r="A259">
        <v>1</v>
      </c>
      <c r="B259">
        <v>21</v>
      </c>
      <c r="C259">
        <v>15</v>
      </c>
      <c r="D259">
        <v>2</v>
      </c>
      <c r="E259">
        <v>2020</v>
      </c>
      <c r="F259">
        <v>7301</v>
      </c>
      <c r="G259" t="str">
        <f>VLOOKUP(F259,'[1]Sheet 1'!$B$2:$E$347,2,FALSE)</f>
        <v>Maule</v>
      </c>
      <c r="H259" t="str">
        <f>VLOOKUP(F259,'[1]Sheet 1'!$B$2:$E$347,3,FALSE)</f>
        <v>Curicó</v>
      </c>
      <c r="I259" t="str">
        <f>VLOOKUP(F259,'[1]Sheet 1'!$B$2:$E$347,4,FALSE)</f>
        <v>Curicó</v>
      </c>
      <c r="J259" t="s">
        <v>136</v>
      </c>
      <c r="K259" s="3" t="s">
        <v>4</v>
      </c>
      <c r="L259" s="12" t="str">
        <f>VLOOKUP(K259,[2]Hoja4!$A$2:$C$443,2,FALSE)</f>
        <v>Intentional self-harm by hanging, strangulation and suffocation</v>
      </c>
      <c r="M259" s="12" t="str">
        <f>VLOOKUP(K259,[2]Hoja4!$A$2:$C$443,3,FALSE)</f>
        <v>At home</v>
      </c>
      <c r="N259" s="1">
        <v>13.3</v>
      </c>
      <c r="O259" s="1">
        <v>33.200000000000003</v>
      </c>
      <c r="P259" s="1">
        <v>22.2</v>
      </c>
      <c r="Q259" s="1">
        <v>984.6</v>
      </c>
      <c r="R259" s="1">
        <v>0</v>
      </c>
      <c r="S259" s="1">
        <v>50.2</v>
      </c>
      <c r="T259" s="5">
        <v>7.8100000000000003E-2</v>
      </c>
      <c r="U259" s="10">
        <v>4.0000000000000001E-3</v>
      </c>
    </row>
    <row r="260" spans="1:21" customFormat="1">
      <c r="A260">
        <v>1</v>
      </c>
      <c r="B260">
        <v>58</v>
      </c>
      <c r="C260">
        <v>16</v>
      </c>
      <c r="D260">
        <v>2</v>
      </c>
      <c r="E260">
        <v>2020</v>
      </c>
      <c r="F260">
        <v>9119</v>
      </c>
      <c r="G260" t="str">
        <f>VLOOKUP(F260,'[1]Sheet 1'!$B$2:$E$347,2,FALSE)</f>
        <v>La Araucanía</v>
      </c>
      <c r="H260" t="str">
        <f>VLOOKUP(F260,'[1]Sheet 1'!$B$2:$E$347,3,FALSE)</f>
        <v>Cautín</v>
      </c>
      <c r="I260" t="str">
        <f>VLOOKUP(F260,'[1]Sheet 1'!$B$2:$E$347,4,FALSE)</f>
        <v>Vilcún</v>
      </c>
      <c r="J260" t="s">
        <v>136</v>
      </c>
      <c r="K260" s="3" t="s">
        <v>0</v>
      </c>
      <c r="L260" s="12" t="str">
        <f>VLOOKUP(K260,[2]Hoja4!$A$2:$C$443,2,FALSE)</f>
        <v>Intentional self-harm by hanging, strangulation and suffocation</v>
      </c>
      <c r="M260" s="12" t="str">
        <f>VLOOKUP(K260,[2]Hoja4!$A$2:$C$443,3,FALSE)</f>
        <v>Unspecified place</v>
      </c>
      <c r="N260" s="1">
        <v>14.2</v>
      </c>
      <c r="O260" s="1">
        <v>23.1</v>
      </c>
      <c r="P260" s="1">
        <v>18.7</v>
      </c>
      <c r="Q260" s="1">
        <v>999.4</v>
      </c>
      <c r="R260" s="1">
        <v>0.8</v>
      </c>
      <c r="S260" s="1">
        <v>77.5</v>
      </c>
      <c r="T260" s="5">
        <v>7.8100000000000003E-2</v>
      </c>
      <c r="U260" s="10">
        <v>4.0000000000000001E-3</v>
      </c>
    </row>
    <row r="261" spans="1:21" customFormat="1">
      <c r="A261">
        <v>1</v>
      </c>
      <c r="B261">
        <v>49</v>
      </c>
      <c r="C261">
        <v>16</v>
      </c>
      <c r="D261">
        <v>2</v>
      </c>
      <c r="E261">
        <v>2020</v>
      </c>
      <c r="F261">
        <v>13121</v>
      </c>
      <c r="G261" t="str">
        <f>VLOOKUP(F261,'[1]Sheet 1'!$B$2:$E$347,2,FALSE)</f>
        <v>Metropolitana de Santiago</v>
      </c>
      <c r="H261" t="str">
        <f>VLOOKUP(F261,'[1]Sheet 1'!$B$2:$E$347,3,FALSE)</f>
        <v>Santiago</v>
      </c>
      <c r="I261" t="str">
        <f>VLOOKUP(F261,'[1]Sheet 1'!$B$2:$E$347,4,FALSE)</f>
        <v>Pedro Aguirre Cerda</v>
      </c>
      <c r="J261" t="s">
        <v>136</v>
      </c>
      <c r="K261" s="3" t="s">
        <v>0</v>
      </c>
      <c r="L261" s="12" t="str">
        <f>VLOOKUP(K261,[2]Hoja4!$A$2:$C$443,2,FALSE)</f>
        <v>Intentional self-harm by hanging, strangulation and suffocation</v>
      </c>
      <c r="M261" s="12" t="str">
        <f>VLOOKUP(K261,[2]Hoja4!$A$2:$C$443,3,FALSE)</f>
        <v>Unspecified place</v>
      </c>
      <c r="N261" s="1">
        <v>12.3</v>
      </c>
      <c r="O261" s="1">
        <v>31.5</v>
      </c>
      <c r="P261" s="1">
        <v>22</v>
      </c>
      <c r="Q261" s="1">
        <v>950.6</v>
      </c>
      <c r="R261" s="1"/>
      <c r="S261" s="1">
        <v>45.5</v>
      </c>
      <c r="T261" s="5">
        <v>7.8100000000000003E-2</v>
      </c>
      <c r="U261" s="10">
        <v>4.0000000000000001E-3</v>
      </c>
    </row>
    <row r="262" spans="1:21" customFormat="1">
      <c r="A262">
        <v>1</v>
      </c>
      <c r="B262">
        <v>45</v>
      </c>
      <c r="C262">
        <v>16</v>
      </c>
      <c r="D262">
        <v>2</v>
      </c>
      <c r="E262">
        <v>2020</v>
      </c>
      <c r="F262">
        <v>14101</v>
      </c>
      <c r="G262" t="str">
        <f>VLOOKUP(F262,'[1]Sheet 1'!$B$2:$E$347,2,FALSE)</f>
        <v>Los Ríos</v>
      </c>
      <c r="H262" t="str">
        <f>VLOOKUP(F262,'[1]Sheet 1'!$B$2:$E$347,3,FALSE)</f>
        <v>Valdivia</v>
      </c>
      <c r="I262" t="str">
        <f>VLOOKUP(F262,'[1]Sheet 1'!$B$2:$E$347,4,FALSE)</f>
        <v>Valdivia</v>
      </c>
      <c r="J262" t="s">
        <v>142</v>
      </c>
      <c r="K262" s="3" t="s">
        <v>5</v>
      </c>
      <c r="L262" s="12" t="str">
        <f>VLOOKUP(K262,[2]Hoja4!$A$2:$C$443,2,FALSE)</f>
        <v>Intentional self-harm by other and unspecified firearm discharge</v>
      </c>
      <c r="M262" s="12" t="str">
        <f>VLOOKUP(K262,[2]Hoja4!$A$2:$C$443,3,FALSE)</f>
        <v>At home</v>
      </c>
      <c r="N262" s="1">
        <v>13.3</v>
      </c>
      <c r="O262" s="1">
        <v>22.1</v>
      </c>
      <c r="P262" s="1">
        <v>16.899999999999999</v>
      </c>
      <c r="Q262" s="1">
        <v>1009.3</v>
      </c>
      <c r="R262" s="1">
        <v>0.2</v>
      </c>
      <c r="S262" s="1">
        <v>71.5</v>
      </c>
      <c r="T262" s="5">
        <v>7.8100000000000003E-2</v>
      </c>
      <c r="U262" s="10">
        <v>4.0000000000000001E-3</v>
      </c>
    </row>
    <row r="263" spans="1:21" customFormat="1">
      <c r="A263">
        <v>1</v>
      </c>
      <c r="B263">
        <v>41</v>
      </c>
      <c r="C263">
        <v>16</v>
      </c>
      <c r="D263">
        <v>2</v>
      </c>
      <c r="E263">
        <v>2020</v>
      </c>
      <c r="F263">
        <v>13401</v>
      </c>
      <c r="G263" t="str">
        <f>VLOOKUP(F263,'[1]Sheet 1'!$B$2:$E$347,2,FALSE)</f>
        <v>Metropolitana de Santiago</v>
      </c>
      <c r="H263" t="str">
        <f>VLOOKUP(F263,'[1]Sheet 1'!$B$2:$E$347,3,FALSE)</f>
        <v>Maipo</v>
      </c>
      <c r="I263" t="str">
        <f>VLOOKUP(F263,'[1]Sheet 1'!$B$2:$E$347,4,FALSE)</f>
        <v>San Bernardo</v>
      </c>
      <c r="J263" t="s">
        <v>136</v>
      </c>
      <c r="K263" s="3" t="s">
        <v>0</v>
      </c>
      <c r="L263" s="12" t="str">
        <f>VLOOKUP(K263,[2]Hoja4!$A$2:$C$443,2,FALSE)</f>
        <v>Intentional self-harm by hanging, strangulation and suffocation</v>
      </c>
      <c r="M263" s="12" t="str">
        <f>VLOOKUP(K263,[2]Hoja4!$A$2:$C$443,3,FALSE)</f>
        <v>Unspecified place</v>
      </c>
      <c r="N263" s="1">
        <v>9.8000000000000007</v>
      </c>
      <c r="O263" s="1">
        <v>31.6</v>
      </c>
      <c r="P263" s="1">
        <v>19.8</v>
      </c>
      <c r="Q263" s="1">
        <v>959.8</v>
      </c>
      <c r="R263" s="1">
        <v>0</v>
      </c>
      <c r="S263" s="1">
        <v>56.3</v>
      </c>
      <c r="T263" s="5">
        <v>7.8100000000000003E-2</v>
      </c>
      <c r="U263" s="10">
        <v>4.0000000000000001E-3</v>
      </c>
    </row>
    <row r="264" spans="1:21" customFormat="1">
      <c r="A264">
        <v>1</v>
      </c>
      <c r="B264">
        <v>45</v>
      </c>
      <c r="C264">
        <v>16</v>
      </c>
      <c r="D264">
        <v>2</v>
      </c>
      <c r="E264">
        <v>2020</v>
      </c>
      <c r="F264">
        <v>1107</v>
      </c>
      <c r="G264" t="str">
        <f>VLOOKUP(F264,'[1]Sheet 1'!$B$2:$E$347,2,FALSE)</f>
        <v>Tarapacá</v>
      </c>
      <c r="H264" t="str">
        <f>VLOOKUP(F264,'[1]Sheet 1'!$B$2:$E$347,3,FALSE)</f>
        <v>Iquique</v>
      </c>
      <c r="I264" t="str">
        <f>VLOOKUP(F264,'[1]Sheet 1'!$B$2:$E$347,4,FALSE)</f>
        <v>Alto Hospicio</v>
      </c>
      <c r="J264" t="s">
        <v>136</v>
      </c>
      <c r="K264" s="3" t="s">
        <v>4</v>
      </c>
      <c r="L264" s="12" t="str">
        <f>VLOOKUP(K264,[2]Hoja4!$A$2:$C$443,2,FALSE)</f>
        <v>Intentional self-harm by hanging, strangulation and suffocation</v>
      </c>
      <c r="M264" s="12" t="str">
        <f>VLOOKUP(K264,[2]Hoja4!$A$2:$C$443,3,FALSE)</f>
        <v>At home</v>
      </c>
      <c r="N264" s="1">
        <v>18.899999999999999</v>
      </c>
      <c r="O264" s="1">
        <v>25.4</v>
      </c>
      <c r="P264" s="1">
        <v>21.8</v>
      </c>
      <c r="Q264" s="1">
        <v>1007.7</v>
      </c>
      <c r="R264" s="1">
        <v>0</v>
      </c>
      <c r="S264" s="1">
        <v>71.900000000000006</v>
      </c>
      <c r="T264" s="5">
        <v>7.8100000000000003E-2</v>
      </c>
      <c r="U264" s="10">
        <v>4.0000000000000001E-3</v>
      </c>
    </row>
    <row r="265" spans="1:21" customFormat="1">
      <c r="A265">
        <v>2</v>
      </c>
      <c r="B265">
        <v>42</v>
      </c>
      <c r="C265">
        <v>16</v>
      </c>
      <c r="D265">
        <v>2</v>
      </c>
      <c r="E265">
        <v>2020</v>
      </c>
      <c r="F265">
        <v>8106</v>
      </c>
      <c r="G265" t="str">
        <f>VLOOKUP(F265,'[1]Sheet 1'!$B$2:$E$347,2,FALSE)</f>
        <v>Biobío</v>
      </c>
      <c r="H265" t="str">
        <f>VLOOKUP(F265,'[1]Sheet 1'!$B$2:$E$347,3,FALSE)</f>
        <v>Concepción</v>
      </c>
      <c r="I265" t="str">
        <f>VLOOKUP(F265,'[1]Sheet 1'!$B$2:$E$347,4,FALSE)</f>
        <v>Lota</v>
      </c>
      <c r="J265" t="s">
        <v>136</v>
      </c>
      <c r="K265" s="3" t="s">
        <v>4</v>
      </c>
      <c r="L265" s="12" t="str">
        <f>VLOOKUP(K265,[2]Hoja4!$A$2:$C$443,2,FALSE)</f>
        <v>Intentional self-harm by hanging, strangulation and suffocation</v>
      </c>
      <c r="M265" s="12" t="str">
        <f>VLOOKUP(K265,[2]Hoja4!$A$2:$C$443,3,FALSE)</f>
        <v>At home</v>
      </c>
      <c r="N265" s="1">
        <v>11.3</v>
      </c>
      <c r="O265" s="1">
        <v>22</v>
      </c>
      <c r="P265" s="1">
        <v>17.100000000000001</v>
      </c>
      <c r="Q265" s="1">
        <v>1010.2</v>
      </c>
      <c r="R265" s="1">
        <v>1.2</v>
      </c>
      <c r="S265" s="1">
        <v>75.5</v>
      </c>
      <c r="T265" s="5">
        <v>7.8100000000000003E-2</v>
      </c>
      <c r="U265" s="10">
        <v>4.0000000000000001E-3</v>
      </c>
    </row>
    <row r="266" spans="1:21" customFormat="1">
      <c r="A266">
        <v>1</v>
      </c>
      <c r="B266">
        <v>32</v>
      </c>
      <c r="C266">
        <v>16</v>
      </c>
      <c r="D266">
        <v>2</v>
      </c>
      <c r="E266">
        <v>2020</v>
      </c>
      <c r="F266">
        <v>13125</v>
      </c>
      <c r="G266" t="str">
        <f>VLOOKUP(F266,'[1]Sheet 1'!$B$2:$E$347,2,FALSE)</f>
        <v>Metropolitana de Santiago</v>
      </c>
      <c r="H266" t="str">
        <f>VLOOKUP(F266,'[1]Sheet 1'!$B$2:$E$347,3,FALSE)</f>
        <v>Santiago</v>
      </c>
      <c r="I266" t="str">
        <f>VLOOKUP(F266,'[1]Sheet 1'!$B$2:$E$347,4,FALSE)</f>
        <v>Quilicura</v>
      </c>
      <c r="J266" t="s">
        <v>136</v>
      </c>
      <c r="K266" s="3" t="s">
        <v>0</v>
      </c>
      <c r="L266" s="12" t="str">
        <f>VLOOKUP(K266,[2]Hoja4!$A$2:$C$443,2,FALSE)</f>
        <v>Intentional self-harm by hanging, strangulation and suffocation</v>
      </c>
      <c r="M266" s="12" t="str">
        <f>VLOOKUP(K266,[2]Hoja4!$A$2:$C$443,3,FALSE)</f>
        <v>Unspecified place</v>
      </c>
      <c r="N266" s="1">
        <v>12.3</v>
      </c>
      <c r="O266" s="1">
        <v>31.5</v>
      </c>
      <c r="P266" s="1">
        <v>22</v>
      </c>
      <c r="Q266" s="1">
        <v>950.6</v>
      </c>
      <c r="R266" s="1"/>
      <c r="S266" s="1">
        <v>45.5</v>
      </c>
      <c r="T266" s="5">
        <v>7.8100000000000003E-2</v>
      </c>
      <c r="U266" s="10">
        <v>4.0000000000000001E-3</v>
      </c>
    </row>
    <row r="267" spans="1:21" customFormat="1">
      <c r="A267">
        <v>2</v>
      </c>
      <c r="B267">
        <v>25</v>
      </c>
      <c r="C267">
        <v>16</v>
      </c>
      <c r="D267">
        <v>2</v>
      </c>
      <c r="E267">
        <v>2020</v>
      </c>
      <c r="F267">
        <v>4101</v>
      </c>
      <c r="G267" t="str">
        <f>VLOOKUP(F267,'[1]Sheet 1'!$B$2:$E$347,2,FALSE)</f>
        <v>Coquimbo</v>
      </c>
      <c r="H267" t="str">
        <f>VLOOKUP(F267,'[1]Sheet 1'!$B$2:$E$347,3,FALSE)</f>
        <v>Elqui</v>
      </c>
      <c r="I267" t="str">
        <f>VLOOKUP(F267,'[1]Sheet 1'!$B$2:$E$347,4,FALSE)</f>
        <v>La Serena</v>
      </c>
      <c r="J267" t="s">
        <v>152</v>
      </c>
      <c r="K267" s="3" t="s">
        <v>14</v>
      </c>
      <c r="L267" s="12" t="str">
        <f>VLOOKUP(K267,[2]Hoja4!$A$2:$C$443,2,FALSE)</f>
        <v>Intentional self-poisoning by and exposure to antiepileptic, sedative-hypnotic, antiparkinsonism and psychotropic drugs, not elsewhere classified</v>
      </c>
      <c r="M267" s="12" t="str">
        <f>VLOOKUP(K267,[2]Hoja4!$A$2:$C$443,3,FALSE)</f>
        <v>Unspecified place</v>
      </c>
      <c r="N267" s="1">
        <v>14.9</v>
      </c>
      <c r="O267" s="1">
        <v>20.9</v>
      </c>
      <c r="P267" s="1">
        <v>16.600000000000001</v>
      </c>
      <c r="Q267" s="1">
        <v>994.4</v>
      </c>
      <c r="R267" s="1">
        <v>0</v>
      </c>
      <c r="S267" s="1">
        <v>84</v>
      </c>
      <c r="T267" s="5">
        <v>7.8100000000000003E-2</v>
      </c>
      <c r="U267" s="10">
        <v>4.0000000000000001E-3</v>
      </c>
    </row>
    <row r="268" spans="1:21" customFormat="1">
      <c r="A268">
        <v>1</v>
      </c>
      <c r="B268">
        <v>58</v>
      </c>
      <c r="C268">
        <v>17</v>
      </c>
      <c r="D268">
        <v>2</v>
      </c>
      <c r="E268">
        <v>2020</v>
      </c>
      <c r="F268">
        <v>1101</v>
      </c>
      <c r="G268" t="str">
        <f>VLOOKUP(F268,'[1]Sheet 1'!$B$2:$E$347,2,FALSE)</f>
        <v>Tarapacá</v>
      </c>
      <c r="H268" t="str">
        <f>VLOOKUP(F268,'[1]Sheet 1'!$B$2:$E$347,3,FALSE)</f>
        <v>Iquique</v>
      </c>
      <c r="I268" t="str">
        <f>VLOOKUP(F268,'[1]Sheet 1'!$B$2:$E$347,4,FALSE)</f>
        <v>Iquique</v>
      </c>
      <c r="J268" t="s">
        <v>136</v>
      </c>
      <c r="K268" s="3" t="s">
        <v>4</v>
      </c>
      <c r="L268" s="12" t="str">
        <f>VLOOKUP(K268,[2]Hoja4!$A$2:$C$443,2,FALSE)</f>
        <v>Intentional self-harm by hanging, strangulation and suffocation</v>
      </c>
      <c r="M268" s="12" t="str">
        <f>VLOOKUP(K268,[2]Hoja4!$A$2:$C$443,3,FALSE)</f>
        <v>At home</v>
      </c>
      <c r="N268" s="1">
        <v>19</v>
      </c>
      <c r="O268" s="1">
        <v>24.1</v>
      </c>
      <c r="P268" s="1">
        <v>21.7</v>
      </c>
      <c r="Q268" s="1">
        <v>1006.1</v>
      </c>
      <c r="R268" s="1">
        <v>0</v>
      </c>
      <c r="S268" s="1">
        <v>73.900000000000006</v>
      </c>
      <c r="T268" s="5">
        <v>7.8100000000000003E-2</v>
      </c>
      <c r="U268" s="10">
        <v>4.0000000000000001E-3</v>
      </c>
    </row>
    <row r="269" spans="1:21" customFormat="1">
      <c r="A269">
        <v>1</v>
      </c>
      <c r="B269">
        <v>56</v>
      </c>
      <c r="C269">
        <v>17</v>
      </c>
      <c r="D269">
        <v>2</v>
      </c>
      <c r="E269">
        <v>2020</v>
      </c>
      <c r="F269">
        <v>5101</v>
      </c>
      <c r="G269" t="str">
        <f>VLOOKUP(F269,'[1]Sheet 1'!$B$2:$E$347,2,FALSE)</f>
        <v>Valparaíso</v>
      </c>
      <c r="H269" t="str">
        <f>VLOOKUP(F269,'[1]Sheet 1'!$B$2:$E$347,3,FALSE)</f>
        <v>Valparaíso</v>
      </c>
      <c r="I269" t="str">
        <f>VLOOKUP(F269,'[1]Sheet 1'!$B$2:$E$347,4,FALSE)</f>
        <v>Valparaíso</v>
      </c>
      <c r="J269" t="s">
        <v>136</v>
      </c>
      <c r="K269" s="3" t="s">
        <v>0</v>
      </c>
      <c r="L269" s="12" t="str">
        <f>VLOOKUP(K269,[2]Hoja4!$A$2:$C$443,2,FALSE)</f>
        <v>Intentional self-harm by hanging, strangulation and suffocation</v>
      </c>
      <c r="M269" s="12" t="str">
        <f>VLOOKUP(K269,[2]Hoja4!$A$2:$C$443,3,FALSE)</f>
        <v>Unspecified place</v>
      </c>
      <c r="N269" s="1">
        <v>11.8</v>
      </c>
      <c r="O269" s="1">
        <v>27.2</v>
      </c>
      <c r="P269" s="1">
        <v>17.2</v>
      </c>
      <c r="Q269" s="1">
        <v>974.2</v>
      </c>
      <c r="R269" s="1">
        <v>0</v>
      </c>
      <c r="S269" s="1">
        <v>72.5</v>
      </c>
      <c r="T269" s="5">
        <v>7.8100000000000003E-2</v>
      </c>
      <c r="U269" s="10">
        <v>4.0000000000000001E-3</v>
      </c>
    </row>
    <row r="270" spans="1:21" customFormat="1">
      <c r="A270">
        <v>2</v>
      </c>
      <c r="B270">
        <v>53</v>
      </c>
      <c r="C270">
        <v>17</v>
      </c>
      <c r="D270">
        <v>2</v>
      </c>
      <c r="E270">
        <v>2020</v>
      </c>
      <c r="F270">
        <v>13117</v>
      </c>
      <c r="G270" t="str">
        <f>VLOOKUP(F270,'[1]Sheet 1'!$B$2:$E$347,2,FALSE)</f>
        <v>Metropolitana de Santiago</v>
      </c>
      <c r="H270" t="str">
        <f>VLOOKUP(F270,'[1]Sheet 1'!$B$2:$E$347,3,FALSE)</f>
        <v>Santiago</v>
      </c>
      <c r="I270" t="str">
        <f>VLOOKUP(F270,'[1]Sheet 1'!$B$2:$E$347,4,FALSE)</f>
        <v>Lo Prado</v>
      </c>
      <c r="J270" t="s">
        <v>136</v>
      </c>
      <c r="K270" s="3" t="s">
        <v>0</v>
      </c>
      <c r="L270" s="12" t="str">
        <f>VLOOKUP(K270,[2]Hoja4!$A$2:$C$443,2,FALSE)</f>
        <v>Intentional self-harm by hanging, strangulation and suffocation</v>
      </c>
      <c r="M270" s="12" t="str">
        <f>VLOOKUP(K270,[2]Hoja4!$A$2:$C$443,3,FALSE)</f>
        <v>Unspecified place</v>
      </c>
      <c r="N270" s="1">
        <v>11.4</v>
      </c>
      <c r="O270" s="1">
        <v>29.2</v>
      </c>
      <c r="P270" s="1">
        <v>19.899999999999999</v>
      </c>
      <c r="Q270" s="1">
        <v>953.6</v>
      </c>
      <c r="R270" s="1"/>
      <c r="S270" s="1">
        <v>62.8</v>
      </c>
      <c r="T270" s="5">
        <v>7.8100000000000003E-2</v>
      </c>
      <c r="U270" s="10">
        <v>4.0000000000000001E-3</v>
      </c>
    </row>
    <row r="271" spans="1:21" customFormat="1">
      <c r="A271">
        <v>2</v>
      </c>
      <c r="B271">
        <v>28</v>
      </c>
      <c r="C271">
        <v>17</v>
      </c>
      <c r="D271">
        <v>2</v>
      </c>
      <c r="E271">
        <v>2020</v>
      </c>
      <c r="F271">
        <v>13123</v>
      </c>
      <c r="G271" t="str">
        <f>VLOOKUP(F271,'[1]Sheet 1'!$B$2:$E$347,2,FALSE)</f>
        <v>Metropolitana de Santiago</v>
      </c>
      <c r="H271" t="str">
        <f>VLOOKUP(F271,'[1]Sheet 1'!$B$2:$E$347,3,FALSE)</f>
        <v>Santiago</v>
      </c>
      <c r="I271" t="str">
        <f>VLOOKUP(F271,'[1]Sheet 1'!$B$2:$E$347,4,FALSE)</f>
        <v>Providencia</v>
      </c>
      <c r="J271" t="s">
        <v>136</v>
      </c>
      <c r="K271" s="3" t="s">
        <v>0</v>
      </c>
      <c r="L271" s="12" t="str">
        <f>VLOOKUP(K271,[2]Hoja4!$A$2:$C$443,2,FALSE)</f>
        <v>Intentional self-harm by hanging, strangulation and suffocation</v>
      </c>
      <c r="M271" s="12" t="str">
        <f>VLOOKUP(K271,[2]Hoja4!$A$2:$C$443,3,FALSE)</f>
        <v>Unspecified place</v>
      </c>
      <c r="N271" s="1">
        <v>11.4</v>
      </c>
      <c r="O271" s="1">
        <v>29.2</v>
      </c>
      <c r="P271" s="1">
        <v>19.899999999999999</v>
      </c>
      <c r="Q271" s="1">
        <v>953.6</v>
      </c>
      <c r="R271" s="1"/>
      <c r="S271" s="1">
        <v>62.8</v>
      </c>
      <c r="T271" s="5">
        <v>7.8100000000000003E-2</v>
      </c>
      <c r="U271" s="10">
        <v>4.0000000000000001E-3</v>
      </c>
    </row>
    <row r="272" spans="1:21" customFormat="1">
      <c r="A272">
        <v>1</v>
      </c>
      <c r="B272">
        <v>26</v>
      </c>
      <c r="C272">
        <v>17</v>
      </c>
      <c r="D272">
        <v>2</v>
      </c>
      <c r="E272">
        <v>2020</v>
      </c>
      <c r="F272">
        <v>3101</v>
      </c>
      <c r="G272" t="str">
        <f>VLOOKUP(F272,'[1]Sheet 1'!$B$2:$E$347,2,FALSE)</f>
        <v>Atacama</v>
      </c>
      <c r="H272" t="str">
        <f>VLOOKUP(F272,'[1]Sheet 1'!$B$2:$E$347,3,FALSE)</f>
        <v>Copiapó</v>
      </c>
      <c r="I272" t="str">
        <f>VLOOKUP(F272,'[1]Sheet 1'!$B$2:$E$347,4,FALSE)</f>
        <v>Copiapó</v>
      </c>
      <c r="J272" t="s">
        <v>153</v>
      </c>
      <c r="K272" s="3" t="s">
        <v>15</v>
      </c>
      <c r="L272" s="12" t="str">
        <f>VLOOKUP(K272,[2]Hoja4!$A$2:$C$443,2,FALSE)</f>
        <v>Intentional self-poisoning by and exposure to carbon monoxide and other gases and vapours</v>
      </c>
      <c r="M272" s="12" t="str">
        <f>VLOOKUP(K272,[2]Hoja4!$A$2:$C$443,3,FALSE)</f>
        <v>At home</v>
      </c>
      <c r="N272" s="1">
        <v>16.8</v>
      </c>
      <c r="O272" s="1">
        <v>25.1</v>
      </c>
      <c r="P272" s="1">
        <v>19.899999999999999</v>
      </c>
      <c r="Q272" s="1">
        <v>987.8</v>
      </c>
      <c r="R272" s="1">
        <v>0</v>
      </c>
      <c r="S272" s="1">
        <v>67.8</v>
      </c>
      <c r="T272" s="5">
        <v>7.8100000000000003E-2</v>
      </c>
      <c r="U272" s="10">
        <v>4.0000000000000001E-3</v>
      </c>
    </row>
    <row r="273" spans="1:21" customFormat="1">
      <c r="A273">
        <v>2</v>
      </c>
      <c r="B273">
        <v>90</v>
      </c>
      <c r="C273">
        <v>18</v>
      </c>
      <c r="D273">
        <v>2</v>
      </c>
      <c r="E273">
        <v>2020</v>
      </c>
      <c r="F273">
        <v>13120</v>
      </c>
      <c r="G273" t="str">
        <f>VLOOKUP(F273,'[1]Sheet 1'!$B$2:$E$347,2,FALSE)</f>
        <v>Metropolitana de Santiago</v>
      </c>
      <c r="H273" t="str">
        <f>VLOOKUP(F273,'[1]Sheet 1'!$B$2:$E$347,3,FALSE)</f>
        <v>Santiago</v>
      </c>
      <c r="I273" t="str">
        <f>VLOOKUP(F273,'[1]Sheet 1'!$B$2:$E$347,4,FALSE)</f>
        <v>Ñuñoa</v>
      </c>
      <c r="J273" t="s">
        <v>154</v>
      </c>
      <c r="K273" s="3" t="s">
        <v>14</v>
      </c>
      <c r="L273" s="12" t="str">
        <f>VLOOKUP(K273,[2]Hoja4!$A$2:$C$443,2,FALSE)</f>
        <v>Intentional self-poisoning by and exposure to antiepileptic, sedative-hypnotic, antiparkinsonism and psychotropic drugs, not elsewhere classified</v>
      </c>
      <c r="M273" s="12" t="str">
        <f>VLOOKUP(K273,[2]Hoja4!$A$2:$C$443,3,FALSE)</f>
        <v>Unspecified place</v>
      </c>
      <c r="N273" s="1">
        <v>12.6</v>
      </c>
      <c r="O273" s="1">
        <v>35</v>
      </c>
      <c r="P273" s="1">
        <v>23.4</v>
      </c>
      <c r="Q273" s="1">
        <v>950.5</v>
      </c>
      <c r="R273" s="1"/>
      <c r="S273" s="1">
        <v>37.5</v>
      </c>
      <c r="T273" s="5">
        <v>7.8100000000000003E-2</v>
      </c>
      <c r="U273" s="10">
        <v>4.0000000000000001E-3</v>
      </c>
    </row>
    <row r="274" spans="1:21" customFormat="1">
      <c r="A274">
        <v>2</v>
      </c>
      <c r="B274">
        <v>62</v>
      </c>
      <c r="C274">
        <v>18</v>
      </c>
      <c r="D274">
        <v>2</v>
      </c>
      <c r="E274">
        <v>2020</v>
      </c>
      <c r="F274">
        <v>7301</v>
      </c>
      <c r="G274" t="str">
        <f>VLOOKUP(F274,'[1]Sheet 1'!$B$2:$E$347,2,FALSE)</f>
        <v>Maule</v>
      </c>
      <c r="H274" t="str">
        <f>VLOOKUP(F274,'[1]Sheet 1'!$B$2:$E$347,3,FALSE)</f>
        <v>Curicó</v>
      </c>
      <c r="I274" t="str">
        <f>VLOOKUP(F274,'[1]Sheet 1'!$B$2:$E$347,4,FALSE)</f>
        <v>Curicó</v>
      </c>
      <c r="J274" t="s">
        <v>136</v>
      </c>
      <c r="K274" s="3" t="s">
        <v>4</v>
      </c>
      <c r="L274" s="12" t="str">
        <f>VLOOKUP(K274,[2]Hoja4!$A$2:$C$443,2,FALSE)</f>
        <v>Intentional self-harm by hanging, strangulation and suffocation</v>
      </c>
      <c r="M274" s="12" t="str">
        <f>VLOOKUP(K274,[2]Hoja4!$A$2:$C$443,3,FALSE)</f>
        <v>At home</v>
      </c>
      <c r="N274" s="1">
        <v>11.5</v>
      </c>
      <c r="O274" s="1">
        <v>31.3</v>
      </c>
      <c r="P274" s="1">
        <v>19.8</v>
      </c>
      <c r="Q274" s="1">
        <v>984.4</v>
      </c>
      <c r="R274" s="1">
        <v>0</v>
      </c>
      <c r="S274" s="1">
        <v>47.2</v>
      </c>
      <c r="T274" s="5">
        <v>7.8100000000000003E-2</v>
      </c>
      <c r="U274" s="10">
        <v>4.0000000000000001E-3</v>
      </c>
    </row>
    <row r="275" spans="1:21" customFormat="1">
      <c r="A275">
        <v>1</v>
      </c>
      <c r="B275">
        <v>23</v>
      </c>
      <c r="C275">
        <v>18</v>
      </c>
      <c r="D275">
        <v>2</v>
      </c>
      <c r="E275">
        <v>2020</v>
      </c>
      <c r="F275">
        <v>9116</v>
      </c>
      <c r="G275" t="str">
        <f>VLOOKUP(F275,'[1]Sheet 1'!$B$2:$E$347,2,FALSE)</f>
        <v>La Araucanía</v>
      </c>
      <c r="H275" t="str">
        <f>VLOOKUP(F275,'[1]Sheet 1'!$B$2:$E$347,3,FALSE)</f>
        <v>Cautín</v>
      </c>
      <c r="I275" t="str">
        <f>VLOOKUP(F275,'[1]Sheet 1'!$B$2:$E$347,4,FALSE)</f>
        <v>Saavedra</v>
      </c>
      <c r="J275" t="s">
        <v>136</v>
      </c>
      <c r="K275" s="3" t="s">
        <v>4</v>
      </c>
      <c r="L275" s="12" t="str">
        <f>VLOOKUP(K275,[2]Hoja4!$A$2:$C$443,2,FALSE)</f>
        <v>Intentional self-harm by hanging, strangulation and suffocation</v>
      </c>
      <c r="M275" s="12" t="str">
        <f>VLOOKUP(K275,[2]Hoja4!$A$2:$C$443,3,FALSE)</f>
        <v>At home</v>
      </c>
      <c r="N275" s="1">
        <v>3.3</v>
      </c>
      <c r="O275" s="1">
        <v>24.7</v>
      </c>
      <c r="P275" s="1">
        <v>13.5</v>
      </c>
      <c r="Q275" s="1">
        <v>1004.9</v>
      </c>
      <c r="R275" s="1">
        <v>0</v>
      </c>
      <c r="S275" s="1">
        <v>77.5</v>
      </c>
      <c r="T275" s="5">
        <v>7.8100000000000003E-2</v>
      </c>
      <c r="U275" s="10">
        <v>4.0000000000000001E-3</v>
      </c>
    </row>
    <row r="276" spans="1:21" customFormat="1">
      <c r="A276">
        <v>2</v>
      </c>
      <c r="B276">
        <v>20</v>
      </c>
      <c r="C276">
        <v>18</v>
      </c>
      <c r="D276">
        <v>2</v>
      </c>
      <c r="E276">
        <v>2020</v>
      </c>
      <c r="F276">
        <v>8108</v>
      </c>
      <c r="G276" t="str">
        <f>VLOOKUP(F276,'[1]Sheet 1'!$B$2:$E$347,2,FALSE)</f>
        <v>Biobío</v>
      </c>
      <c r="H276" t="str">
        <f>VLOOKUP(F276,'[1]Sheet 1'!$B$2:$E$347,3,FALSE)</f>
        <v>Concepción</v>
      </c>
      <c r="I276" t="str">
        <f>VLOOKUP(F276,'[1]Sheet 1'!$B$2:$E$347,4,FALSE)</f>
        <v>San Pedro de la Paz</v>
      </c>
      <c r="J276" t="s">
        <v>136</v>
      </c>
      <c r="K276" s="3" t="s">
        <v>0</v>
      </c>
      <c r="L276" s="12" t="str">
        <f>VLOOKUP(K276,[2]Hoja4!$A$2:$C$443,2,FALSE)</f>
        <v>Intentional self-harm by hanging, strangulation and suffocation</v>
      </c>
      <c r="M276" s="12" t="str">
        <f>VLOOKUP(K276,[2]Hoja4!$A$2:$C$443,3,FALSE)</f>
        <v>Unspecified place</v>
      </c>
      <c r="N276" s="1">
        <v>12</v>
      </c>
      <c r="O276" s="1">
        <v>24.3</v>
      </c>
      <c r="P276" s="1">
        <v>17.8</v>
      </c>
      <c r="Q276" s="1">
        <v>1011.8</v>
      </c>
      <c r="R276" s="1">
        <v>0</v>
      </c>
      <c r="S276" s="1">
        <v>59.8</v>
      </c>
      <c r="T276" s="5">
        <v>7.8100000000000003E-2</v>
      </c>
      <c r="U276" s="10">
        <v>4.0000000000000001E-3</v>
      </c>
    </row>
    <row r="277" spans="1:21" customFormat="1">
      <c r="A277">
        <v>1</v>
      </c>
      <c r="B277">
        <v>33</v>
      </c>
      <c r="C277">
        <v>18</v>
      </c>
      <c r="D277">
        <v>2</v>
      </c>
      <c r="E277">
        <v>2020</v>
      </c>
      <c r="F277">
        <v>10101</v>
      </c>
      <c r="G277" t="str">
        <f>VLOOKUP(F277,'[1]Sheet 1'!$B$2:$E$347,2,FALSE)</f>
        <v>Los Lagos</v>
      </c>
      <c r="H277" t="str">
        <f>VLOOKUP(F277,'[1]Sheet 1'!$B$2:$E$347,3,FALSE)</f>
        <v>Llanquihue</v>
      </c>
      <c r="I277" t="str">
        <f>VLOOKUP(F277,'[1]Sheet 1'!$B$2:$E$347,4,FALSE)</f>
        <v>Puerto Montt</v>
      </c>
      <c r="J277" t="s">
        <v>136</v>
      </c>
      <c r="K277" s="3" t="s">
        <v>4</v>
      </c>
      <c r="L277" s="12" t="str">
        <f>VLOOKUP(K277,[2]Hoja4!$A$2:$C$443,2,FALSE)</f>
        <v>Intentional self-harm by hanging, strangulation and suffocation</v>
      </c>
      <c r="M277" s="12" t="str">
        <f>VLOOKUP(K277,[2]Hoja4!$A$2:$C$443,3,FALSE)</f>
        <v>At home</v>
      </c>
      <c r="N277" s="1">
        <v>7.1</v>
      </c>
      <c r="O277" s="1">
        <v>18.100000000000001</v>
      </c>
      <c r="P277" s="1">
        <v>12.4</v>
      </c>
      <c r="Q277" s="1">
        <v>1008.1</v>
      </c>
      <c r="R277" s="1">
        <v>0.6</v>
      </c>
      <c r="S277" s="1">
        <v>81</v>
      </c>
      <c r="T277" s="5">
        <v>7.8100000000000003E-2</v>
      </c>
      <c r="U277" s="10">
        <v>4.0000000000000001E-3</v>
      </c>
    </row>
    <row r="278" spans="1:21" customFormat="1">
      <c r="A278">
        <v>1</v>
      </c>
      <c r="B278">
        <v>86</v>
      </c>
      <c r="C278">
        <v>19</v>
      </c>
      <c r="D278">
        <v>2</v>
      </c>
      <c r="E278">
        <v>2020</v>
      </c>
      <c r="F278">
        <v>5701</v>
      </c>
      <c r="G278" t="str">
        <f>VLOOKUP(F278,'[1]Sheet 1'!$B$2:$E$347,2,FALSE)</f>
        <v>Valparaíso</v>
      </c>
      <c r="H278" t="str">
        <f>VLOOKUP(F278,'[1]Sheet 1'!$B$2:$E$347,3,FALSE)</f>
        <v>San Felipe de Aconcagua</v>
      </c>
      <c r="I278" t="str">
        <f>VLOOKUP(F278,'[1]Sheet 1'!$B$2:$E$347,4,FALSE)</f>
        <v>San Felipe</v>
      </c>
      <c r="J278" t="s">
        <v>136</v>
      </c>
      <c r="K278" s="3" t="s">
        <v>4</v>
      </c>
      <c r="L278" s="12" t="str">
        <f>VLOOKUP(K278,[2]Hoja4!$A$2:$C$443,2,FALSE)</f>
        <v>Intentional self-harm by hanging, strangulation and suffocation</v>
      </c>
      <c r="M278" s="12" t="str">
        <f>VLOOKUP(K278,[2]Hoja4!$A$2:$C$443,3,FALSE)</f>
        <v>At home</v>
      </c>
      <c r="N278" s="1">
        <v>11.4</v>
      </c>
      <c r="O278" s="1">
        <v>35.5</v>
      </c>
      <c r="P278" s="1">
        <v>23.8</v>
      </c>
      <c r="Q278" s="1">
        <v>934.7</v>
      </c>
      <c r="R278" s="1">
        <v>0</v>
      </c>
      <c r="S278" s="1">
        <v>39.700000000000003</v>
      </c>
      <c r="T278" s="5">
        <v>7.8100000000000003E-2</v>
      </c>
      <c r="U278" s="10">
        <v>4.0000000000000001E-3</v>
      </c>
    </row>
    <row r="279" spans="1:21" customFormat="1">
      <c r="A279">
        <v>1</v>
      </c>
      <c r="B279">
        <v>57</v>
      </c>
      <c r="C279">
        <v>19</v>
      </c>
      <c r="D279">
        <v>2</v>
      </c>
      <c r="E279">
        <v>2020</v>
      </c>
      <c r="F279">
        <v>10101</v>
      </c>
      <c r="G279" t="str">
        <f>VLOOKUP(F279,'[1]Sheet 1'!$B$2:$E$347,2,FALSE)</f>
        <v>Los Lagos</v>
      </c>
      <c r="H279" t="str">
        <f>VLOOKUP(F279,'[1]Sheet 1'!$B$2:$E$347,3,FALSE)</f>
        <v>Llanquihue</v>
      </c>
      <c r="I279" t="str">
        <f>VLOOKUP(F279,'[1]Sheet 1'!$B$2:$E$347,4,FALSE)</f>
        <v>Puerto Montt</v>
      </c>
      <c r="J279" t="s">
        <v>136</v>
      </c>
      <c r="K279" s="3" t="s">
        <v>4</v>
      </c>
      <c r="L279" s="12" t="str">
        <f>VLOOKUP(K279,[2]Hoja4!$A$2:$C$443,2,FALSE)</f>
        <v>Intentional self-harm by hanging, strangulation and suffocation</v>
      </c>
      <c r="M279" s="12" t="str">
        <f>VLOOKUP(K279,[2]Hoja4!$A$2:$C$443,3,FALSE)</f>
        <v>At home</v>
      </c>
      <c r="N279" s="1">
        <v>6.9</v>
      </c>
      <c r="O279" s="1">
        <v>17</v>
      </c>
      <c r="P279" s="1">
        <v>12.5</v>
      </c>
      <c r="Q279" s="1">
        <v>1012.4</v>
      </c>
      <c r="R279" s="1">
        <v>0</v>
      </c>
      <c r="S279" s="1">
        <v>75.2</v>
      </c>
      <c r="T279" s="5">
        <v>7.8100000000000003E-2</v>
      </c>
      <c r="U279" s="10">
        <v>4.0000000000000001E-3</v>
      </c>
    </row>
    <row r="280" spans="1:21" customFormat="1">
      <c r="A280">
        <v>1</v>
      </c>
      <c r="B280">
        <v>43</v>
      </c>
      <c r="C280">
        <v>19</v>
      </c>
      <c r="D280">
        <v>2</v>
      </c>
      <c r="E280">
        <v>2020</v>
      </c>
      <c r="F280">
        <v>13101</v>
      </c>
      <c r="G280" t="str">
        <f>VLOOKUP(F280,'[1]Sheet 1'!$B$2:$E$347,2,FALSE)</f>
        <v>Metropolitana de Santiago</v>
      </c>
      <c r="H280" t="str">
        <f>VLOOKUP(F280,'[1]Sheet 1'!$B$2:$E$347,3,FALSE)</f>
        <v>Santiago</v>
      </c>
      <c r="I280" t="str">
        <f>VLOOKUP(F280,'[1]Sheet 1'!$B$2:$E$347,4,FALSE)</f>
        <v>Santiago</v>
      </c>
      <c r="J280" t="s">
        <v>136</v>
      </c>
      <c r="K280" s="3" t="s">
        <v>0</v>
      </c>
      <c r="L280" s="12" t="str">
        <f>VLOOKUP(K280,[2]Hoja4!$A$2:$C$443,2,FALSE)</f>
        <v>Intentional self-harm by hanging, strangulation and suffocation</v>
      </c>
      <c r="M280" s="12" t="str">
        <f>VLOOKUP(K280,[2]Hoja4!$A$2:$C$443,3,FALSE)</f>
        <v>Unspecified place</v>
      </c>
      <c r="N280" s="1">
        <v>12.4</v>
      </c>
      <c r="O280" s="1">
        <v>34.5</v>
      </c>
      <c r="P280" s="1">
        <v>23.9</v>
      </c>
      <c r="Q280" s="1">
        <v>951.2</v>
      </c>
      <c r="R280" s="1"/>
      <c r="S280" s="1">
        <v>34.799999999999997</v>
      </c>
      <c r="T280" s="5">
        <v>7.8100000000000003E-2</v>
      </c>
      <c r="U280" s="10">
        <v>4.0000000000000001E-3</v>
      </c>
    </row>
    <row r="281" spans="1:21" customFormat="1">
      <c r="A281">
        <v>1</v>
      </c>
      <c r="B281">
        <v>50</v>
      </c>
      <c r="C281">
        <v>19</v>
      </c>
      <c r="D281">
        <v>2</v>
      </c>
      <c r="E281">
        <v>2020</v>
      </c>
      <c r="F281">
        <v>4304</v>
      </c>
      <c r="G281" t="str">
        <f>VLOOKUP(F281,'[1]Sheet 1'!$B$2:$E$347,2,FALSE)</f>
        <v>Coquimbo</v>
      </c>
      <c r="H281" t="str">
        <f>VLOOKUP(F281,'[1]Sheet 1'!$B$2:$E$347,3,FALSE)</f>
        <v>Limarí</v>
      </c>
      <c r="I281" t="str">
        <f>VLOOKUP(F281,'[1]Sheet 1'!$B$2:$E$347,4,FALSE)</f>
        <v>Punitaqui</v>
      </c>
      <c r="J281" t="s">
        <v>136</v>
      </c>
      <c r="K281" s="3" t="s">
        <v>2</v>
      </c>
      <c r="L281" s="12" t="str">
        <f>VLOOKUP(K281,[2]Hoja4!$A$2:$C$443,2,FALSE)</f>
        <v>Intentional self-harm by hanging, strangulation and suffocation</v>
      </c>
      <c r="M281" s="12" t="str">
        <f>VLOOKUP(K281,[2]Hoja4!$A$2:$C$443,3,FALSE)</f>
        <v>Street and highway</v>
      </c>
      <c r="N281" s="1">
        <v>11.4</v>
      </c>
      <c r="O281" s="1">
        <v>26.8</v>
      </c>
      <c r="P281" s="1">
        <v>18.399999999999999</v>
      </c>
      <c r="Q281" s="1">
        <v>975.1</v>
      </c>
      <c r="R281" s="1">
        <v>0</v>
      </c>
      <c r="S281" s="1">
        <v>67.3</v>
      </c>
      <c r="T281" s="5">
        <v>7.8100000000000003E-2</v>
      </c>
      <c r="U281" s="10">
        <v>4.0000000000000001E-3</v>
      </c>
    </row>
    <row r="282" spans="1:21" customFormat="1">
      <c r="A282">
        <v>1</v>
      </c>
      <c r="B282">
        <v>36</v>
      </c>
      <c r="C282">
        <v>19</v>
      </c>
      <c r="D282">
        <v>2</v>
      </c>
      <c r="E282">
        <v>2020</v>
      </c>
      <c r="F282">
        <v>5109</v>
      </c>
      <c r="G282" t="str">
        <f>VLOOKUP(F282,'[1]Sheet 1'!$B$2:$E$347,2,FALSE)</f>
        <v>Valparaíso</v>
      </c>
      <c r="H282" t="str">
        <f>VLOOKUP(F282,'[1]Sheet 1'!$B$2:$E$347,3,FALSE)</f>
        <v>Valparaíso</v>
      </c>
      <c r="I282" t="str">
        <f>VLOOKUP(F282,'[1]Sheet 1'!$B$2:$E$347,4,FALSE)</f>
        <v>Viña del Mar</v>
      </c>
      <c r="J282" t="s">
        <v>136</v>
      </c>
      <c r="K282" s="3" t="s">
        <v>4</v>
      </c>
      <c r="L282" s="12" t="str">
        <f>VLOOKUP(K282,[2]Hoja4!$A$2:$C$443,2,FALSE)</f>
        <v>Intentional self-harm by hanging, strangulation and suffocation</v>
      </c>
      <c r="M282" s="12" t="str">
        <f>VLOOKUP(K282,[2]Hoja4!$A$2:$C$443,3,FALSE)</f>
        <v>At home</v>
      </c>
      <c r="N282" s="1">
        <v>10.9</v>
      </c>
      <c r="O282" s="1">
        <v>20.2</v>
      </c>
      <c r="P282" s="1">
        <v>15.2</v>
      </c>
      <c r="Q282" s="1">
        <v>973.1</v>
      </c>
      <c r="R282" s="1">
        <v>0</v>
      </c>
      <c r="S282" s="1">
        <v>74.8</v>
      </c>
      <c r="T282" s="5">
        <v>7.8100000000000003E-2</v>
      </c>
      <c r="U282" s="10">
        <v>4.0000000000000001E-3</v>
      </c>
    </row>
    <row r="283" spans="1:21" customFormat="1">
      <c r="A283">
        <v>1</v>
      </c>
      <c r="B283">
        <v>23</v>
      </c>
      <c r="C283">
        <v>19</v>
      </c>
      <c r="D283">
        <v>2</v>
      </c>
      <c r="E283">
        <v>2020</v>
      </c>
      <c r="F283">
        <v>8104</v>
      </c>
      <c r="G283" t="str">
        <f>VLOOKUP(F283,'[1]Sheet 1'!$B$2:$E$347,2,FALSE)</f>
        <v>Biobío</v>
      </c>
      <c r="H283" t="str">
        <f>VLOOKUP(F283,'[1]Sheet 1'!$B$2:$E$347,3,FALSE)</f>
        <v>Concepción</v>
      </c>
      <c r="I283" t="str">
        <f>VLOOKUP(F283,'[1]Sheet 1'!$B$2:$E$347,4,FALSE)</f>
        <v>Florida</v>
      </c>
      <c r="J283" t="s">
        <v>136</v>
      </c>
      <c r="K283" s="3" t="s">
        <v>0</v>
      </c>
      <c r="L283" s="12" t="str">
        <f>VLOOKUP(K283,[2]Hoja4!$A$2:$C$443,2,FALSE)</f>
        <v>Intentional self-harm by hanging, strangulation and suffocation</v>
      </c>
      <c r="M283" s="12" t="str">
        <f>VLOOKUP(K283,[2]Hoja4!$A$2:$C$443,3,FALSE)</f>
        <v>Unspecified place</v>
      </c>
      <c r="N283" s="1">
        <v>12.7</v>
      </c>
      <c r="O283" s="1">
        <v>24.6</v>
      </c>
      <c r="P283" s="1">
        <v>18.3</v>
      </c>
      <c r="Q283" s="1">
        <v>1012.7</v>
      </c>
      <c r="R283" s="1">
        <v>0</v>
      </c>
      <c r="S283" s="1">
        <v>61</v>
      </c>
      <c r="T283" s="5">
        <v>7.8100000000000003E-2</v>
      </c>
      <c r="U283" s="10">
        <v>4.0000000000000001E-3</v>
      </c>
    </row>
    <row r="284" spans="1:21" customFormat="1">
      <c r="A284">
        <v>1</v>
      </c>
      <c r="B284">
        <v>23</v>
      </c>
      <c r="C284">
        <v>19</v>
      </c>
      <c r="D284">
        <v>2</v>
      </c>
      <c r="E284">
        <v>2020</v>
      </c>
      <c r="F284">
        <v>7301</v>
      </c>
      <c r="G284" t="str">
        <f>VLOOKUP(F284,'[1]Sheet 1'!$B$2:$E$347,2,FALSE)</f>
        <v>Maule</v>
      </c>
      <c r="H284" t="str">
        <f>VLOOKUP(F284,'[1]Sheet 1'!$B$2:$E$347,3,FALSE)</f>
        <v>Curicó</v>
      </c>
      <c r="I284" t="str">
        <f>VLOOKUP(F284,'[1]Sheet 1'!$B$2:$E$347,4,FALSE)</f>
        <v>Curicó</v>
      </c>
      <c r="J284" t="s">
        <v>136</v>
      </c>
      <c r="K284" s="3" t="s">
        <v>0</v>
      </c>
      <c r="L284" s="12" t="str">
        <f>VLOOKUP(K284,[2]Hoja4!$A$2:$C$443,2,FALSE)</f>
        <v>Intentional self-harm by hanging, strangulation and suffocation</v>
      </c>
      <c r="M284" s="12" t="str">
        <f>VLOOKUP(K284,[2]Hoja4!$A$2:$C$443,3,FALSE)</f>
        <v>Unspecified place</v>
      </c>
      <c r="N284" s="1">
        <v>12.6</v>
      </c>
      <c r="O284" s="1">
        <v>30.9</v>
      </c>
      <c r="P284" s="1">
        <v>21</v>
      </c>
      <c r="Q284" s="1">
        <v>985.1</v>
      </c>
      <c r="R284" s="1">
        <v>0</v>
      </c>
      <c r="S284" s="1">
        <v>56.2</v>
      </c>
      <c r="T284" s="5">
        <v>7.8100000000000003E-2</v>
      </c>
      <c r="U284" s="10">
        <v>4.0000000000000001E-3</v>
      </c>
    </row>
    <row r="285" spans="1:21" customFormat="1">
      <c r="A285">
        <v>1</v>
      </c>
      <c r="B285">
        <v>61</v>
      </c>
      <c r="C285">
        <v>20</v>
      </c>
      <c r="D285">
        <v>2</v>
      </c>
      <c r="E285">
        <v>2020</v>
      </c>
      <c r="F285">
        <v>9103</v>
      </c>
      <c r="G285" t="str">
        <f>VLOOKUP(F285,'[1]Sheet 1'!$B$2:$E$347,2,FALSE)</f>
        <v>La Araucanía</v>
      </c>
      <c r="H285" t="str">
        <f>VLOOKUP(F285,'[1]Sheet 1'!$B$2:$E$347,3,FALSE)</f>
        <v>Cautín</v>
      </c>
      <c r="I285" t="str">
        <f>VLOOKUP(F285,'[1]Sheet 1'!$B$2:$E$347,4,FALSE)</f>
        <v>Cunco</v>
      </c>
      <c r="J285" t="s">
        <v>136</v>
      </c>
      <c r="K285" s="3" t="s">
        <v>4</v>
      </c>
      <c r="L285" s="12" t="str">
        <f>VLOOKUP(K285,[2]Hoja4!$A$2:$C$443,2,FALSE)</f>
        <v>Intentional self-harm by hanging, strangulation and suffocation</v>
      </c>
      <c r="M285" s="12" t="str">
        <f>VLOOKUP(K285,[2]Hoja4!$A$2:$C$443,3,FALSE)</f>
        <v>At home</v>
      </c>
      <c r="N285" s="1">
        <v>9.1999999999999993</v>
      </c>
      <c r="O285" s="1">
        <v>32.5</v>
      </c>
      <c r="P285" s="1">
        <v>19.399999999999999</v>
      </c>
      <c r="Q285" s="1">
        <v>1001.3</v>
      </c>
      <c r="R285" s="1">
        <v>0</v>
      </c>
      <c r="S285" s="1">
        <v>40</v>
      </c>
      <c r="T285" s="5">
        <v>7.8100000000000003E-2</v>
      </c>
      <c r="U285" s="10">
        <v>4.0000000000000001E-3</v>
      </c>
    </row>
    <row r="286" spans="1:21" customFormat="1">
      <c r="A286">
        <v>1</v>
      </c>
      <c r="B286">
        <v>37</v>
      </c>
      <c r="C286">
        <v>20</v>
      </c>
      <c r="D286">
        <v>2</v>
      </c>
      <c r="E286">
        <v>2020</v>
      </c>
      <c r="F286">
        <v>8301</v>
      </c>
      <c r="G286" t="str">
        <f>VLOOKUP(F286,'[1]Sheet 1'!$B$2:$E$347,2,FALSE)</f>
        <v>Biobío</v>
      </c>
      <c r="H286" t="str">
        <f>VLOOKUP(F286,'[1]Sheet 1'!$B$2:$E$347,3,FALSE)</f>
        <v>Biobío</v>
      </c>
      <c r="I286" t="str">
        <f>VLOOKUP(F286,'[1]Sheet 1'!$B$2:$E$347,4,FALSE)</f>
        <v>Los Angeles</v>
      </c>
      <c r="J286" t="s">
        <v>136</v>
      </c>
      <c r="K286" s="3" t="s">
        <v>4</v>
      </c>
      <c r="L286" s="12" t="str">
        <f>VLOOKUP(K286,[2]Hoja4!$A$2:$C$443,2,FALSE)</f>
        <v>Intentional self-harm by hanging, strangulation and suffocation</v>
      </c>
      <c r="M286" s="12" t="str">
        <f>VLOOKUP(K286,[2]Hoja4!$A$2:$C$443,3,FALSE)</f>
        <v>At home</v>
      </c>
      <c r="N286" s="1">
        <v>10</v>
      </c>
      <c r="O286" s="1">
        <v>35</v>
      </c>
      <c r="P286" s="1">
        <v>22.5</v>
      </c>
      <c r="Q286" s="1">
        <v>996.1</v>
      </c>
      <c r="R286" s="1">
        <v>0</v>
      </c>
      <c r="S286" s="1">
        <v>69.2</v>
      </c>
      <c r="T286" s="5">
        <v>7.8100000000000003E-2</v>
      </c>
      <c r="U286" s="10">
        <v>4.0000000000000001E-3</v>
      </c>
    </row>
    <row r="287" spans="1:21" customFormat="1">
      <c r="A287">
        <v>1</v>
      </c>
      <c r="B287">
        <v>34</v>
      </c>
      <c r="C287">
        <v>20</v>
      </c>
      <c r="D287">
        <v>2</v>
      </c>
      <c r="E287">
        <v>2020</v>
      </c>
      <c r="F287">
        <v>2201</v>
      </c>
      <c r="G287" t="str">
        <f>VLOOKUP(F287,'[1]Sheet 1'!$B$2:$E$347,2,FALSE)</f>
        <v>Antofagasta</v>
      </c>
      <c r="H287" t="str">
        <f>VLOOKUP(F287,'[1]Sheet 1'!$B$2:$E$347,3,FALSE)</f>
        <v>El Loa</v>
      </c>
      <c r="I287" t="str">
        <f>VLOOKUP(F287,'[1]Sheet 1'!$B$2:$E$347,4,FALSE)</f>
        <v>Calama</v>
      </c>
      <c r="J287" t="s">
        <v>136</v>
      </c>
      <c r="K287" s="3" t="s">
        <v>4</v>
      </c>
      <c r="L287" s="12" t="str">
        <f>VLOOKUP(K287,[2]Hoja4!$A$2:$C$443,2,FALSE)</f>
        <v>Intentional self-harm by hanging, strangulation and suffocation</v>
      </c>
      <c r="M287" s="12" t="str">
        <f>VLOOKUP(K287,[2]Hoja4!$A$2:$C$443,3,FALSE)</f>
        <v>At home</v>
      </c>
      <c r="N287" s="1">
        <v>10.1</v>
      </c>
      <c r="O287" s="1">
        <v>25.3</v>
      </c>
      <c r="P287" s="1">
        <v>18.399999999999999</v>
      </c>
      <c r="Q287" s="1">
        <v>771.7</v>
      </c>
      <c r="R287" s="1">
        <v>0</v>
      </c>
      <c r="S287" s="1">
        <v>45</v>
      </c>
      <c r="T287" s="5">
        <v>7.8100000000000003E-2</v>
      </c>
      <c r="U287" s="10">
        <v>4.0000000000000001E-3</v>
      </c>
    </row>
    <row r="288" spans="1:21" customFormat="1">
      <c r="A288">
        <v>1</v>
      </c>
      <c r="B288">
        <v>54</v>
      </c>
      <c r="C288">
        <v>21</v>
      </c>
      <c r="D288">
        <v>2</v>
      </c>
      <c r="E288">
        <v>2020</v>
      </c>
      <c r="F288">
        <v>4102</v>
      </c>
      <c r="G288" t="str">
        <f>VLOOKUP(F288,'[1]Sheet 1'!$B$2:$E$347,2,FALSE)</f>
        <v>Coquimbo</v>
      </c>
      <c r="H288" t="str">
        <f>VLOOKUP(F288,'[1]Sheet 1'!$B$2:$E$347,3,FALSE)</f>
        <v>Elqui</v>
      </c>
      <c r="I288" t="str">
        <f>VLOOKUP(F288,'[1]Sheet 1'!$B$2:$E$347,4,FALSE)</f>
        <v>Coquimbo</v>
      </c>
      <c r="J288" t="s">
        <v>136</v>
      </c>
      <c r="K288" s="3" t="s">
        <v>4</v>
      </c>
      <c r="L288" s="12" t="str">
        <f>VLOOKUP(K288,[2]Hoja4!$A$2:$C$443,2,FALSE)</f>
        <v>Intentional self-harm by hanging, strangulation and suffocation</v>
      </c>
      <c r="M288" s="12" t="str">
        <f>VLOOKUP(K288,[2]Hoja4!$A$2:$C$443,3,FALSE)</f>
        <v>At home</v>
      </c>
      <c r="N288" s="1">
        <v>14.9</v>
      </c>
      <c r="O288" s="1" t="s">
        <v>56</v>
      </c>
      <c r="P288" s="1">
        <v>17.600000000000001</v>
      </c>
      <c r="Q288" s="1">
        <v>998</v>
      </c>
      <c r="R288" s="1">
        <v>0</v>
      </c>
      <c r="S288" s="1">
        <v>74.8</v>
      </c>
      <c r="T288" s="5">
        <v>7.8100000000000003E-2</v>
      </c>
      <c r="U288" s="10">
        <v>4.0000000000000001E-3</v>
      </c>
    </row>
    <row r="289" spans="1:21" customFormat="1">
      <c r="A289">
        <v>1</v>
      </c>
      <c r="B289">
        <v>46</v>
      </c>
      <c r="C289">
        <v>21</v>
      </c>
      <c r="D289">
        <v>2</v>
      </c>
      <c r="E289">
        <v>2020</v>
      </c>
      <c r="F289">
        <v>9211</v>
      </c>
      <c r="G289" t="str">
        <f>VLOOKUP(F289,'[1]Sheet 1'!$B$2:$E$347,2,FALSE)</f>
        <v>La Araucanía</v>
      </c>
      <c r="H289" t="str">
        <f>VLOOKUP(F289,'[1]Sheet 1'!$B$2:$E$347,3,FALSE)</f>
        <v>Malleco</v>
      </c>
      <c r="I289" t="str">
        <f>VLOOKUP(F289,'[1]Sheet 1'!$B$2:$E$347,4,FALSE)</f>
        <v>Victoria</v>
      </c>
      <c r="J289" t="s">
        <v>136</v>
      </c>
      <c r="K289" s="3" t="s">
        <v>0</v>
      </c>
      <c r="L289" s="12" t="str">
        <f>VLOOKUP(K289,[2]Hoja4!$A$2:$C$443,2,FALSE)</f>
        <v>Intentional self-harm by hanging, strangulation and suffocation</v>
      </c>
      <c r="M289" s="12" t="str">
        <f>VLOOKUP(K289,[2]Hoja4!$A$2:$C$443,3,FALSE)</f>
        <v>Unspecified place</v>
      </c>
      <c r="N289" s="1">
        <v>9.9</v>
      </c>
      <c r="O289" s="1" t="s">
        <v>59</v>
      </c>
      <c r="P289" s="1">
        <v>23.5</v>
      </c>
      <c r="Q289" s="1">
        <v>1003.1</v>
      </c>
      <c r="R289" s="1">
        <v>0</v>
      </c>
      <c r="S289" s="1">
        <v>40</v>
      </c>
      <c r="T289" s="5">
        <v>7.8100000000000003E-2</v>
      </c>
      <c r="U289" s="10">
        <v>4.0000000000000001E-3</v>
      </c>
    </row>
    <row r="290" spans="1:21" customFormat="1">
      <c r="A290">
        <v>1</v>
      </c>
      <c r="B290">
        <v>37</v>
      </c>
      <c r="C290">
        <v>21</v>
      </c>
      <c r="D290">
        <v>2</v>
      </c>
      <c r="E290">
        <v>2020</v>
      </c>
      <c r="F290">
        <v>2301</v>
      </c>
      <c r="G290" t="str">
        <f>VLOOKUP(F290,'[1]Sheet 1'!$B$2:$E$347,2,FALSE)</f>
        <v>Antofagasta</v>
      </c>
      <c r="H290" t="str">
        <f>VLOOKUP(F290,'[1]Sheet 1'!$B$2:$E$347,3,FALSE)</f>
        <v>Tocopilla</v>
      </c>
      <c r="I290" t="str">
        <f>VLOOKUP(F290,'[1]Sheet 1'!$B$2:$E$347,4,FALSE)</f>
        <v>Tocopilla</v>
      </c>
      <c r="J290" t="s">
        <v>136</v>
      </c>
      <c r="K290" s="3" t="s">
        <v>0</v>
      </c>
      <c r="L290" s="12" t="str">
        <f>VLOOKUP(K290,[2]Hoja4!$A$2:$C$443,2,FALSE)</f>
        <v>Intentional self-harm by hanging, strangulation and suffocation</v>
      </c>
      <c r="M290" s="12" t="str">
        <f>VLOOKUP(K290,[2]Hoja4!$A$2:$C$443,3,FALSE)</f>
        <v>Unspecified place</v>
      </c>
      <c r="N290" s="1">
        <v>17.7</v>
      </c>
      <c r="O290" s="1">
        <v>23.6</v>
      </c>
      <c r="P290" s="1">
        <v>20.3</v>
      </c>
      <c r="Q290" s="1">
        <v>997.8</v>
      </c>
      <c r="R290" s="1">
        <v>0</v>
      </c>
      <c r="S290" s="1">
        <v>78.8</v>
      </c>
      <c r="T290" s="5">
        <v>7.8100000000000003E-2</v>
      </c>
      <c r="U290" s="10">
        <v>4.0000000000000001E-3</v>
      </c>
    </row>
    <row r="291" spans="1:21" customFormat="1">
      <c r="A291">
        <v>1</v>
      </c>
      <c r="B291">
        <v>25</v>
      </c>
      <c r="C291">
        <v>21</v>
      </c>
      <c r="D291">
        <v>2</v>
      </c>
      <c r="E291">
        <v>2020</v>
      </c>
      <c r="F291">
        <v>6113</v>
      </c>
      <c r="G291" t="str">
        <f>VLOOKUP(F291,'[1]Sheet 1'!$B$2:$E$347,2,FALSE)</f>
        <v>Libertador General Bernardo O'Higgins</v>
      </c>
      <c r="H291" t="str">
        <f>VLOOKUP(F291,'[1]Sheet 1'!$B$2:$E$347,3,FALSE)</f>
        <v>Cachapoal</v>
      </c>
      <c r="I291" t="str">
        <f>VLOOKUP(F291,'[1]Sheet 1'!$B$2:$E$347,4,FALSE)</f>
        <v>Pichidegua</v>
      </c>
      <c r="J291" t="s">
        <v>136</v>
      </c>
      <c r="K291" s="3" t="s">
        <v>0</v>
      </c>
      <c r="L291" s="12" t="str">
        <f>VLOOKUP(K291,[2]Hoja4!$A$2:$C$443,2,FALSE)</f>
        <v>Intentional self-harm by hanging, strangulation and suffocation</v>
      </c>
      <c r="M291" s="12" t="str">
        <f>VLOOKUP(K291,[2]Hoja4!$A$2:$C$443,3,FALSE)</f>
        <v>Unspecified place</v>
      </c>
      <c r="N291" s="1">
        <v>11</v>
      </c>
      <c r="O291" s="1">
        <v>26.9</v>
      </c>
      <c r="P291" s="1">
        <v>18.8</v>
      </c>
      <c r="Q291" s="1">
        <v>957.6</v>
      </c>
      <c r="R291" s="1">
        <v>0</v>
      </c>
      <c r="S291" s="1">
        <v>70</v>
      </c>
      <c r="T291" s="5">
        <v>7.8100000000000003E-2</v>
      </c>
      <c r="U291" s="10">
        <v>4.0000000000000001E-3</v>
      </c>
    </row>
    <row r="292" spans="1:21" customFormat="1">
      <c r="A292">
        <v>1</v>
      </c>
      <c r="B292">
        <v>45</v>
      </c>
      <c r="C292">
        <v>22</v>
      </c>
      <c r="D292">
        <v>2</v>
      </c>
      <c r="E292">
        <v>2020</v>
      </c>
      <c r="F292">
        <v>3201</v>
      </c>
      <c r="G292" t="str">
        <f>VLOOKUP(F292,'[1]Sheet 1'!$B$2:$E$347,2,FALSE)</f>
        <v>Atacama</v>
      </c>
      <c r="H292" t="str">
        <f>VLOOKUP(F292,'[1]Sheet 1'!$B$2:$E$347,3,FALSE)</f>
        <v>Chañaral</v>
      </c>
      <c r="I292" t="str">
        <f>VLOOKUP(F292,'[1]Sheet 1'!$B$2:$E$347,4,FALSE)</f>
        <v>Chañaral</v>
      </c>
      <c r="J292" t="s">
        <v>139</v>
      </c>
      <c r="K292" s="3" t="s">
        <v>27</v>
      </c>
      <c r="L292" s="12" t="str">
        <f>VLOOKUP(K292,[2]Hoja4!$A$2:$C$443,2,FALSE)</f>
        <v>Intentional self-poisoning by and exposure to other and unspecified chemicals and noxious substances</v>
      </c>
      <c r="M292" s="12" t="str">
        <f>VLOOKUP(K292,[2]Hoja4!$A$2:$C$443,3,FALSE)</f>
        <v>At home</v>
      </c>
      <c r="N292" s="1">
        <v>17.399999999999999</v>
      </c>
      <c r="O292" s="1">
        <v>24.3</v>
      </c>
      <c r="P292" s="1">
        <v>20.3</v>
      </c>
      <c r="Q292" s="1" t="s">
        <v>77</v>
      </c>
      <c r="R292" s="1">
        <v>0</v>
      </c>
      <c r="S292" s="1" t="s">
        <v>83</v>
      </c>
      <c r="T292" s="5">
        <v>7.8100000000000003E-2</v>
      </c>
      <c r="U292" s="10">
        <v>4.0000000000000001E-3</v>
      </c>
    </row>
    <row r="293" spans="1:21" customFormat="1">
      <c r="A293">
        <v>1</v>
      </c>
      <c r="B293">
        <v>39</v>
      </c>
      <c r="C293">
        <v>22</v>
      </c>
      <c r="D293">
        <v>2</v>
      </c>
      <c r="E293">
        <v>2020</v>
      </c>
      <c r="F293">
        <v>13119</v>
      </c>
      <c r="G293" t="str">
        <f>VLOOKUP(F293,'[1]Sheet 1'!$B$2:$E$347,2,FALSE)</f>
        <v>Metropolitana de Santiago</v>
      </c>
      <c r="H293" t="str">
        <f>VLOOKUP(F293,'[1]Sheet 1'!$B$2:$E$347,3,FALSE)</f>
        <v>Santiago</v>
      </c>
      <c r="I293" t="str">
        <f>VLOOKUP(F293,'[1]Sheet 1'!$B$2:$E$347,4,FALSE)</f>
        <v>Maipú</v>
      </c>
      <c r="J293" t="s">
        <v>136</v>
      </c>
      <c r="K293" s="3" t="s">
        <v>0</v>
      </c>
      <c r="L293" s="12" t="str">
        <f>VLOOKUP(K293,[2]Hoja4!$A$2:$C$443,2,FALSE)</f>
        <v>Intentional self-harm by hanging, strangulation and suffocation</v>
      </c>
      <c r="M293" s="12" t="str">
        <f>VLOOKUP(K293,[2]Hoja4!$A$2:$C$443,3,FALSE)</f>
        <v>Unspecified place</v>
      </c>
      <c r="N293" s="1">
        <v>12.1</v>
      </c>
      <c r="O293" s="1">
        <v>27.7</v>
      </c>
      <c r="P293" s="1">
        <v>19.5</v>
      </c>
      <c r="Q293" s="1">
        <v>955.4</v>
      </c>
      <c r="R293" s="1"/>
      <c r="S293" s="1">
        <v>64</v>
      </c>
      <c r="T293" s="5">
        <v>7.8100000000000003E-2</v>
      </c>
      <c r="U293" s="10">
        <v>4.0000000000000001E-3</v>
      </c>
    </row>
    <row r="294" spans="1:21" customFormat="1">
      <c r="A294">
        <v>1</v>
      </c>
      <c r="B294">
        <v>32</v>
      </c>
      <c r="C294">
        <v>22</v>
      </c>
      <c r="D294">
        <v>2</v>
      </c>
      <c r="E294">
        <v>2020</v>
      </c>
      <c r="F294">
        <v>8101</v>
      </c>
      <c r="G294" t="str">
        <f>VLOOKUP(F294,'[1]Sheet 1'!$B$2:$E$347,2,FALSE)</f>
        <v>Biobío</v>
      </c>
      <c r="H294" t="str">
        <f>VLOOKUP(F294,'[1]Sheet 1'!$B$2:$E$347,3,FALSE)</f>
        <v>Concepción</v>
      </c>
      <c r="I294" t="str">
        <f>VLOOKUP(F294,'[1]Sheet 1'!$B$2:$E$347,4,FALSE)</f>
        <v>Concepción</v>
      </c>
      <c r="J294" t="s">
        <v>136</v>
      </c>
      <c r="K294" s="3" t="s">
        <v>4</v>
      </c>
      <c r="L294" s="12" t="str">
        <f>VLOOKUP(K294,[2]Hoja4!$A$2:$C$443,2,FALSE)</f>
        <v>Intentional self-harm by hanging, strangulation and suffocation</v>
      </c>
      <c r="M294" s="12" t="str">
        <f>VLOOKUP(K294,[2]Hoja4!$A$2:$C$443,3,FALSE)</f>
        <v>At home</v>
      </c>
      <c r="N294" s="1">
        <v>11.1</v>
      </c>
      <c r="O294" s="1">
        <v>20.6</v>
      </c>
      <c r="P294" s="1">
        <v>15.3</v>
      </c>
      <c r="Q294" s="1">
        <v>1015.8</v>
      </c>
      <c r="R294" s="1">
        <v>0</v>
      </c>
      <c r="S294" s="1">
        <v>80.2</v>
      </c>
      <c r="T294" s="5">
        <v>7.8100000000000003E-2</v>
      </c>
      <c r="U294" s="10">
        <v>4.0000000000000001E-3</v>
      </c>
    </row>
    <row r="295" spans="1:21" customFormat="1">
      <c r="A295">
        <v>1</v>
      </c>
      <c r="B295">
        <v>35</v>
      </c>
      <c r="C295">
        <v>22</v>
      </c>
      <c r="D295">
        <v>2</v>
      </c>
      <c r="E295">
        <v>2020</v>
      </c>
      <c r="F295">
        <v>5703</v>
      </c>
      <c r="G295" t="str">
        <f>VLOOKUP(F295,'[1]Sheet 1'!$B$2:$E$347,2,FALSE)</f>
        <v>Valparaíso</v>
      </c>
      <c r="H295" t="str">
        <f>VLOOKUP(F295,'[1]Sheet 1'!$B$2:$E$347,3,FALSE)</f>
        <v>San Felipe de Aconcagua</v>
      </c>
      <c r="I295" t="str">
        <f>VLOOKUP(F295,'[1]Sheet 1'!$B$2:$E$347,4,FALSE)</f>
        <v>Llaillay</v>
      </c>
      <c r="J295" t="s">
        <v>136</v>
      </c>
      <c r="K295" s="3" t="s">
        <v>4</v>
      </c>
      <c r="L295" s="12" t="str">
        <f>VLOOKUP(K295,[2]Hoja4!$A$2:$C$443,2,FALSE)</f>
        <v>Intentional self-harm by hanging, strangulation and suffocation</v>
      </c>
      <c r="M295" s="12" t="str">
        <f>VLOOKUP(K295,[2]Hoja4!$A$2:$C$443,3,FALSE)</f>
        <v>At home</v>
      </c>
      <c r="N295" s="1">
        <v>11.1</v>
      </c>
      <c r="O295" s="1">
        <v>32.700000000000003</v>
      </c>
      <c r="P295" s="1">
        <v>20.399999999999999</v>
      </c>
      <c r="Q295" s="1">
        <v>938.8</v>
      </c>
      <c r="R295" s="1">
        <v>0</v>
      </c>
      <c r="S295" s="1">
        <v>64.3</v>
      </c>
      <c r="T295" s="5">
        <v>7.8100000000000003E-2</v>
      </c>
      <c r="U295" s="10">
        <v>4.0000000000000001E-3</v>
      </c>
    </row>
    <row r="296" spans="1:21" customFormat="1">
      <c r="A296">
        <v>1</v>
      </c>
      <c r="B296">
        <v>26</v>
      </c>
      <c r="C296">
        <v>22</v>
      </c>
      <c r="D296">
        <v>2</v>
      </c>
      <c r="E296">
        <v>2020</v>
      </c>
      <c r="F296">
        <v>5701</v>
      </c>
      <c r="G296" t="str">
        <f>VLOOKUP(F296,'[1]Sheet 1'!$B$2:$E$347,2,FALSE)</f>
        <v>Valparaíso</v>
      </c>
      <c r="H296" t="str">
        <f>VLOOKUP(F296,'[1]Sheet 1'!$B$2:$E$347,3,FALSE)</f>
        <v>San Felipe de Aconcagua</v>
      </c>
      <c r="I296" t="str">
        <f>VLOOKUP(F296,'[1]Sheet 1'!$B$2:$E$347,4,FALSE)</f>
        <v>San Felipe</v>
      </c>
      <c r="J296" t="s">
        <v>136</v>
      </c>
      <c r="K296" s="3" t="s">
        <v>4</v>
      </c>
      <c r="L296" s="12" t="str">
        <f>VLOOKUP(K296,[2]Hoja4!$A$2:$C$443,2,FALSE)</f>
        <v>Intentional self-harm by hanging, strangulation and suffocation</v>
      </c>
      <c r="M296" s="12" t="str">
        <f>VLOOKUP(K296,[2]Hoja4!$A$2:$C$443,3,FALSE)</f>
        <v>At home</v>
      </c>
      <c r="N296" s="1">
        <v>11.1</v>
      </c>
      <c r="O296" s="1">
        <v>32.700000000000003</v>
      </c>
      <c r="P296" s="1">
        <v>20.399999999999999</v>
      </c>
      <c r="Q296" s="1">
        <v>938.8</v>
      </c>
      <c r="R296" s="1">
        <v>0</v>
      </c>
      <c r="S296" s="1">
        <v>64.3</v>
      </c>
      <c r="T296" s="5">
        <v>7.8100000000000003E-2</v>
      </c>
      <c r="U296" s="10">
        <v>4.0000000000000001E-3</v>
      </c>
    </row>
    <row r="297" spans="1:21" customFormat="1">
      <c r="A297">
        <v>1</v>
      </c>
      <c r="B297">
        <v>63</v>
      </c>
      <c r="C297">
        <v>23</v>
      </c>
      <c r="D297">
        <v>2</v>
      </c>
      <c r="E297">
        <v>2020</v>
      </c>
      <c r="F297">
        <v>13108</v>
      </c>
      <c r="G297" t="str">
        <f>VLOOKUP(F297,'[1]Sheet 1'!$B$2:$E$347,2,FALSE)</f>
        <v>Metropolitana de Santiago</v>
      </c>
      <c r="H297" t="str">
        <f>VLOOKUP(F297,'[1]Sheet 1'!$B$2:$E$347,3,FALSE)</f>
        <v>Santiago</v>
      </c>
      <c r="I297" t="str">
        <f>VLOOKUP(F297,'[1]Sheet 1'!$B$2:$E$347,4,FALSE)</f>
        <v>Independencia</v>
      </c>
      <c r="J297" t="s">
        <v>136</v>
      </c>
      <c r="K297" s="3" t="s">
        <v>0</v>
      </c>
      <c r="L297" s="12" t="str">
        <f>VLOOKUP(K297,[2]Hoja4!$A$2:$C$443,2,FALSE)</f>
        <v>Intentional self-harm by hanging, strangulation and suffocation</v>
      </c>
      <c r="M297" s="12" t="str">
        <f>VLOOKUP(K297,[2]Hoja4!$A$2:$C$443,3,FALSE)</f>
        <v>Unspecified place</v>
      </c>
      <c r="N297" s="1">
        <v>11.3</v>
      </c>
      <c r="O297" s="1">
        <v>27.5</v>
      </c>
      <c r="P297" s="1">
        <v>19.600000000000001</v>
      </c>
      <c r="Q297" s="1">
        <v>955.2</v>
      </c>
      <c r="R297" s="1"/>
      <c r="S297" s="1">
        <v>62</v>
      </c>
      <c r="T297" s="5">
        <v>7.8100000000000003E-2</v>
      </c>
      <c r="U297" s="10">
        <v>4.0000000000000001E-3</v>
      </c>
    </row>
    <row r="298" spans="1:21" customFormat="1">
      <c r="A298">
        <v>1</v>
      </c>
      <c r="B298">
        <v>50</v>
      </c>
      <c r="C298">
        <v>23</v>
      </c>
      <c r="D298">
        <v>2</v>
      </c>
      <c r="E298">
        <v>2020</v>
      </c>
      <c r="F298">
        <v>5302</v>
      </c>
      <c r="G298" t="str">
        <f>VLOOKUP(F298,'[1]Sheet 1'!$B$2:$E$347,2,FALSE)</f>
        <v>Valparaíso</v>
      </c>
      <c r="H298" t="str">
        <f>VLOOKUP(F298,'[1]Sheet 1'!$B$2:$E$347,3,FALSE)</f>
        <v>Los Andes</v>
      </c>
      <c r="I298" t="str">
        <f>VLOOKUP(F298,'[1]Sheet 1'!$B$2:$E$347,4,FALSE)</f>
        <v>Calle Larga</v>
      </c>
      <c r="J298" t="s">
        <v>136</v>
      </c>
      <c r="K298" s="3" t="s">
        <v>4</v>
      </c>
      <c r="L298" s="12" t="str">
        <f>VLOOKUP(K298,[2]Hoja4!$A$2:$C$443,2,FALSE)</f>
        <v>Intentional self-harm by hanging, strangulation and suffocation</v>
      </c>
      <c r="M298" s="12" t="str">
        <f>VLOOKUP(K298,[2]Hoja4!$A$2:$C$443,3,FALSE)</f>
        <v>At home</v>
      </c>
      <c r="N298" s="1">
        <v>9.5</v>
      </c>
      <c r="O298" s="1">
        <v>31.4</v>
      </c>
      <c r="P298" s="1">
        <v>20.8</v>
      </c>
      <c r="Q298" s="1">
        <v>926.6</v>
      </c>
      <c r="R298" s="1">
        <v>0</v>
      </c>
      <c r="S298" s="1">
        <v>51.1</v>
      </c>
      <c r="T298" s="5">
        <v>7.8100000000000003E-2</v>
      </c>
      <c r="U298" s="10">
        <v>4.0000000000000001E-3</v>
      </c>
    </row>
    <row r="299" spans="1:21" customFormat="1">
      <c r="A299">
        <v>2</v>
      </c>
      <c r="B299">
        <v>46</v>
      </c>
      <c r="C299">
        <v>23</v>
      </c>
      <c r="D299">
        <v>2</v>
      </c>
      <c r="E299">
        <v>2020</v>
      </c>
      <c r="F299">
        <v>6308</v>
      </c>
      <c r="G299" t="str">
        <f>VLOOKUP(F299,'[1]Sheet 1'!$B$2:$E$347,2,FALSE)</f>
        <v>Libertador General Bernardo O'Higgins</v>
      </c>
      <c r="H299" t="str">
        <f>VLOOKUP(F299,'[1]Sheet 1'!$B$2:$E$347,3,FALSE)</f>
        <v>Colchagua</v>
      </c>
      <c r="I299" t="str">
        <f>VLOOKUP(F299,'[1]Sheet 1'!$B$2:$E$347,4,FALSE)</f>
        <v>Placilla</v>
      </c>
      <c r="J299" t="s">
        <v>136</v>
      </c>
      <c r="K299" s="3" t="s">
        <v>0</v>
      </c>
      <c r="L299" s="12" t="str">
        <f>VLOOKUP(K299,[2]Hoja4!$A$2:$C$443,2,FALSE)</f>
        <v>Intentional self-harm by hanging, strangulation and suffocation</v>
      </c>
      <c r="M299" s="12" t="str">
        <f>VLOOKUP(K299,[2]Hoja4!$A$2:$C$443,3,FALSE)</f>
        <v>Unspecified place</v>
      </c>
      <c r="N299" s="1">
        <v>8.9</v>
      </c>
      <c r="O299" s="1" t="s">
        <v>67</v>
      </c>
      <c r="P299" s="1">
        <v>18.8</v>
      </c>
      <c r="Q299" s="1">
        <v>980</v>
      </c>
      <c r="R299" s="1">
        <v>0</v>
      </c>
      <c r="S299" s="1">
        <v>71.5</v>
      </c>
      <c r="T299" s="5">
        <v>7.8100000000000003E-2</v>
      </c>
      <c r="U299" s="10">
        <v>4.0000000000000001E-3</v>
      </c>
    </row>
    <row r="300" spans="1:21" customFormat="1">
      <c r="A300">
        <v>2</v>
      </c>
      <c r="B300">
        <v>31</v>
      </c>
      <c r="C300">
        <v>23</v>
      </c>
      <c r="D300">
        <v>2</v>
      </c>
      <c r="E300">
        <v>2020</v>
      </c>
      <c r="F300">
        <v>13110</v>
      </c>
      <c r="G300" t="str">
        <f>VLOOKUP(F300,'[1]Sheet 1'!$B$2:$E$347,2,FALSE)</f>
        <v>Metropolitana de Santiago</v>
      </c>
      <c r="H300" t="str">
        <f>VLOOKUP(F300,'[1]Sheet 1'!$B$2:$E$347,3,FALSE)</f>
        <v>Santiago</v>
      </c>
      <c r="I300" t="str">
        <f>VLOOKUP(F300,'[1]Sheet 1'!$B$2:$E$347,4,FALSE)</f>
        <v>La Florida</v>
      </c>
      <c r="J300" t="s">
        <v>136</v>
      </c>
      <c r="K300" s="3" t="s">
        <v>13</v>
      </c>
      <c r="L300" s="12" t="str">
        <f>VLOOKUP(K300,[2]Hoja4!$A$2:$C$443,2,FALSE)</f>
        <v>Intentional self-harm by hanging, strangulation and suffocation</v>
      </c>
      <c r="M300" s="12" t="str">
        <f>VLOOKUP(K300,[2]Hoja4!$A$2:$C$443,3,FALSE)</f>
        <v>Other specified places</v>
      </c>
      <c r="N300" s="1">
        <v>11.3</v>
      </c>
      <c r="O300" s="1">
        <v>27.5</v>
      </c>
      <c r="P300" s="1">
        <v>19.600000000000001</v>
      </c>
      <c r="Q300" s="1">
        <v>955.2</v>
      </c>
      <c r="R300" s="1"/>
      <c r="S300" s="1">
        <v>62</v>
      </c>
      <c r="T300" s="5">
        <v>7.8100000000000003E-2</v>
      </c>
      <c r="U300" s="10">
        <v>4.0000000000000001E-3</v>
      </c>
    </row>
    <row r="301" spans="1:21" customFormat="1">
      <c r="A301">
        <v>1</v>
      </c>
      <c r="B301">
        <v>20</v>
      </c>
      <c r="C301">
        <v>23</v>
      </c>
      <c r="D301">
        <v>2</v>
      </c>
      <c r="E301">
        <v>2020</v>
      </c>
      <c r="F301">
        <v>16304</v>
      </c>
      <c r="G301" t="str">
        <f>VLOOKUP(F301,'[1]Sheet 1'!$B$2:$E$347,2,FALSE)</f>
        <v>Ñuble</v>
      </c>
      <c r="H301" t="str">
        <f>VLOOKUP(F301,'[1]Sheet 1'!$B$2:$E$347,3,FALSE)</f>
        <v>Punilla</v>
      </c>
      <c r="I301" t="str">
        <f>VLOOKUP(F301,'[1]Sheet 1'!$B$2:$E$347,4,FALSE)</f>
        <v>San Fabián</v>
      </c>
      <c r="J301" t="s">
        <v>136</v>
      </c>
      <c r="K301" s="3" t="s">
        <v>0</v>
      </c>
      <c r="L301" s="12" t="str">
        <f>VLOOKUP(K301,[2]Hoja4!$A$2:$C$443,2,FALSE)</f>
        <v>Intentional self-harm by hanging, strangulation and suffocation</v>
      </c>
      <c r="M301" s="12" t="str">
        <f>VLOOKUP(K301,[2]Hoja4!$A$2:$C$443,3,FALSE)</f>
        <v>Unspecified place</v>
      </c>
      <c r="N301" s="1">
        <v>6.7</v>
      </c>
      <c r="O301" s="1">
        <v>30.7</v>
      </c>
      <c r="P301" s="1">
        <v>17.399999999999999</v>
      </c>
      <c r="Q301" s="1">
        <v>989</v>
      </c>
      <c r="R301" s="1">
        <v>0</v>
      </c>
      <c r="S301" s="1">
        <v>78.2</v>
      </c>
      <c r="T301" s="5">
        <v>7.8100000000000003E-2</v>
      </c>
      <c r="U301" s="10">
        <v>4.0000000000000001E-3</v>
      </c>
    </row>
    <row r="302" spans="1:21" customFormat="1">
      <c r="A302">
        <v>1</v>
      </c>
      <c r="B302">
        <v>18</v>
      </c>
      <c r="C302">
        <v>23</v>
      </c>
      <c r="D302">
        <v>2</v>
      </c>
      <c r="E302">
        <v>2020</v>
      </c>
      <c r="F302">
        <v>16205</v>
      </c>
      <c r="G302" t="str">
        <f>VLOOKUP(F302,'[1]Sheet 1'!$B$2:$E$347,2,FALSE)</f>
        <v>Ñuble</v>
      </c>
      <c r="H302" t="str">
        <f>VLOOKUP(F302,'[1]Sheet 1'!$B$2:$E$347,3,FALSE)</f>
        <v>Itata</v>
      </c>
      <c r="I302" t="str">
        <f>VLOOKUP(F302,'[1]Sheet 1'!$B$2:$E$347,4,FALSE)</f>
        <v>Portezuelo</v>
      </c>
      <c r="J302" t="s">
        <v>136</v>
      </c>
      <c r="K302" s="3" t="s">
        <v>0</v>
      </c>
      <c r="L302" s="12" t="str">
        <f>VLOOKUP(K302,[2]Hoja4!$A$2:$C$443,2,FALSE)</f>
        <v>Intentional self-harm by hanging, strangulation and suffocation</v>
      </c>
      <c r="M302" s="12" t="str">
        <f>VLOOKUP(K302,[2]Hoja4!$A$2:$C$443,3,FALSE)</f>
        <v>Unspecified place</v>
      </c>
      <c r="N302" s="1">
        <v>9.6999999999999993</v>
      </c>
      <c r="O302" s="1">
        <v>24.1</v>
      </c>
      <c r="P302" s="1">
        <v>16.8</v>
      </c>
      <c r="Q302" s="1">
        <v>1003</v>
      </c>
      <c r="R302" s="1">
        <v>0</v>
      </c>
      <c r="S302" s="1">
        <v>74.400000000000006</v>
      </c>
      <c r="T302" s="5">
        <v>7.8100000000000003E-2</v>
      </c>
      <c r="U302" s="10">
        <v>4.0000000000000001E-3</v>
      </c>
    </row>
    <row r="303" spans="1:21" customFormat="1">
      <c r="A303">
        <v>2</v>
      </c>
      <c r="B303">
        <v>26</v>
      </c>
      <c r="C303">
        <v>24</v>
      </c>
      <c r="D303">
        <v>2</v>
      </c>
      <c r="E303">
        <v>2020</v>
      </c>
      <c r="F303">
        <v>7406</v>
      </c>
      <c r="G303" t="str">
        <f>VLOOKUP(F303,'[1]Sheet 1'!$B$2:$E$347,2,FALSE)</f>
        <v>Maule</v>
      </c>
      <c r="H303" t="str">
        <f>VLOOKUP(F303,'[1]Sheet 1'!$B$2:$E$347,3,FALSE)</f>
        <v>Linares</v>
      </c>
      <c r="I303" t="str">
        <f>VLOOKUP(F303,'[1]Sheet 1'!$B$2:$E$347,4,FALSE)</f>
        <v>San Javier</v>
      </c>
      <c r="J303" t="s">
        <v>136</v>
      </c>
      <c r="K303" s="3" t="s">
        <v>4</v>
      </c>
      <c r="L303" s="12" t="str">
        <f>VLOOKUP(K303,[2]Hoja4!$A$2:$C$443,2,FALSE)</f>
        <v>Intentional self-harm by hanging, strangulation and suffocation</v>
      </c>
      <c r="M303" s="12" t="str">
        <f>VLOOKUP(K303,[2]Hoja4!$A$2:$C$443,3,FALSE)</f>
        <v>At home</v>
      </c>
      <c r="N303" s="1">
        <v>7.3</v>
      </c>
      <c r="O303" s="1">
        <v>23.7</v>
      </c>
      <c r="P303" s="1">
        <v>15.3</v>
      </c>
      <c r="Q303" s="1">
        <v>997.2</v>
      </c>
      <c r="R303" s="1">
        <v>0</v>
      </c>
      <c r="S303" s="1">
        <v>71</v>
      </c>
      <c r="T303" s="5">
        <v>7.8100000000000003E-2</v>
      </c>
      <c r="U303" s="10">
        <v>4.0000000000000001E-3</v>
      </c>
    </row>
    <row r="304" spans="1:21" customFormat="1">
      <c r="A304">
        <v>1</v>
      </c>
      <c r="B304">
        <v>69</v>
      </c>
      <c r="C304">
        <v>25</v>
      </c>
      <c r="D304">
        <v>2</v>
      </c>
      <c r="E304">
        <v>2020</v>
      </c>
      <c r="F304">
        <v>8110</v>
      </c>
      <c r="G304" t="str">
        <f>VLOOKUP(F304,'[1]Sheet 1'!$B$2:$E$347,2,FALSE)</f>
        <v>Biobío</v>
      </c>
      <c r="H304" t="str">
        <f>VLOOKUP(F304,'[1]Sheet 1'!$B$2:$E$347,3,FALSE)</f>
        <v>Concepción</v>
      </c>
      <c r="I304" t="str">
        <f>VLOOKUP(F304,'[1]Sheet 1'!$B$2:$E$347,4,FALSE)</f>
        <v>Talcahuano</v>
      </c>
      <c r="J304" t="s">
        <v>136</v>
      </c>
      <c r="K304" s="3" t="s">
        <v>4</v>
      </c>
      <c r="L304" s="12" t="str">
        <f>VLOOKUP(K304,[2]Hoja4!$A$2:$C$443,2,FALSE)</f>
        <v>Intentional self-harm by hanging, strangulation and suffocation</v>
      </c>
      <c r="M304" s="12" t="str">
        <f>VLOOKUP(K304,[2]Hoja4!$A$2:$C$443,3,FALSE)</f>
        <v>At home</v>
      </c>
      <c r="N304" s="1">
        <v>9.4</v>
      </c>
      <c r="O304" s="1">
        <v>22.6</v>
      </c>
      <c r="P304" s="1">
        <v>16</v>
      </c>
      <c r="Q304" s="1">
        <v>1017.4</v>
      </c>
      <c r="R304" s="1">
        <v>0</v>
      </c>
      <c r="S304" s="1">
        <v>69.8</v>
      </c>
      <c r="T304" s="5">
        <v>7.8100000000000003E-2</v>
      </c>
      <c r="U304" s="10">
        <v>4.0000000000000001E-3</v>
      </c>
    </row>
    <row r="305" spans="1:21" customFormat="1">
      <c r="A305">
        <v>1</v>
      </c>
      <c r="B305">
        <v>72</v>
      </c>
      <c r="C305">
        <v>25</v>
      </c>
      <c r="D305">
        <v>2</v>
      </c>
      <c r="E305">
        <v>2020</v>
      </c>
      <c r="F305">
        <v>8109</v>
      </c>
      <c r="G305" t="str">
        <f>VLOOKUP(F305,'[1]Sheet 1'!$B$2:$E$347,2,FALSE)</f>
        <v>Biobío</v>
      </c>
      <c r="H305" t="str">
        <f>VLOOKUP(F305,'[1]Sheet 1'!$B$2:$E$347,3,FALSE)</f>
        <v>Concepción</v>
      </c>
      <c r="I305" t="str">
        <f>VLOOKUP(F305,'[1]Sheet 1'!$B$2:$E$347,4,FALSE)</f>
        <v>Santa Juana</v>
      </c>
      <c r="J305" t="s">
        <v>136</v>
      </c>
      <c r="K305" s="3" t="s">
        <v>4</v>
      </c>
      <c r="L305" s="12" t="str">
        <f>VLOOKUP(K305,[2]Hoja4!$A$2:$C$443,2,FALSE)</f>
        <v>Intentional self-harm by hanging, strangulation and suffocation</v>
      </c>
      <c r="M305" s="12" t="str">
        <f>VLOOKUP(K305,[2]Hoja4!$A$2:$C$443,3,FALSE)</f>
        <v>At home</v>
      </c>
      <c r="N305" s="1">
        <v>9.4</v>
      </c>
      <c r="O305" s="1">
        <v>22.6</v>
      </c>
      <c r="P305" s="1">
        <v>16</v>
      </c>
      <c r="Q305" s="1">
        <v>1017.4</v>
      </c>
      <c r="R305" s="1">
        <v>0</v>
      </c>
      <c r="S305" s="1">
        <v>69.8</v>
      </c>
      <c r="T305" s="5">
        <v>7.8100000000000003E-2</v>
      </c>
      <c r="U305" s="10">
        <v>4.0000000000000001E-3</v>
      </c>
    </row>
    <row r="306" spans="1:21" customFormat="1">
      <c r="A306">
        <v>2</v>
      </c>
      <c r="B306">
        <v>35</v>
      </c>
      <c r="C306">
        <v>25</v>
      </c>
      <c r="D306">
        <v>2</v>
      </c>
      <c r="E306">
        <v>2020</v>
      </c>
      <c r="F306">
        <v>2301</v>
      </c>
      <c r="G306" t="str">
        <f>VLOOKUP(F306,'[1]Sheet 1'!$B$2:$E$347,2,FALSE)</f>
        <v>Antofagasta</v>
      </c>
      <c r="H306" t="str">
        <f>VLOOKUP(F306,'[1]Sheet 1'!$B$2:$E$347,3,FALSE)</f>
        <v>Tocopilla</v>
      </c>
      <c r="I306" t="str">
        <f>VLOOKUP(F306,'[1]Sheet 1'!$B$2:$E$347,4,FALSE)</f>
        <v>Tocopilla</v>
      </c>
      <c r="J306" t="s">
        <v>136</v>
      </c>
      <c r="K306" s="3" t="s">
        <v>4</v>
      </c>
      <c r="L306" s="12" t="str">
        <f>VLOOKUP(K306,[2]Hoja4!$A$2:$C$443,2,FALSE)</f>
        <v>Intentional self-harm by hanging, strangulation and suffocation</v>
      </c>
      <c r="M306" s="12" t="str">
        <f>VLOOKUP(K306,[2]Hoja4!$A$2:$C$443,3,FALSE)</f>
        <v>At home</v>
      </c>
      <c r="N306" s="1">
        <v>17.7</v>
      </c>
      <c r="O306" s="1">
        <v>23.6</v>
      </c>
      <c r="P306" s="1">
        <v>19.899999999999999</v>
      </c>
      <c r="Q306" s="1">
        <v>997.9</v>
      </c>
      <c r="R306" s="1">
        <v>0</v>
      </c>
      <c r="S306" s="1">
        <v>80.5</v>
      </c>
      <c r="T306" s="5">
        <v>7.8100000000000003E-2</v>
      </c>
      <c r="U306" s="10">
        <v>4.0000000000000001E-3</v>
      </c>
    </row>
    <row r="307" spans="1:21" customFormat="1">
      <c r="A307">
        <v>1</v>
      </c>
      <c r="B307">
        <v>33</v>
      </c>
      <c r="C307">
        <v>25</v>
      </c>
      <c r="D307">
        <v>2</v>
      </c>
      <c r="E307">
        <v>2020</v>
      </c>
      <c r="F307">
        <v>4101</v>
      </c>
      <c r="G307" t="str">
        <f>VLOOKUP(F307,'[1]Sheet 1'!$B$2:$E$347,2,FALSE)</f>
        <v>Coquimbo</v>
      </c>
      <c r="H307" t="str">
        <f>VLOOKUP(F307,'[1]Sheet 1'!$B$2:$E$347,3,FALSE)</f>
        <v>Elqui</v>
      </c>
      <c r="I307" t="str">
        <f>VLOOKUP(F307,'[1]Sheet 1'!$B$2:$E$347,4,FALSE)</f>
        <v>La Serena</v>
      </c>
      <c r="J307" t="s">
        <v>136</v>
      </c>
      <c r="K307" s="3" t="s">
        <v>4</v>
      </c>
      <c r="L307" s="12" t="str">
        <f>VLOOKUP(K307,[2]Hoja4!$A$2:$C$443,2,FALSE)</f>
        <v>Intentional self-harm by hanging, strangulation and suffocation</v>
      </c>
      <c r="M307" s="12" t="str">
        <f>VLOOKUP(K307,[2]Hoja4!$A$2:$C$443,3,FALSE)</f>
        <v>At home</v>
      </c>
      <c r="N307" s="1">
        <v>14.3</v>
      </c>
      <c r="O307" s="1">
        <v>19.8</v>
      </c>
      <c r="P307" s="1">
        <v>16.600000000000001</v>
      </c>
      <c r="Q307" s="1">
        <v>999.4</v>
      </c>
      <c r="R307" s="1">
        <v>0</v>
      </c>
      <c r="S307" s="1">
        <v>81.8</v>
      </c>
      <c r="T307" s="5">
        <v>7.8100000000000003E-2</v>
      </c>
      <c r="U307" s="10">
        <v>4.0000000000000001E-3</v>
      </c>
    </row>
    <row r="308" spans="1:21" customFormat="1">
      <c r="A308">
        <v>2</v>
      </c>
      <c r="B308">
        <v>31</v>
      </c>
      <c r="C308">
        <v>25</v>
      </c>
      <c r="D308">
        <v>2</v>
      </c>
      <c r="E308">
        <v>2020</v>
      </c>
      <c r="F308">
        <v>7307</v>
      </c>
      <c r="G308" t="str">
        <f>VLOOKUP(F308,'[1]Sheet 1'!$B$2:$E$347,2,FALSE)</f>
        <v>Maule</v>
      </c>
      <c r="H308" t="str">
        <f>VLOOKUP(F308,'[1]Sheet 1'!$B$2:$E$347,3,FALSE)</f>
        <v>Curicó</v>
      </c>
      <c r="I308" t="str">
        <f>VLOOKUP(F308,'[1]Sheet 1'!$B$2:$E$347,4,FALSE)</f>
        <v>Sagrada Familia</v>
      </c>
      <c r="J308" t="s">
        <v>136</v>
      </c>
      <c r="K308" s="3" t="s">
        <v>4</v>
      </c>
      <c r="L308" s="12" t="str">
        <f>VLOOKUP(K308,[2]Hoja4!$A$2:$C$443,2,FALSE)</f>
        <v>Intentional self-harm by hanging, strangulation and suffocation</v>
      </c>
      <c r="M308" s="12" t="str">
        <f>VLOOKUP(K308,[2]Hoja4!$A$2:$C$443,3,FALSE)</f>
        <v>At home</v>
      </c>
      <c r="N308" s="1">
        <v>10.3</v>
      </c>
      <c r="O308" s="1">
        <v>29.3</v>
      </c>
      <c r="P308" s="1">
        <v>18.5</v>
      </c>
      <c r="Q308" s="1">
        <v>989.8</v>
      </c>
      <c r="R308" s="1">
        <v>0</v>
      </c>
      <c r="S308" s="1">
        <v>51.5</v>
      </c>
      <c r="T308" s="5">
        <v>7.8100000000000003E-2</v>
      </c>
      <c r="U308" s="10">
        <v>4.0000000000000001E-3</v>
      </c>
    </row>
    <row r="309" spans="1:21" customFormat="1">
      <c r="A309">
        <v>1</v>
      </c>
      <c r="B309">
        <v>52</v>
      </c>
      <c r="C309">
        <v>26</v>
      </c>
      <c r="D309">
        <v>2</v>
      </c>
      <c r="E309">
        <v>2020</v>
      </c>
      <c r="F309">
        <v>10108</v>
      </c>
      <c r="G309" t="str">
        <f>VLOOKUP(F309,'[1]Sheet 1'!$B$2:$E$347,2,FALSE)</f>
        <v>Los Lagos</v>
      </c>
      <c r="H309" t="str">
        <f>VLOOKUP(F309,'[1]Sheet 1'!$B$2:$E$347,3,FALSE)</f>
        <v>Llanquihue</v>
      </c>
      <c r="I309" t="str">
        <f>VLOOKUP(F309,'[1]Sheet 1'!$B$2:$E$347,4,FALSE)</f>
        <v>Maullín</v>
      </c>
      <c r="J309" t="s">
        <v>136</v>
      </c>
      <c r="K309" s="3" t="s">
        <v>4</v>
      </c>
      <c r="L309" s="12" t="str">
        <f>VLOOKUP(K309,[2]Hoja4!$A$2:$C$443,2,FALSE)</f>
        <v>Intentional self-harm by hanging, strangulation and suffocation</v>
      </c>
      <c r="M309" s="12" t="str">
        <f>VLOOKUP(K309,[2]Hoja4!$A$2:$C$443,3,FALSE)</f>
        <v>At home</v>
      </c>
      <c r="N309" s="1">
        <v>6.4</v>
      </c>
      <c r="O309" s="1">
        <v>18.7</v>
      </c>
      <c r="P309" s="1">
        <v>12.3</v>
      </c>
      <c r="Q309" s="1">
        <v>1011.6</v>
      </c>
      <c r="R309" s="1">
        <v>0</v>
      </c>
      <c r="S309" s="1">
        <v>87</v>
      </c>
      <c r="T309" s="5">
        <v>7.8100000000000003E-2</v>
      </c>
      <c r="U309" s="10">
        <v>4.0000000000000001E-3</v>
      </c>
    </row>
    <row r="310" spans="1:21" customFormat="1">
      <c r="A310">
        <v>1</v>
      </c>
      <c r="B310">
        <v>43</v>
      </c>
      <c r="C310">
        <v>26</v>
      </c>
      <c r="D310">
        <v>2</v>
      </c>
      <c r="E310">
        <v>2020</v>
      </c>
      <c r="F310">
        <v>13122</v>
      </c>
      <c r="G310" t="str">
        <f>VLOOKUP(F310,'[1]Sheet 1'!$B$2:$E$347,2,FALSE)</f>
        <v>Metropolitana de Santiago</v>
      </c>
      <c r="H310" t="str">
        <f>VLOOKUP(F310,'[1]Sheet 1'!$B$2:$E$347,3,FALSE)</f>
        <v>Santiago</v>
      </c>
      <c r="I310" t="str">
        <f>VLOOKUP(F310,'[1]Sheet 1'!$B$2:$E$347,4,FALSE)</f>
        <v>Peñalolén</v>
      </c>
      <c r="J310" t="s">
        <v>136</v>
      </c>
      <c r="K310" s="3" t="s">
        <v>0</v>
      </c>
      <c r="L310" s="12" t="str">
        <f>VLOOKUP(K310,[2]Hoja4!$A$2:$C$443,2,FALSE)</f>
        <v>Intentional self-harm by hanging, strangulation and suffocation</v>
      </c>
      <c r="M310" s="12" t="str">
        <f>VLOOKUP(K310,[2]Hoja4!$A$2:$C$443,3,FALSE)</f>
        <v>Unspecified place</v>
      </c>
      <c r="N310" s="1">
        <v>12.3</v>
      </c>
      <c r="O310" s="1">
        <v>34.700000000000003</v>
      </c>
      <c r="P310" s="1">
        <v>22.9</v>
      </c>
      <c r="Q310" s="1">
        <v>954.4</v>
      </c>
      <c r="R310" s="1"/>
      <c r="S310" s="1">
        <v>42.8</v>
      </c>
      <c r="T310" s="5">
        <v>7.8100000000000003E-2</v>
      </c>
      <c r="U310" s="10">
        <v>4.0000000000000001E-3</v>
      </c>
    </row>
    <row r="311" spans="1:21" customFormat="1">
      <c r="A311">
        <v>1</v>
      </c>
      <c r="B311">
        <v>35</v>
      </c>
      <c r="C311">
        <v>26</v>
      </c>
      <c r="D311">
        <v>2</v>
      </c>
      <c r="E311">
        <v>2020</v>
      </c>
      <c r="F311">
        <v>8110</v>
      </c>
      <c r="G311" t="str">
        <f>VLOOKUP(F311,'[1]Sheet 1'!$B$2:$E$347,2,FALSE)</f>
        <v>Biobío</v>
      </c>
      <c r="H311" t="str">
        <f>VLOOKUP(F311,'[1]Sheet 1'!$B$2:$E$347,3,FALSE)</f>
        <v>Concepción</v>
      </c>
      <c r="I311" t="str">
        <f>VLOOKUP(F311,'[1]Sheet 1'!$B$2:$E$347,4,FALSE)</f>
        <v>Talcahuano</v>
      </c>
      <c r="J311" t="s">
        <v>136</v>
      </c>
      <c r="K311" s="3" t="s">
        <v>2</v>
      </c>
      <c r="L311" s="12" t="str">
        <f>VLOOKUP(K311,[2]Hoja4!$A$2:$C$443,2,FALSE)</f>
        <v>Intentional self-harm by hanging, strangulation and suffocation</v>
      </c>
      <c r="M311" s="12" t="str">
        <f>VLOOKUP(K311,[2]Hoja4!$A$2:$C$443,3,FALSE)</f>
        <v>Street and highway</v>
      </c>
      <c r="N311" s="1">
        <v>10.6</v>
      </c>
      <c r="O311" s="1">
        <v>23.4</v>
      </c>
      <c r="P311" s="1">
        <v>16.8</v>
      </c>
      <c r="Q311" s="1">
        <v>1014.5</v>
      </c>
      <c r="R311" s="1">
        <v>0</v>
      </c>
      <c r="S311" s="1">
        <v>60.5</v>
      </c>
      <c r="T311" s="5">
        <v>7.8100000000000003E-2</v>
      </c>
      <c r="U311" s="10">
        <v>4.0000000000000001E-3</v>
      </c>
    </row>
    <row r="312" spans="1:21" customFormat="1">
      <c r="A312">
        <v>1</v>
      </c>
      <c r="B312">
        <v>69</v>
      </c>
      <c r="C312">
        <v>27</v>
      </c>
      <c r="D312">
        <v>2</v>
      </c>
      <c r="E312">
        <v>2020</v>
      </c>
      <c r="F312">
        <v>5109</v>
      </c>
      <c r="G312" t="str">
        <f>VLOOKUP(F312,'[1]Sheet 1'!$B$2:$E$347,2,FALSE)</f>
        <v>Valparaíso</v>
      </c>
      <c r="H312" t="str">
        <f>VLOOKUP(F312,'[1]Sheet 1'!$B$2:$E$347,3,FALSE)</f>
        <v>Valparaíso</v>
      </c>
      <c r="I312" t="str">
        <f>VLOOKUP(F312,'[1]Sheet 1'!$B$2:$E$347,4,FALSE)</f>
        <v>Viña del Mar</v>
      </c>
      <c r="J312" t="s">
        <v>136</v>
      </c>
      <c r="K312" s="3" t="s">
        <v>4</v>
      </c>
      <c r="L312" s="12" t="str">
        <f>VLOOKUP(K312,[2]Hoja4!$A$2:$C$443,2,FALSE)</f>
        <v>Intentional self-harm by hanging, strangulation and suffocation</v>
      </c>
      <c r="M312" s="12" t="str">
        <f>VLOOKUP(K312,[2]Hoja4!$A$2:$C$443,3,FALSE)</f>
        <v>At home</v>
      </c>
      <c r="N312" s="1">
        <v>12.2</v>
      </c>
      <c r="O312" s="1">
        <v>18.899999999999999</v>
      </c>
      <c r="P312" s="1">
        <v>14.3</v>
      </c>
      <c r="Q312" s="1">
        <v>977.1</v>
      </c>
      <c r="R312" s="1">
        <v>0.2</v>
      </c>
      <c r="S312" s="1">
        <v>90.2</v>
      </c>
      <c r="T312" s="5">
        <v>7.8100000000000003E-2</v>
      </c>
      <c r="U312" s="10">
        <v>4.0000000000000001E-3</v>
      </c>
    </row>
    <row r="313" spans="1:21" customFormat="1">
      <c r="A313">
        <v>1</v>
      </c>
      <c r="B313">
        <v>63</v>
      </c>
      <c r="C313">
        <v>27</v>
      </c>
      <c r="D313">
        <v>2</v>
      </c>
      <c r="E313">
        <v>2020</v>
      </c>
      <c r="F313">
        <v>13113</v>
      </c>
      <c r="G313" t="str">
        <f>VLOOKUP(F313,'[1]Sheet 1'!$B$2:$E$347,2,FALSE)</f>
        <v>Metropolitana de Santiago</v>
      </c>
      <c r="H313" t="str">
        <f>VLOOKUP(F313,'[1]Sheet 1'!$B$2:$E$347,3,FALSE)</f>
        <v>Santiago</v>
      </c>
      <c r="I313" t="str">
        <f>VLOOKUP(F313,'[1]Sheet 1'!$B$2:$E$347,4,FALSE)</f>
        <v>La Reina</v>
      </c>
      <c r="J313" t="s">
        <v>136</v>
      </c>
      <c r="K313" s="3" t="s">
        <v>0</v>
      </c>
      <c r="L313" s="12" t="str">
        <f>VLOOKUP(K313,[2]Hoja4!$A$2:$C$443,2,FALSE)</f>
        <v>Intentional self-harm by hanging, strangulation and suffocation</v>
      </c>
      <c r="M313" s="12" t="str">
        <f>VLOOKUP(K313,[2]Hoja4!$A$2:$C$443,3,FALSE)</f>
        <v>Unspecified place</v>
      </c>
      <c r="N313" s="1">
        <v>12.3</v>
      </c>
      <c r="O313" s="1">
        <v>31.9</v>
      </c>
      <c r="P313" s="1">
        <v>22.5</v>
      </c>
      <c r="Q313" s="1">
        <v>954.9</v>
      </c>
      <c r="R313" s="1"/>
      <c r="S313" s="1">
        <v>38</v>
      </c>
      <c r="T313" s="5">
        <v>7.8100000000000003E-2</v>
      </c>
      <c r="U313" s="10">
        <v>4.0000000000000001E-3</v>
      </c>
    </row>
    <row r="314" spans="1:21" customFormat="1">
      <c r="A314">
        <v>1</v>
      </c>
      <c r="B314">
        <v>61</v>
      </c>
      <c r="C314">
        <v>27</v>
      </c>
      <c r="D314">
        <v>2</v>
      </c>
      <c r="E314">
        <v>2020</v>
      </c>
      <c r="F314">
        <v>6301</v>
      </c>
      <c r="G314" t="str">
        <f>VLOOKUP(F314,'[1]Sheet 1'!$B$2:$E$347,2,FALSE)</f>
        <v>Libertador General Bernardo O'Higgins</v>
      </c>
      <c r="H314" t="str">
        <f>VLOOKUP(F314,'[1]Sheet 1'!$B$2:$E$347,3,FALSE)</f>
        <v>Colchagua</v>
      </c>
      <c r="I314" t="str">
        <f>VLOOKUP(F314,'[1]Sheet 1'!$B$2:$E$347,4,FALSE)</f>
        <v>San Fernando</v>
      </c>
      <c r="J314" t="s">
        <v>136</v>
      </c>
      <c r="K314" s="3" t="s">
        <v>0</v>
      </c>
      <c r="L314" s="12" t="str">
        <f>VLOOKUP(K314,[2]Hoja4!$A$2:$C$443,2,FALSE)</f>
        <v>Intentional self-harm by hanging, strangulation and suffocation</v>
      </c>
      <c r="M314" s="12" t="str">
        <f>VLOOKUP(K314,[2]Hoja4!$A$2:$C$443,3,FALSE)</f>
        <v>Unspecified place</v>
      </c>
      <c r="N314" s="1">
        <v>9.5</v>
      </c>
      <c r="O314" s="1">
        <v>31.9</v>
      </c>
      <c r="P314" s="1">
        <v>20.5</v>
      </c>
      <c r="Q314" s="1">
        <v>979.6</v>
      </c>
      <c r="R314" s="1">
        <v>0</v>
      </c>
      <c r="S314" s="1">
        <v>58.5</v>
      </c>
      <c r="T314" s="5">
        <v>7.8100000000000003E-2</v>
      </c>
      <c r="U314" s="10">
        <v>4.0000000000000001E-3</v>
      </c>
    </row>
    <row r="315" spans="1:21" customFormat="1">
      <c r="A315">
        <v>1</v>
      </c>
      <c r="B315">
        <v>39</v>
      </c>
      <c r="C315">
        <v>27</v>
      </c>
      <c r="D315">
        <v>2</v>
      </c>
      <c r="E315">
        <v>2020</v>
      </c>
      <c r="F315">
        <v>13121</v>
      </c>
      <c r="G315" t="str">
        <f>VLOOKUP(F315,'[1]Sheet 1'!$B$2:$E$347,2,FALSE)</f>
        <v>Metropolitana de Santiago</v>
      </c>
      <c r="H315" t="str">
        <f>VLOOKUP(F315,'[1]Sheet 1'!$B$2:$E$347,3,FALSE)</f>
        <v>Santiago</v>
      </c>
      <c r="I315" t="str">
        <f>VLOOKUP(F315,'[1]Sheet 1'!$B$2:$E$347,4,FALSE)</f>
        <v>Pedro Aguirre Cerda</v>
      </c>
      <c r="J315" t="s">
        <v>136</v>
      </c>
      <c r="K315" s="3" t="s">
        <v>0</v>
      </c>
      <c r="L315" s="12" t="str">
        <f>VLOOKUP(K315,[2]Hoja4!$A$2:$C$443,2,FALSE)</f>
        <v>Intentional self-harm by hanging, strangulation and suffocation</v>
      </c>
      <c r="M315" s="12" t="str">
        <f>VLOOKUP(K315,[2]Hoja4!$A$2:$C$443,3,FALSE)</f>
        <v>Unspecified place</v>
      </c>
      <c r="N315" s="1">
        <v>12.3</v>
      </c>
      <c r="O315" s="1">
        <v>31.9</v>
      </c>
      <c r="P315" s="1">
        <v>22.5</v>
      </c>
      <c r="Q315" s="1">
        <v>954.9</v>
      </c>
      <c r="R315" s="1"/>
      <c r="S315" s="1">
        <v>38</v>
      </c>
      <c r="T315" s="5">
        <v>7.8100000000000003E-2</v>
      </c>
      <c r="U315" s="10">
        <v>4.0000000000000001E-3</v>
      </c>
    </row>
    <row r="316" spans="1:21" customFormat="1">
      <c r="A316">
        <v>1</v>
      </c>
      <c r="B316">
        <v>41</v>
      </c>
      <c r="C316">
        <v>27</v>
      </c>
      <c r="D316">
        <v>2</v>
      </c>
      <c r="E316">
        <v>2020</v>
      </c>
      <c r="F316">
        <v>5604</v>
      </c>
      <c r="G316" t="str">
        <f>VLOOKUP(F316,'[1]Sheet 1'!$B$2:$E$347,2,FALSE)</f>
        <v>Valparaíso</v>
      </c>
      <c r="H316" t="str">
        <f>VLOOKUP(F316,'[1]Sheet 1'!$B$2:$E$347,3,FALSE)</f>
        <v>San Antonio</v>
      </c>
      <c r="I316" t="str">
        <f>VLOOKUP(F316,'[1]Sheet 1'!$B$2:$E$347,4,FALSE)</f>
        <v>El Quisco</v>
      </c>
      <c r="J316" t="s">
        <v>136</v>
      </c>
      <c r="K316" s="3" t="s">
        <v>4</v>
      </c>
      <c r="L316" s="12" t="str">
        <f>VLOOKUP(K316,[2]Hoja4!$A$2:$C$443,2,FALSE)</f>
        <v>Intentional self-harm by hanging, strangulation and suffocation</v>
      </c>
      <c r="M316" s="12" t="str">
        <f>VLOOKUP(K316,[2]Hoja4!$A$2:$C$443,3,FALSE)</f>
        <v>At home</v>
      </c>
      <c r="N316" s="1">
        <v>13</v>
      </c>
      <c r="O316" s="1">
        <v>21.2</v>
      </c>
      <c r="P316" s="1">
        <v>16.3</v>
      </c>
      <c r="Q316" s="1">
        <v>1008.9</v>
      </c>
      <c r="R316" s="1">
        <v>0</v>
      </c>
      <c r="S316" s="1">
        <v>82.5</v>
      </c>
      <c r="T316" s="5">
        <v>7.8100000000000003E-2</v>
      </c>
      <c r="U316" s="10">
        <v>4.0000000000000001E-3</v>
      </c>
    </row>
    <row r="317" spans="1:21" customFormat="1">
      <c r="A317">
        <v>1</v>
      </c>
      <c r="B317">
        <v>30</v>
      </c>
      <c r="C317">
        <v>27</v>
      </c>
      <c r="D317">
        <v>2</v>
      </c>
      <c r="E317">
        <v>2020</v>
      </c>
      <c r="F317">
        <v>6104</v>
      </c>
      <c r="G317" t="str">
        <f>VLOOKUP(F317,'[1]Sheet 1'!$B$2:$E$347,2,FALSE)</f>
        <v>Libertador General Bernardo O'Higgins</v>
      </c>
      <c r="H317" t="str">
        <f>VLOOKUP(F317,'[1]Sheet 1'!$B$2:$E$347,3,FALSE)</f>
        <v>Cachapoal</v>
      </c>
      <c r="I317" t="str">
        <f>VLOOKUP(F317,'[1]Sheet 1'!$B$2:$E$347,4,FALSE)</f>
        <v>Coltauco</v>
      </c>
      <c r="J317" t="s">
        <v>136</v>
      </c>
      <c r="K317" s="3" t="s">
        <v>0</v>
      </c>
      <c r="L317" s="12" t="str">
        <f>VLOOKUP(K317,[2]Hoja4!$A$2:$C$443,2,FALSE)</f>
        <v>Intentional self-harm by hanging, strangulation and suffocation</v>
      </c>
      <c r="M317" s="12" t="str">
        <f>VLOOKUP(K317,[2]Hoja4!$A$2:$C$443,3,FALSE)</f>
        <v>Unspecified place</v>
      </c>
      <c r="N317" s="1"/>
      <c r="O317" s="1">
        <v>31.3</v>
      </c>
      <c r="P317" s="1">
        <v>27.3</v>
      </c>
      <c r="Q317" s="1">
        <v>958.5</v>
      </c>
      <c r="R317" s="1">
        <v>0</v>
      </c>
      <c r="S317" s="1">
        <v>31.3</v>
      </c>
      <c r="T317" s="5">
        <v>7.8100000000000003E-2</v>
      </c>
      <c r="U317" s="10">
        <v>4.0000000000000001E-3</v>
      </c>
    </row>
    <row r="318" spans="1:21" customFormat="1">
      <c r="A318">
        <v>1</v>
      </c>
      <c r="B318">
        <v>45</v>
      </c>
      <c r="C318">
        <v>28</v>
      </c>
      <c r="D318">
        <v>2</v>
      </c>
      <c r="E318">
        <v>2020</v>
      </c>
      <c r="F318">
        <v>2201</v>
      </c>
      <c r="G318" t="str">
        <f>VLOOKUP(F318,'[1]Sheet 1'!$B$2:$E$347,2,FALSE)</f>
        <v>Antofagasta</v>
      </c>
      <c r="H318" t="str">
        <f>VLOOKUP(F318,'[1]Sheet 1'!$B$2:$E$347,3,FALSE)</f>
        <v>El Loa</v>
      </c>
      <c r="I318" t="str">
        <f>VLOOKUP(F318,'[1]Sheet 1'!$B$2:$E$347,4,FALSE)</f>
        <v>Calama</v>
      </c>
      <c r="J318" t="s">
        <v>136</v>
      </c>
      <c r="K318" s="3" t="s">
        <v>0</v>
      </c>
      <c r="L318" s="12" t="str">
        <f>VLOOKUP(K318,[2]Hoja4!$A$2:$C$443,2,FALSE)</f>
        <v>Intentional self-harm by hanging, strangulation and suffocation</v>
      </c>
      <c r="M318" s="12" t="str">
        <f>VLOOKUP(K318,[2]Hoja4!$A$2:$C$443,3,FALSE)</f>
        <v>Unspecified place</v>
      </c>
      <c r="N318" s="1">
        <v>7.9</v>
      </c>
      <c r="O318" s="1">
        <v>26.9</v>
      </c>
      <c r="P318" s="1">
        <v>17.5</v>
      </c>
      <c r="Q318" s="1">
        <v>774.2</v>
      </c>
      <c r="R318" s="1">
        <v>0</v>
      </c>
      <c r="S318" s="1">
        <v>49.5</v>
      </c>
      <c r="T318" s="5">
        <v>7.8100000000000003E-2</v>
      </c>
      <c r="U318" s="10">
        <v>4.0000000000000001E-3</v>
      </c>
    </row>
    <row r="319" spans="1:21" customFormat="1">
      <c r="A319">
        <v>1</v>
      </c>
      <c r="B319">
        <v>31</v>
      </c>
      <c r="C319">
        <v>28</v>
      </c>
      <c r="D319">
        <v>2</v>
      </c>
      <c r="E319">
        <v>2020</v>
      </c>
      <c r="F319">
        <v>6101</v>
      </c>
      <c r="G319" t="str">
        <f>VLOOKUP(F319,'[1]Sheet 1'!$B$2:$E$347,2,FALSE)</f>
        <v>Libertador General Bernardo O'Higgins</v>
      </c>
      <c r="H319" t="str">
        <f>VLOOKUP(F319,'[1]Sheet 1'!$B$2:$E$347,3,FALSE)</f>
        <v>Cachapoal</v>
      </c>
      <c r="I319" t="str">
        <f>VLOOKUP(F319,'[1]Sheet 1'!$B$2:$E$347,4,FALSE)</f>
        <v>Rancagua</v>
      </c>
      <c r="J319" t="s">
        <v>136</v>
      </c>
      <c r="K319" s="3" t="s">
        <v>0</v>
      </c>
      <c r="L319" s="12" t="str">
        <f>VLOOKUP(K319,[2]Hoja4!$A$2:$C$443,2,FALSE)</f>
        <v>Intentional self-harm by hanging, strangulation and suffocation</v>
      </c>
      <c r="M319" s="12" t="str">
        <f>VLOOKUP(K319,[2]Hoja4!$A$2:$C$443,3,FALSE)</f>
        <v>Unspecified place</v>
      </c>
      <c r="N319" s="1">
        <v>12.1</v>
      </c>
      <c r="O319" s="1">
        <v>32.200000000000003</v>
      </c>
      <c r="P319" s="1">
        <v>22.5</v>
      </c>
      <c r="Q319" s="1">
        <v>959.3</v>
      </c>
      <c r="R319" s="1">
        <v>0</v>
      </c>
      <c r="S319" s="1">
        <v>51.6</v>
      </c>
      <c r="T319" s="5">
        <v>7.8100000000000003E-2</v>
      </c>
      <c r="U319" s="10">
        <v>4.0000000000000001E-3</v>
      </c>
    </row>
    <row r="320" spans="1:21" customFormat="1">
      <c r="A320">
        <v>1</v>
      </c>
      <c r="B320">
        <v>29</v>
      </c>
      <c r="C320">
        <v>28</v>
      </c>
      <c r="D320">
        <v>2</v>
      </c>
      <c r="E320">
        <v>2020</v>
      </c>
      <c r="F320">
        <v>13129</v>
      </c>
      <c r="G320" t="str">
        <f>VLOOKUP(F320,'[1]Sheet 1'!$B$2:$E$347,2,FALSE)</f>
        <v>Metropolitana de Santiago</v>
      </c>
      <c r="H320" t="str">
        <f>VLOOKUP(F320,'[1]Sheet 1'!$B$2:$E$347,3,FALSE)</f>
        <v>Santiago</v>
      </c>
      <c r="I320" t="str">
        <f>VLOOKUP(F320,'[1]Sheet 1'!$B$2:$E$347,4,FALSE)</f>
        <v>San Joaquín</v>
      </c>
      <c r="J320" t="s">
        <v>136</v>
      </c>
      <c r="K320" s="3" t="s">
        <v>0</v>
      </c>
      <c r="L320" s="12" t="str">
        <f>VLOOKUP(K320,[2]Hoja4!$A$2:$C$443,2,FALSE)</f>
        <v>Intentional self-harm by hanging, strangulation and suffocation</v>
      </c>
      <c r="M320" s="12" t="str">
        <f>VLOOKUP(K320,[2]Hoja4!$A$2:$C$443,3,FALSE)</f>
        <v>Unspecified place</v>
      </c>
      <c r="N320" s="1">
        <v>13.1</v>
      </c>
      <c r="O320" s="1">
        <v>33.1</v>
      </c>
      <c r="P320" s="1">
        <v>22.3</v>
      </c>
      <c r="Q320" s="1">
        <v>955.6</v>
      </c>
      <c r="R320" s="1"/>
      <c r="S320" s="1">
        <v>50</v>
      </c>
      <c r="T320" s="5">
        <v>7.8100000000000003E-2</v>
      </c>
      <c r="U320" s="10">
        <v>4.0000000000000001E-3</v>
      </c>
    </row>
    <row r="321" spans="1:21" customFormat="1">
      <c r="A321">
        <v>2</v>
      </c>
      <c r="B321">
        <v>61</v>
      </c>
      <c r="C321">
        <v>29</v>
      </c>
      <c r="D321">
        <v>2</v>
      </c>
      <c r="E321">
        <v>2020</v>
      </c>
      <c r="F321">
        <v>1101</v>
      </c>
      <c r="G321" t="str">
        <f>VLOOKUP(F321,'[1]Sheet 1'!$B$2:$E$347,2,FALSE)</f>
        <v>Tarapacá</v>
      </c>
      <c r="H321" t="str">
        <f>VLOOKUP(F321,'[1]Sheet 1'!$B$2:$E$347,3,FALSE)</f>
        <v>Iquique</v>
      </c>
      <c r="I321" t="str">
        <f>VLOOKUP(F321,'[1]Sheet 1'!$B$2:$E$347,4,FALSE)</f>
        <v>Iquique</v>
      </c>
      <c r="J321" t="s">
        <v>151</v>
      </c>
      <c r="K321" s="3" t="s">
        <v>9</v>
      </c>
      <c r="L321" s="12" t="str">
        <f>VLOOKUP(K321,[2]Hoja4!$A$2:$C$443,2,FALSE)</f>
        <v>Intentional self-harm by jumping from a high place</v>
      </c>
      <c r="M321" s="12" t="str">
        <f>VLOOKUP(K321,[2]Hoja4!$A$2:$C$443,3,FALSE)</f>
        <v>Unspecified place</v>
      </c>
      <c r="N321" s="1">
        <v>19.3</v>
      </c>
      <c r="O321" s="1" t="s">
        <v>57</v>
      </c>
      <c r="P321" s="1">
        <v>22.4</v>
      </c>
      <c r="Q321" s="1">
        <v>1010.6</v>
      </c>
      <c r="R321" s="1">
        <v>0</v>
      </c>
      <c r="S321" s="1">
        <v>71.2</v>
      </c>
      <c r="T321" s="5">
        <v>7.8100000000000003E-2</v>
      </c>
      <c r="U321" s="10">
        <v>4.0000000000000001E-3</v>
      </c>
    </row>
    <row r="322" spans="1:21" customFormat="1">
      <c r="A322">
        <v>1</v>
      </c>
      <c r="B322">
        <v>56</v>
      </c>
      <c r="C322">
        <v>29</v>
      </c>
      <c r="D322">
        <v>2</v>
      </c>
      <c r="E322">
        <v>2020</v>
      </c>
      <c r="F322">
        <v>16105</v>
      </c>
      <c r="G322" t="str">
        <f>VLOOKUP(F322,'[1]Sheet 1'!$B$2:$E$347,2,FALSE)</f>
        <v>Ñuble</v>
      </c>
      <c r="H322" t="str">
        <f>VLOOKUP(F322,'[1]Sheet 1'!$B$2:$E$347,3,FALSE)</f>
        <v>Diguillín</v>
      </c>
      <c r="I322" t="str">
        <f>VLOOKUP(F322,'[1]Sheet 1'!$B$2:$E$347,4,FALSE)</f>
        <v>Pemuco</v>
      </c>
      <c r="J322" t="s">
        <v>136</v>
      </c>
      <c r="K322" s="3" t="s">
        <v>0</v>
      </c>
      <c r="L322" s="12" t="str">
        <f>VLOOKUP(K322,[2]Hoja4!$A$2:$C$443,2,FALSE)</f>
        <v>Intentional self-harm by hanging, strangulation and suffocation</v>
      </c>
      <c r="M322" s="12" t="str">
        <f>VLOOKUP(K322,[2]Hoja4!$A$2:$C$443,3,FALSE)</f>
        <v>Unspecified place</v>
      </c>
      <c r="N322" s="1">
        <v>13.1</v>
      </c>
      <c r="O322" s="1">
        <v>34.799999999999997</v>
      </c>
      <c r="P322" s="1">
        <v>22.9</v>
      </c>
      <c r="Q322" s="1">
        <v>994.7</v>
      </c>
      <c r="R322" s="1">
        <v>0</v>
      </c>
      <c r="S322" s="1">
        <v>62</v>
      </c>
      <c r="T322" s="5">
        <v>7.8100000000000003E-2</v>
      </c>
      <c r="U322" s="10">
        <v>4.0000000000000001E-3</v>
      </c>
    </row>
    <row r="323" spans="1:21" customFormat="1">
      <c r="A323">
        <v>1</v>
      </c>
      <c r="B323">
        <v>49</v>
      </c>
      <c r="C323">
        <v>29</v>
      </c>
      <c r="D323">
        <v>2</v>
      </c>
      <c r="E323">
        <v>2020</v>
      </c>
      <c r="F323">
        <v>7105</v>
      </c>
      <c r="G323" t="str">
        <f>VLOOKUP(F323,'[1]Sheet 1'!$B$2:$E$347,2,FALSE)</f>
        <v>Maule</v>
      </c>
      <c r="H323" t="str">
        <f>VLOOKUP(F323,'[1]Sheet 1'!$B$2:$E$347,3,FALSE)</f>
        <v>Talca</v>
      </c>
      <c r="I323" t="str">
        <f>VLOOKUP(F323,'[1]Sheet 1'!$B$2:$E$347,4,FALSE)</f>
        <v>Maule</v>
      </c>
      <c r="J323" t="s">
        <v>146</v>
      </c>
      <c r="K323" s="3" t="s">
        <v>30</v>
      </c>
      <c r="L323" s="12" t="str">
        <f>VLOOKUP(K323,[2]Hoja4!$A$2:$C$443,2,FALSE)</f>
        <v>Intentional self-poisoning by and exposure to pesticides</v>
      </c>
      <c r="M323" s="12" t="str">
        <f>VLOOKUP(K323,[2]Hoja4!$A$2:$C$443,3,FALSE)</f>
        <v>Street and highway</v>
      </c>
      <c r="N323" s="1">
        <v>13.1</v>
      </c>
      <c r="O323" s="1">
        <v>35.4</v>
      </c>
      <c r="P323" s="1">
        <v>22.6</v>
      </c>
      <c r="Q323" s="1">
        <v>999.8</v>
      </c>
      <c r="R323" s="1">
        <v>0</v>
      </c>
      <c r="S323" s="1">
        <v>56.5</v>
      </c>
      <c r="T323" s="5">
        <v>7.8100000000000003E-2</v>
      </c>
      <c r="U323" s="10">
        <v>4.0000000000000001E-3</v>
      </c>
    </row>
    <row r="324" spans="1:21" customFormat="1">
      <c r="A324">
        <v>1</v>
      </c>
      <c r="B324">
        <v>47</v>
      </c>
      <c r="C324">
        <v>29</v>
      </c>
      <c r="D324">
        <v>2</v>
      </c>
      <c r="E324">
        <v>2020</v>
      </c>
      <c r="F324">
        <v>13104</v>
      </c>
      <c r="G324" t="str">
        <f>VLOOKUP(F324,'[1]Sheet 1'!$B$2:$E$347,2,FALSE)</f>
        <v>Metropolitana de Santiago</v>
      </c>
      <c r="H324" t="str">
        <f>VLOOKUP(F324,'[1]Sheet 1'!$B$2:$E$347,3,FALSE)</f>
        <v>Santiago</v>
      </c>
      <c r="I324" t="str">
        <f>VLOOKUP(F324,'[1]Sheet 1'!$B$2:$E$347,4,FALSE)</f>
        <v>Conchalí</v>
      </c>
      <c r="J324" t="s">
        <v>136</v>
      </c>
      <c r="K324" s="3" t="s">
        <v>0</v>
      </c>
      <c r="L324" s="12" t="str">
        <f>VLOOKUP(K324,[2]Hoja4!$A$2:$C$443,2,FALSE)</f>
        <v>Intentional self-harm by hanging, strangulation and suffocation</v>
      </c>
      <c r="M324" s="12" t="str">
        <f>VLOOKUP(K324,[2]Hoja4!$A$2:$C$443,3,FALSE)</f>
        <v>Unspecified place</v>
      </c>
      <c r="N324" s="1">
        <v>14.4</v>
      </c>
      <c r="O324" s="1">
        <v>32.1</v>
      </c>
      <c r="P324" s="1">
        <v>22.7</v>
      </c>
      <c r="Q324" s="1">
        <v>954.2</v>
      </c>
      <c r="R324" s="1"/>
      <c r="S324" s="1">
        <v>59.8</v>
      </c>
      <c r="T324" s="5">
        <v>7.8100000000000003E-2</v>
      </c>
      <c r="U324" s="10">
        <v>4.0000000000000001E-3</v>
      </c>
    </row>
    <row r="325" spans="1:21" customFormat="1">
      <c r="A325">
        <v>1</v>
      </c>
      <c r="B325">
        <v>38</v>
      </c>
      <c r="C325">
        <v>29</v>
      </c>
      <c r="D325">
        <v>2</v>
      </c>
      <c r="E325">
        <v>2020</v>
      </c>
      <c r="F325">
        <v>13201</v>
      </c>
      <c r="G325" t="str">
        <f>VLOOKUP(F325,'[1]Sheet 1'!$B$2:$E$347,2,FALSE)</f>
        <v>Metropolitana de Santiago</v>
      </c>
      <c r="H325" t="str">
        <f>VLOOKUP(F325,'[1]Sheet 1'!$B$2:$E$347,3,FALSE)</f>
        <v>Cordillera</v>
      </c>
      <c r="I325" t="str">
        <f>VLOOKUP(F325,'[1]Sheet 1'!$B$2:$E$347,4,FALSE)</f>
        <v>Puente Alto</v>
      </c>
      <c r="J325" t="s">
        <v>136</v>
      </c>
      <c r="K325" s="3" t="s">
        <v>0</v>
      </c>
      <c r="L325" s="12" t="str">
        <f>VLOOKUP(K325,[2]Hoja4!$A$2:$C$443,2,FALSE)</f>
        <v>Intentional self-harm by hanging, strangulation and suffocation</v>
      </c>
      <c r="M325" s="12" t="str">
        <f>VLOOKUP(K325,[2]Hoja4!$A$2:$C$443,3,FALSE)</f>
        <v>Unspecified place</v>
      </c>
      <c r="N325" s="1">
        <v>10.6</v>
      </c>
      <c r="O325" s="1">
        <v>32.700000000000003</v>
      </c>
      <c r="P325" s="1">
        <v>21.5</v>
      </c>
      <c r="Q325" s="1">
        <v>938.2</v>
      </c>
      <c r="R325" s="1">
        <v>0</v>
      </c>
      <c r="S325" s="1">
        <v>57.6</v>
      </c>
      <c r="T325" s="5">
        <v>7.8100000000000003E-2</v>
      </c>
      <c r="U325" s="10">
        <v>4.0000000000000001E-3</v>
      </c>
    </row>
    <row r="326" spans="1:21" customFormat="1">
      <c r="A326">
        <v>1</v>
      </c>
      <c r="B326">
        <v>38</v>
      </c>
      <c r="C326">
        <v>29</v>
      </c>
      <c r="D326">
        <v>2</v>
      </c>
      <c r="E326">
        <v>2020</v>
      </c>
      <c r="F326">
        <v>7306</v>
      </c>
      <c r="G326" t="str">
        <f>VLOOKUP(F326,'[1]Sheet 1'!$B$2:$E$347,2,FALSE)</f>
        <v>Maule</v>
      </c>
      <c r="H326" t="str">
        <f>VLOOKUP(F326,'[1]Sheet 1'!$B$2:$E$347,3,FALSE)</f>
        <v>Curicó</v>
      </c>
      <c r="I326" t="str">
        <f>VLOOKUP(F326,'[1]Sheet 1'!$B$2:$E$347,4,FALSE)</f>
        <v>Romeral</v>
      </c>
      <c r="J326" t="s">
        <v>136</v>
      </c>
      <c r="K326" s="3" t="s">
        <v>0</v>
      </c>
      <c r="L326" s="12" t="str">
        <f>VLOOKUP(K326,[2]Hoja4!$A$2:$C$443,2,FALSE)</f>
        <v>Intentional self-harm by hanging, strangulation and suffocation</v>
      </c>
      <c r="M326" s="12" t="str">
        <f>VLOOKUP(K326,[2]Hoja4!$A$2:$C$443,3,FALSE)</f>
        <v>Unspecified place</v>
      </c>
      <c r="N326" s="1">
        <v>13</v>
      </c>
      <c r="O326" s="1">
        <v>33.799999999999997</v>
      </c>
      <c r="P326" s="1">
        <v>23.8</v>
      </c>
      <c r="Q326" s="1">
        <v>986.9</v>
      </c>
      <c r="R326" s="1">
        <v>0</v>
      </c>
      <c r="S326" s="1">
        <v>52.2</v>
      </c>
      <c r="T326" s="5">
        <v>7.8100000000000003E-2</v>
      </c>
      <c r="U326" s="10">
        <v>4.0000000000000001E-3</v>
      </c>
    </row>
    <row r="327" spans="1:21" customFormat="1">
      <c r="A327">
        <v>1</v>
      </c>
      <c r="B327">
        <v>37</v>
      </c>
      <c r="C327">
        <v>29</v>
      </c>
      <c r="D327">
        <v>2</v>
      </c>
      <c r="E327">
        <v>2020</v>
      </c>
      <c r="F327">
        <v>4101</v>
      </c>
      <c r="G327" t="str">
        <f>VLOOKUP(F327,'[1]Sheet 1'!$B$2:$E$347,2,FALSE)</f>
        <v>Coquimbo</v>
      </c>
      <c r="H327" t="str">
        <f>VLOOKUP(F327,'[1]Sheet 1'!$B$2:$E$347,3,FALSE)</f>
        <v>Elqui</v>
      </c>
      <c r="I327" t="str">
        <f>VLOOKUP(F327,'[1]Sheet 1'!$B$2:$E$347,4,FALSE)</f>
        <v>La Serena</v>
      </c>
      <c r="J327" t="s">
        <v>136</v>
      </c>
      <c r="K327" s="3" t="s">
        <v>4</v>
      </c>
      <c r="L327" s="12" t="str">
        <f>VLOOKUP(K327,[2]Hoja4!$A$2:$C$443,2,FALSE)</f>
        <v>Intentional self-harm by hanging, strangulation and suffocation</v>
      </c>
      <c r="M327" s="12" t="str">
        <f>VLOOKUP(K327,[2]Hoja4!$A$2:$C$443,3,FALSE)</f>
        <v>At home</v>
      </c>
      <c r="N327" s="1">
        <v>14.5</v>
      </c>
      <c r="O327" s="1">
        <v>20.3</v>
      </c>
      <c r="P327" s="1">
        <v>16.2</v>
      </c>
      <c r="Q327" s="1">
        <v>998.3</v>
      </c>
      <c r="R327" s="1">
        <v>0</v>
      </c>
      <c r="S327" s="1">
        <v>88.8</v>
      </c>
      <c r="T327" s="5">
        <v>7.8100000000000003E-2</v>
      </c>
      <c r="U327" s="10">
        <v>4.0000000000000001E-3</v>
      </c>
    </row>
    <row r="328" spans="1:21" customFormat="1">
      <c r="A328">
        <v>1</v>
      </c>
      <c r="B328">
        <v>59</v>
      </c>
      <c r="C328">
        <v>1</v>
      </c>
      <c r="D328">
        <v>3</v>
      </c>
      <c r="E328">
        <v>2020</v>
      </c>
      <c r="F328">
        <v>9113</v>
      </c>
      <c r="G328" t="str">
        <f>VLOOKUP(F328,'[1]Sheet 1'!$B$2:$E$347,2,FALSE)</f>
        <v>La Araucanía</v>
      </c>
      <c r="H328" t="str">
        <f>VLOOKUP(F328,'[1]Sheet 1'!$B$2:$E$347,3,FALSE)</f>
        <v>Cautín</v>
      </c>
      <c r="I328" t="str">
        <f>VLOOKUP(F328,'[1]Sheet 1'!$B$2:$E$347,4,FALSE)</f>
        <v>Perquenco</v>
      </c>
      <c r="J328" t="s">
        <v>136</v>
      </c>
      <c r="K328" s="3" t="s">
        <v>0</v>
      </c>
      <c r="L328" s="12" t="str">
        <f>VLOOKUP(K328,[2]Hoja4!$A$2:$C$443,2,FALSE)</f>
        <v>Intentional self-harm by hanging, strangulation and suffocation</v>
      </c>
      <c r="M328" s="12" t="str">
        <f>VLOOKUP(K328,[2]Hoja4!$A$2:$C$443,3,FALSE)</f>
        <v>Unspecified place</v>
      </c>
      <c r="N328" s="1">
        <v>9.5</v>
      </c>
      <c r="O328" s="1">
        <v>28.2</v>
      </c>
      <c r="P328" s="1">
        <v>18.2</v>
      </c>
      <c r="Q328" s="1">
        <v>1003</v>
      </c>
      <c r="R328" s="1">
        <v>0</v>
      </c>
      <c r="S328" s="1">
        <v>82.8</v>
      </c>
      <c r="T328" s="5">
        <v>8.2299999999999998E-2</v>
      </c>
      <c r="U328" s="10">
        <v>3.0000000000000001E-3</v>
      </c>
    </row>
    <row r="329" spans="1:21" customFormat="1">
      <c r="A329">
        <v>1</v>
      </c>
      <c r="B329">
        <v>56</v>
      </c>
      <c r="C329">
        <v>1</v>
      </c>
      <c r="D329">
        <v>3</v>
      </c>
      <c r="E329">
        <v>2020</v>
      </c>
      <c r="F329">
        <v>9101</v>
      </c>
      <c r="G329" t="str">
        <f>VLOOKUP(F329,'[1]Sheet 1'!$B$2:$E$347,2,FALSE)</f>
        <v>La Araucanía</v>
      </c>
      <c r="H329" t="str">
        <f>VLOOKUP(F329,'[1]Sheet 1'!$B$2:$E$347,3,FALSE)</f>
        <v>Cautín</v>
      </c>
      <c r="I329" t="str">
        <f>VLOOKUP(F329,'[1]Sheet 1'!$B$2:$E$347,4,FALSE)</f>
        <v>Temuco</v>
      </c>
      <c r="J329" t="s">
        <v>136</v>
      </c>
      <c r="K329" s="3" t="s">
        <v>0</v>
      </c>
      <c r="L329" s="12" t="str">
        <f>VLOOKUP(K329,[2]Hoja4!$A$2:$C$443,2,FALSE)</f>
        <v>Intentional self-harm by hanging, strangulation and suffocation</v>
      </c>
      <c r="M329" s="12" t="str">
        <f>VLOOKUP(K329,[2]Hoja4!$A$2:$C$443,3,FALSE)</f>
        <v>Unspecified place</v>
      </c>
      <c r="N329" s="1">
        <v>9.5</v>
      </c>
      <c r="O329" s="1">
        <v>28.2</v>
      </c>
      <c r="P329" s="1">
        <v>18.2</v>
      </c>
      <c r="Q329" s="1">
        <v>1003</v>
      </c>
      <c r="R329" s="1">
        <v>0</v>
      </c>
      <c r="S329" s="1">
        <v>82.8</v>
      </c>
      <c r="T329" s="5">
        <v>8.2299999999999998E-2</v>
      </c>
      <c r="U329" s="10">
        <v>3.0000000000000001E-3</v>
      </c>
    </row>
    <row r="330" spans="1:21" customFormat="1">
      <c r="A330">
        <v>1</v>
      </c>
      <c r="B330">
        <v>42</v>
      </c>
      <c r="C330">
        <v>1</v>
      </c>
      <c r="D330">
        <v>3</v>
      </c>
      <c r="E330">
        <v>2020</v>
      </c>
      <c r="F330">
        <v>13401</v>
      </c>
      <c r="G330" t="str">
        <f>VLOOKUP(F330,'[1]Sheet 1'!$B$2:$E$347,2,FALSE)</f>
        <v>Metropolitana de Santiago</v>
      </c>
      <c r="H330" t="str">
        <f>VLOOKUP(F330,'[1]Sheet 1'!$B$2:$E$347,3,FALSE)</f>
        <v>Maipo</v>
      </c>
      <c r="I330" t="str">
        <f>VLOOKUP(F330,'[1]Sheet 1'!$B$2:$E$347,4,FALSE)</f>
        <v>San Bernardo</v>
      </c>
      <c r="J330" t="s">
        <v>136</v>
      </c>
      <c r="K330" s="3" t="s">
        <v>0</v>
      </c>
      <c r="L330" s="12" t="str">
        <f>VLOOKUP(K330,[2]Hoja4!$A$2:$C$443,2,FALSE)</f>
        <v>Intentional self-harm by hanging, strangulation and suffocation</v>
      </c>
      <c r="M330" s="12" t="str">
        <f>VLOOKUP(K330,[2]Hoja4!$A$2:$C$443,3,FALSE)</f>
        <v>Unspecified place</v>
      </c>
      <c r="N330" s="1">
        <v>11.6</v>
      </c>
      <c r="O330" s="1">
        <v>28.2</v>
      </c>
      <c r="P330" s="1">
        <v>18</v>
      </c>
      <c r="Q330" s="1">
        <v>964.7</v>
      </c>
      <c r="R330" s="1">
        <v>0</v>
      </c>
      <c r="S330" s="1">
        <v>79.3</v>
      </c>
      <c r="T330" s="5">
        <v>8.2299999999999998E-2</v>
      </c>
      <c r="U330" s="10">
        <v>3.0000000000000001E-3</v>
      </c>
    </row>
    <row r="331" spans="1:21" customFormat="1">
      <c r="A331">
        <v>1</v>
      </c>
      <c r="B331">
        <v>22</v>
      </c>
      <c r="C331">
        <v>1</v>
      </c>
      <c r="D331">
        <v>3</v>
      </c>
      <c r="E331">
        <v>2020</v>
      </c>
      <c r="F331">
        <v>5101</v>
      </c>
      <c r="G331" t="str">
        <f>VLOOKUP(F331,'[1]Sheet 1'!$B$2:$E$347,2,FALSE)</f>
        <v>Valparaíso</v>
      </c>
      <c r="H331" t="str">
        <f>VLOOKUP(F331,'[1]Sheet 1'!$B$2:$E$347,3,FALSE)</f>
        <v>Valparaíso</v>
      </c>
      <c r="I331" t="str">
        <f>VLOOKUP(F331,'[1]Sheet 1'!$B$2:$E$347,4,FALSE)</f>
        <v>Valparaíso</v>
      </c>
      <c r="J331" t="s">
        <v>136</v>
      </c>
      <c r="K331" s="3" t="s">
        <v>2</v>
      </c>
      <c r="L331" s="12" t="str">
        <f>VLOOKUP(K331,[2]Hoja4!$A$2:$C$443,2,FALSE)</f>
        <v>Intentional self-harm by hanging, strangulation and suffocation</v>
      </c>
      <c r="M331" s="12" t="str">
        <f>VLOOKUP(K331,[2]Hoja4!$A$2:$C$443,3,FALSE)</f>
        <v>Street and highway</v>
      </c>
      <c r="N331" s="1">
        <v>13</v>
      </c>
      <c r="O331" s="1">
        <v>17.899999999999999</v>
      </c>
      <c r="P331" s="1">
        <v>14.3</v>
      </c>
      <c r="Q331" s="1">
        <v>977.4</v>
      </c>
      <c r="R331" s="1">
        <v>0.2</v>
      </c>
      <c r="S331" s="1">
        <v>100</v>
      </c>
      <c r="T331" s="5">
        <v>8.2299999999999998E-2</v>
      </c>
      <c r="U331" s="10">
        <v>3.0000000000000001E-3</v>
      </c>
    </row>
    <row r="332" spans="1:21" customFormat="1">
      <c r="A332">
        <v>1</v>
      </c>
      <c r="B332">
        <v>25</v>
      </c>
      <c r="C332">
        <v>1</v>
      </c>
      <c r="D332">
        <v>3</v>
      </c>
      <c r="E332">
        <v>2020</v>
      </c>
      <c r="F332">
        <v>8301</v>
      </c>
      <c r="G332" t="str">
        <f>VLOOKUP(F332,'[1]Sheet 1'!$B$2:$E$347,2,FALSE)</f>
        <v>Biobío</v>
      </c>
      <c r="H332" t="str">
        <f>VLOOKUP(F332,'[1]Sheet 1'!$B$2:$E$347,3,FALSE)</f>
        <v>Biobío</v>
      </c>
      <c r="I332" t="str">
        <f>VLOOKUP(F332,'[1]Sheet 1'!$B$2:$E$347,4,FALSE)</f>
        <v>Los Angeles</v>
      </c>
      <c r="J332" t="s">
        <v>136</v>
      </c>
      <c r="K332" s="3" t="s">
        <v>4</v>
      </c>
      <c r="L332" s="12" t="str">
        <f>VLOOKUP(K332,[2]Hoja4!$A$2:$C$443,2,FALSE)</f>
        <v>Intentional self-harm by hanging, strangulation and suffocation</v>
      </c>
      <c r="M332" s="12" t="str">
        <f>VLOOKUP(K332,[2]Hoja4!$A$2:$C$443,3,FALSE)</f>
        <v>At home</v>
      </c>
      <c r="N332" s="1">
        <v>10</v>
      </c>
      <c r="O332" s="1">
        <v>28.7</v>
      </c>
      <c r="P332" s="1">
        <v>19.399999999999999</v>
      </c>
      <c r="Q332" s="1">
        <v>1001.2</v>
      </c>
      <c r="R332" s="1">
        <v>0</v>
      </c>
      <c r="S332" s="1">
        <v>75.2</v>
      </c>
      <c r="T332" s="5">
        <v>8.2299999999999998E-2</v>
      </c>
      <c r="U332" s="10">
        <v>3.0000000000000001E-3</v>
      </c>
    </row>
    <row r="333" spans="1:21" customFormat="1">
      <c r="A333">
        <v>1</v>
      </c>
      <c r="B333">
        <v>70</v>
      </c>
      <c r="C333">
        <v>2</v>
      </c>
      <c r="D333">
        <v>3</v>
      </c>
      <c r="E333">
        <v>2020</v>
      </c>
      <c r="F333">
        <v>6101</v>
      </c>
      <c r="G333" t="str">
        <f>VLOOKUP(F333,'[1]Sheet 1'!$B$2:$E$347,2,FALSE)</f>
        <v>Libertador General Bernardo O'Higgins</v>
      </c>
      <c r="H333" t="str">
        <f>VLOOKUP(F333,'[1]Sheet 1'!$B$2:$E$347,3,FALSE)</f>
        <v>Cachapoal</v>
      </c>
      <c r="I333" t="str">
        <f>VLOOKUP(F333,'[1]Sheet 1'!$B$2:$E$347,4,FALSE)</f>
        <v>Rancagua</v>
      </c>
      <c r="J333" t="s">
        <v>136</v>
      </c>
      <c r="K333" s="3" t="s">
        <v>0</v>
      </c>
      <c r="L333" s="12" t="str">
        <f>VLOOKUP(K333,[2]Hoja4!$A$2:$C$443,2,FALSE)</f>
        <v>Intentional self-harm by hanging, strangulation and suffocation</v>
      </c>
      <c r="M333" s="12" t="str">
        <f>VLOOKUP(K333,[2]Hoja4!$A$2:$C$443,3,FALSE)</f>
        <v>Unspecified place</v>
      </c>
      <c r="N333" s="1">
        <v>11.7</v>
      </c>
      <c r="O333" s="1">
        <v>30.2</v>
      </c>
      <c r="P333" s="1">
        <v>21</v>
      </c>
      <c r="Q333" s="1">
        <v>958.4</v>
      </c>
      <c r="R333" s="1">
        <v>0</v>
      </c>
      <c r="S333" s="1">
        <v>62.5</v>
      </c>
      <c r="T333" s="5">
        <v>8.2299999999999998E-2</v>
      </c>
      <c r="U333" s="10">
        <v>3.0000000000000001E-3</v>
      </c>
    </row>
    <row r="334" spans="1:21" customFormat="1">
      <c r="A334">
        <v>1</v>
      </c>
      <c r="B334">
        <v>69</v>
      </c>
      <c r="C334">
        <v>2</v>
      </c>
      <c r="D334">
        <v>3</v>
      </c>
      <c r="E334">
        <v>2020</v>
      </c>
      <c r="F334">
        <v>13125</v>
      </c>
      <c r="G334" t="str">
        <f>VLOOKUP(F334,'[1]Sheet 1'!$B$2:$E$347,2,FALSE)</f>
        <v>Metropolitana de Santiago</v>
      </c>
      <c r="H334" t="str">
        <f>VLOOKUP(F334,'[1]Sheet 1'!$B$2:$E$347,3,FALSE)</f>
        <v>Santiago</v>
      </c>
      <c r="I334" t="str">
        <f>VLOOKUP(F334,'[1]Sheet 1'!$B$2:$E$347,4,FALSE)</f>
        <v>Quilicura</v>
      </c>
      <c r="J334" t="s">
        <v>138</v>
      </c>
      <c r="K334" s="3" t="s">
        <v>16</v>
      </c>
      <c r="L334" s="12" t="str">
        <f>VLOOKUP(K334,[2]Hoja4!$A$2:$C$443,2,FALSE)</f>
        <v>Intentional self-harm by jumping or lying before moving object</v>
      </c>
      <c r="M334" s="12" t="str">
        <f>VLOOKUP(K334,[2]Hoja4!$A$2:$C$443,3,FALSE)</f>
        <v>Street and highway</v>
      </c>
      <c r="N334" s="1">
        <v>12.5</v>
      </c>
      <c r="O334" s="1">
        <v>29.5</v>
      </c>
      <c r="P334" s="1">
        <v>20.7</v>
      </c>
      <c r="Q334" s="1">
        <v>954.7</v>
      </c>
      <c r="R334" s="1"/>
      <c r="S334" s="1">
        <v>63.2</v>
      </c>
      <c r="T334" s="5">
        <v>8.2299999999999998E-2</v>
      </c>
      <c r="U334" s="10">
        <v>3.0000000000000001E-3</v>
      </c>
    </row>
    <row r="335" spans="1:21" customFormat="1">
      <c r="A335">
        <v>1</v>
      </c>
      <c r="B335">
        <v>36</v>
      </c>
      <c r="C335">
        <v>2</v>
      </c>
      <c r="D335">
        <v>3</v>
      </c>
      <c r="E335">
        <v>2020</v>
      </c>
      <c r="F335">
        <v>5501</v>
      </c>
      <c r="G335" t="str">
        <f>VLOOKUP(F335,'[1]Sheet 1'!$B$2:$E$347,2,FALSE)</f>
        <v>Valparaíso</v>
      </c>
      <c r="H335" t="str">
        <f>VLOOKUP(F335,'[1]Sheet 1'!$B$2:$E$347,3,FALSE)</f>
        <v>Quillota</v>
      </c>
      <c r="I335" t="str">
        <f>VLOOKUP(F335,'[1]Sheet 1'!$B$2:$E$347,4,FALSE)</f>
        <v>Quillota</v>
      </c>
      <c r="J335" t="s">
        <v>136</v>
      </c>
      <c r="K335" s="3" t="s">
        <v>0</v>
      </c>
      <c r="L335" s="12" t="str">
        <f>VLOOKUP(K335,[2]Hoja4!$A$2:$C$443,2,FALSE)</f>
        <v>Intentional self-harm by hanging, strangulation and suffocation</v>
      </c>
      <c r="M335" s="12" t="str">
        <f>VLOOKUP(K335,[2]Hoja4!$A$2:$C$443,3,FALSE)</f>
        <v>Unspecified place</v>
      </c>
      <c r="N335" s="1">
        <v>14.4</v>
      </c>
      <c r="O335" s="1">
        <v>24.2</v>
      </c>
      <c r="P335" s="1">
        <v>17.399999999999999</v>
      </c>
      <c r="Q335" s="1">
        <v>996</v>
      </c>
      <c r="R335" s="1">
        <v>0</v>
      </c>
      <c r="S335" s="1">
        <v>78.900000000000006</v>
      </c>
      <c r="T335" s="5">
        <v>8.2299999999999998E-2</v>
      </c>
      <c r="U335" s="10">
        <v>3.0000000000000001E-3</v>
      </c>
    </row>
    <row r="336" spans="1:21" customFormat="1">
      <c r="A336">
        <v>2</v>
      </c>
      <c r="B336">
        <v>31</v>
      </c>
      <c r="C336">
        <v>2</v>
      </c>
      <c r="D336">
        <v>3</v>
      </c>
      <c r="E336">
        <v>2020</v>
      </c>
      <c r="F336">
        <v>6111</v>
      </c>
      <c r="G336" t="str">
        <f>VLOOKUP(F336,'[1]Sheet 1'!$B$2:$E$347,2,FALSE)</f>
        <v>Libertador General Bernardo O'Higgins</v>
      </c>
      <c r="H336" t="str">
        <f>VLOOKUP(F336,'[1]Sheet 1'!$B$2:$E$347,3,FALSE)</f>
        <v>Cachapoal</v>
      </c>
      <c r="I336" t="str">
        <f>VLOOKUP(F336,'[1]Sheet 1'!$B$2:$E$347,4,FALSE)</f>
        <v>Olivar</v>
      </c>
      <c r="J336" t="s">
        <v>136</v>
      </c>
      <c r="K336" s="3" t="s">
        <v>0</v>
      </c>
      <c r="L336" s="12" t="str">
        <f>VLOOKUP(K336,[2]Hoja4!$A$2:$C$443,2,FALSE)</f>
        <v>Intentional self-harm by hanging, strangulation and suffocation</v>
      </c>
      <c r="M336" s="12" t="str">
        <f>VLOOKUP(K336,[2]Hoja4!$A$2:$C$443,3,FALSE)</f>
        <v>Unspecified place</v>
      </c>
      <c r="N336" s="1">
        <v>11.7</v>
      </c>
      <c r="O336" s="1">
        <v>30.2</v>
      </c>
      <c r="P336" s="1">
        <v>21</v>
      </c>
      <c r="Q336" s="1">
        <v>958.4</v>
      </c>
      <c r="R336" s="1">
        <v>0</v>
      </c>
      <c r="S336" s="1">
        <v>62.5</v>
      </c>
      <c r="T336" s="5">
        <v>8.2299999999999998E-2</v>
      </c>
      <c r="U336" s="10">
        <v>3.0000000000000001E-3</v>
      </c>
    </row>
    <row r="337" spans="1:21" customFormat="1">
      <c r="A337">
        <v>2</v>
      </c>
      <c r="B337">
        <v>18</v>
      </c>
      <c r="C337">
        <v>2</v>
      </c>
      <c r="D337">
        <v>3</v>
      </c>
      <c r="E337">
        <v>2020</v>
      </c>
      <c r="F337">
        <v>13201</v>
      </c>
      <c r="G337" t="str">
        <f>VLOOKUP(F337,'[1]Sheet 1'!$B$2:$E$347,2,FALSE)</f>
        <v>Metropolitana de Santiago</v>
      </c>
      <c r="H337" t="str">
        <f>VLOOKUP(F337,'[1]Sheet 1'!$B$2:$E$347,3,FALSE)</f>
        <v>Cordillera</v>
      </c>
      <c r="I337" t="str">
        <f>VLOOKUP(F337,'[1]Sheet 1'!$B$2:$E$347,4,FALSE)</f>
        <v>Puente Alto</v>
      </c>
      <c r="J337" t="s">
        <v>136</v>
      </c>
      <c r="K337" s="3" t="s">
        <v>0</v>
      </c>
      <c r="L337" s="12" t="str">
        <f>VLOOKUP(K337,[2]Hoja4!$A$2:$C$443,2,FALSE)</f>
        <v>Intentional self-harm by hanging, strangulation and suffocation</v>
      </c>
      <c r="M337" s="12" t="str">
        <f>VLOOKUP(K337,[2]Hoja4!$A$2:$C$443,3,FALSE)</f>
        <v>Unspecified place</v>
      </c>
      <c r="N337" s="1">
        <v>9.9</v>
      </c>
      <c r="O337" s="1">
        <v>30.6</v>
      </c>
      <c r="P337" s="1">
        <v>20</v>
      </c>
      <c r="Q337" s="1">
        <v>938.7</v>
      </c>
      <c r="R337" s="1">
        <v>0</v>
      </c>
      <c r="S337" s="1">
        <v>58.1</v>
      </c>
      <c r="T337" s="5">
        <v>8.2299999999999998E-2</v>
      </c>
      <c r="U337" s="10">
        <v>3.0000000000000001E-3</v>
      </c>
    </row>
    <row r="338" spans="1:21" customFormat="1">
      <c r="A338">
        <v>1</v>
      </c>
      <c r="B338">
        <v>83</v>
      </c>
      <c r="C338">
        <v>3</v>
      </c>
      <c r="D338">
        <v>3</v>
      </c>
      <c r="E338">
        <v>2020</v>
      </c>
      <c r="F338">
        <v>15101</v>
      </c>
      <c r="G338" t="str">
        <f>VLOOKUP(F338,'[1]Sheet 1'!$B$2:$E$347,2,FALSE)</f>
        <v>Arica y Parinacota</v>
      </c>
      <c r="H338" t="str">
        <f>VLOOKUP(F338,'[1]Sheet 1'!$B$2:$E$347,3,FALSE)</f>
        <v>Arica</v>
      </c>
      <c r="I338" t="str">
        <f>VLOOKUP(F338,'[1]Sheet 1'!$B$2:$E$347,4,FALSE)</f>
        <v>Arica</v>
      </c>
      <c r="J338" t="s">
        <v>142</v>
      </c>
      <c r="K338" s="3" t="s">
        <v>5</v>
      </c>
      <c r="L338" s="12" t="str">
        <f>VLOOKUP(K338,[2]Hoja4!$A$2:$C$443,2,FALSE)</f>
        <v>Intentional self-harm by other and unspecified firearm discharge</v>
      </c>
      <c r="M338" s="12" t="str">
        <f>VLOOKUP(K338,[2]Hoja4!$A$2:$C$443,3,FALSE)</f>
        <v>At home</v>
      </c>
      <c r="N338" s="1">
        <v>20.6</v>
      </c>
      <c r="O338" s="1">
        <v>26.4</v>
      </c>
      <c r="P338" s="1">
        <v>23.5</v>
      </c>
      <c r="Q338" s="1">
        <v>1008.2</v>
      </c>
      <c r="R338" s="1">
        <v>0</v>
      </c>
      <c r="S338" s="1">
        <v>66.7</v>
      </c>
      <c r="T338" s="5">
        <v>8.2299999999999998E-2</v>
      </c>
      <c r="U338" s="10">
        <v>3.0000000000000001E-3</v>
      </c>
    </row>
    <row r="339" spans="1:21" customFormat="1">
      <c r="A339">
        <v>1</v>
      </c>
      <c r="B339">
        <v>60</v>
      </c>
      <c r="C339">
        <v>3</v>
      </c>
      <c r="D339">
        <v>3</v>
      </c>
      <c r="E339">
        <v>2020</v>
      </c>
      <c r="F339">
        <v>13103</v>
      </c>
      <c r="G339" t="str">
        <f>VLOOKUP(F339,'[1]Sheet 1'!$B$2:$E$347,2,FALSE)</f>
        <v>Metropolitana de Santiago</v>
      </c>
      <c r="H339" t="str">
        <f>VLOOKUP(F339,'[1]Sheet 1'!$B$2:$E$347,3,FALSE)</f>
        <v>Santiago</v>
      </c>
      <c r="I339" t="str">
        <f>VLOOKUP(F339,'[1]Sheet 1'!$B$2:$E$347,4,FALSE)</f>
        <v>Cerro Navia</v>
      </c>
      <c r="J339" t="s">
        <v>136</v>
      </c>
      <c r="K339" s="3" t="s">
        <v>0</v>
      </c>
      <c r="L339" s="12" t="str">
        <f>VLOOKUP(K339,[2]Hoja4!$A$2:$C$443,2,FALSE)</f>
        <v>Intentional self-harm by hanging, strangulation and suffocation</v>
      </c>
      <c r="M339" s="12" t="str">
        <f>VLOOKUP(K339,[2]Hoja4!$A$2:$C$443,3,FALSE)</f>
        <v>Unspecified place</v>
      </c>
      <c r="N339" s="1">
        <v>12.6</v>
      </c>
      <c r="O339" s="1">
        <v>31.9</v>
      </c>
      <c r="P339" s="1">
        <v>21.3</v>
      </c>
      <c r="Q339" s="1">
        <v>953.7</v>
      </c>
      <c r="R339" s="1"/>
      <c r="S339" s="1">
        <v>59.8</v>
      </c>
      <c r="T339" s="5">
        <v>8.2299999999999998E-2</v>
      </c>
      <c r="U339" s="10">
        <v>3.0000000000000001E-3</v>
      </c>
    </row>
    <row r="340" spans="1:21" customFormat="1">
      <c r="A340">
        <v>1</v>
      </c>
      <c r="B340">
        <v>25</v>
      </c>
      <c r="C340">
        <v>3</v>
      </c>
      <c r="D340">
        <v>3</v>
      </c>
      <c r="E340">
        <v>2020</v>
      </c>
      <c r="F340">
        <v>10101</v>
      </c>
      <c r="G340" t="str">
        <f>VLOOKUP(F340,'[1]Sheet 1'!$B$2:$E$347,2,FALSE)</f>
        <v>Los Lagos</v>
      </c>
      <c r="H340" t="str">
        <f>VLOOKUP(F340,'[1]Sheet 1'!$B$2:$E$347,3,FALSE)</f>
        <v>Llanquihue</v>
      </c>
      <c r="I340" t="str">
        <f>VLOOKUP(F340,'[1]Sheet 1'!$B$2:$E$347,4,FALSE)</f>
        <v>Puerto Montt</v>
      </c>
      <c r="J340" t="s">
        <v>136</v>
      </c>
      <c r="K340" s="3" t="s">
        <v>4</v>
      </c>
      <c r="L340" s="12" t="str">
        <f>VLOOKUP(K340,[2]Hoja4!$A$2:$C$443,2,FALSE)</f>
        <v>Intentional self-harm by hanging, strangulation and suffocation</v>
      </c>
      <c r="M340" s="12" t="str">
        <f>VLOOKUP(K340,[2]Hoja4!$A$2:$C$443,3,FALSE)</f>
        <v>At home</v>
      </c>
      <c r="N340" s="1">
        <v>4.0999999999999996</v>
      </c>
      <c r="O340" s="1">
        <v>22.2</v>
      </c>
      <c r="P340" s="1">
        <v>12.8</v>
      </c>
      <c r="Q340" s="1">
        <v>1006.5</v>
      </c>
      <c r="R340" s="1">
        <v>0</v>
      </c>
      <c r="S340" s="1">
        <v>81.8</v>
      </c>
      <c r="T340" s="5">
        <v>8.2299999999999998E-2</v>
      </c>
      <c r="U340" s="10">
        <v>3.0000000000000001E-3</v>
      </c>
    </row>
    <row r="341" spans="1:21" customFormat="1">
      <c r="A341">
        <v>1</v>
      </c>
      <c r="B341">
        <v>73</v>
      </c>
      <c r="C341">
        <v>4</v>
      </c>
      <c r="D341">
        <v>3</v>
      </c>
      <c r="E341">
        <v>2020</v>
      </c>
      <c r="F341">
        <v>13124</v>
      </c>
      <c r="G341" t="str">
        <f>VLOOKUP(F341,'[1]Sheet 1'!$B$2:$E$347,2,FALSE)</f>
        <v>Metropolitana de Santiago</v>
      </c>
      <c r="H341" t="str">
        <f>VLOOKUP(F341,'[1]Sheet 1'!$B$2:$E$347,3,FALSE)</f>
        <v>Santiago</v>
      </c>
      <c r="I341" t="str">
        <f>VLOOKUP(F341,'[1]Sheet 1'!$B$2:$E$347,4,FALSE)</f>
        <v>Pudahuel</v>
      </c>
      <c r="J341" t="s">
        <v>136</v>
      </c>
      <c r="K341" s="3" t="s">
        <v>0</v>
      </c>
      <c r="L341" s="12" t="str">
        <f>VLOOKUP(K341,[2]Hoja4!$A$2:$C$443,2,FALSE)</f>
        <v>Intentional self-harm by hanging, strangulation and suffocation</v>
      </c>
      <c r="M341" s="12" t="str">
        <f>VLOOKUP(K341,[2]Hoja4!$A$2:$C$443,3,FALSE)</f>
        <v>Unspecified place</v>
      </c>
      <c r="N341" s="1">
        <v>13.1</v>
      </c>
      <c r="O341" s="1">
        <v>32.1</v>
      </c>
      <c r="P341" s="1">
        <v>21.5</v>
      </c>
      <c r="Q341" s="1">
        <v>953.6</v>
      </c>
      <c r="R341" s="1"/>
      <c r="S341" s="1">
        <v>58</v>
      </c>
      <c r="T341" s="5">
        <v>8.2299999999999998E-2</v>
      </c>
      <c r="U341" s="10">
        <v>3.0000000000000001E-3</v>
      </c>
    </row>
    <row r="342" spans="1:21" customFormat="1">
      <c r="A342">
        <v>1</v>
      </c>
      <c r="B342">
        <v>70</v>
      </c>
      <c r="C342">
        <v>4</v>
      </c>
      <c r="D342">
        <v>3</v>
      </c>
      <c r="E342">
        <v>2020</v>
      </c>
      <c r="F342">
        <v>8112</v>
      </c>
      <c r="G342" t="str">
        <f>VLOOKUP(F342,'[1]Sheet 1'!$B$2:$E$347,2,FALSE)</f>
        <v>Biobío</v>
      </c>
      <c r="H342" t="str">
        <f>VLOOKUP(F342,'[1]Sheet 1'!$B$2:$E$347,3,FALSE)</f>
        <v>Concepción</v>
      </c>
      <c r="I342" t="str">
        <f>VLOOKUP(F342,'[1]Sheet 1'!$B$2:$E$347,4,FALSE)</f>
        <v>Hualpén</v>
      </c>
      <c r="J342" t="s">
        <v>155</v>
      </c>
      <c r="K342" s="3" t="s">
        <v>7</v>
      </c>
      <c r="L342" s="12" t="str">
        <f>VLOOKUP(K342,[2]Hoja4!$A$2:$C$443,2,FALSE)</f>
        <v>Intentional self-harm by drowning and submersion</v>
      </c>
      <c r="M342" s="12" t="str">
        <f>VLOOKUP(K342,[2]Hoja4!$A$2:$C$443,3,FALSE)</f>
        <v>Other specified places</v>
      </c>
      <c r="N342" s="1">
        <v>11</v>
      </c>
      <c r="O342" s="1">
        <v>23.9</v>
      </c>
      <c r="P342" s="1">
        <v>17.3</v>
      </c>
      <c r="Q342" s="1">
        <v>1013.9</v>
      </c>
      <c r="R342" s="1">
        <v>0</v>
      </c>
      <c r="S342" s="1">
        <v>82.2</v>
      </c>
      <c r="T342" s="5">
        <v>8.2299999999999998E-2</v>
      </c>
      <c r="U342" s="10">
        <v>3.0000000000000001E-3</v>
      </c>
    </row>
    <row r="343" spans="1:21" customFormat="1">
      <c r="A343">
        <v>1</v>
      </c>
      <c r="B343">
        <v>73</v>
      </c>
      <c r="C343">
        <v>4</v>
      </c>
      <c r="D343">
        <v>3</v>
      </c>
      <c r="E343">
        <v>2020</v>
      </c>
      <c r="F343">
        <v>13105</v>
      </c>
      <c r="G343" t="str">
        <f>VLOOKUP(F343,'[1]Sheet 1'!$B$2:$E$347,2,FALSE)</f>
        <v>Metropolitana de Santiago</v>
      </c>
      <c r="H343" t="str">
        <f>VLOOKUP(F343,'[1]Sheet 1'!$B$2:$E$347,3,FALSE)</f>
        <v>Santiago</v>
      </c>
      <c r="I343" t="str">
        <f>VLOOKUP(F343,'[1]Sheet 1'!$B$2:$E$347,4,FALSE)</f>
        <v>El Bosque</v>
      </c>
      <c r="J343" t="s">
        <v>136</v>
      </c>
      <c r="K343" s="3" t="s">
        <v>0</v>
      </c>
      <c r="L343" s="12" t="str">
        <f>VLOOKUP(K343,[2]Hoja4!$A$2:$C$443,2,FALSE)</f>
        <v>Intentional self-harm by hanging, strangulation and suffocation</v>
      </c>
      <c r="M343" s="12" t="str">
        <f>VLOOKUP(K343,[2]Hoja4!$A$2:$C$443,3,FALSE)</f>
        <v>Unspecified place</v>
      </c>
      <c r="N343" s="1">
        <v>13.1</v>
      </c>
      <c r="O343" s="1">
        <v>32.1</v>
      </c>
      <c r="P343" s="1">
        <v>21.5</v>
      </c>
      <c r="Q343" s="1">
        <v>953.6</v>
      </c>
      <c r="R343" s="1"/>
      <c r="S343" s="1">
        <v>58</v>
      </c>
      <c r="T343" s="5">
        <v>8.2299999999999998E-2</v>
      </c>
      <c r="U343" s="10">
        <v>3.0000000000000001E-3</v>
      </c>
    </row>
    <row r="344" spans="1:21" customFormat="1">
      <c r="A344">
        <v>1</v>
      </c>
      <c r="B344">
        <v>48</v>
      </c>
      <c r="C344">
        <v>4</v>
      </c>
      <c r="D344">
        <v>3</v>
      </c>
      <c r="E344">
        <v>2020</v>
      </c>
      <c r="F344">
        <v>13201</v>
      </c>
      <c r="G344" t="str">
        <f>VLOOKUP(F344,'[1]Sheet 1'!$B$2:$E$347,2,FALSE)</f>
        <v>Metropolitana de Santiago</v>
      </c>
      <c r="H344" t="str">
        <f>VLOOKUP(F344,'[1]Sheet 1'!$B$2:$E$347,3,FALSE)</f>
        <v>Cordillera</v>
      </c>
      <c r="I344" t="str">
        <f>VLOOKUP(F344,'[1]Sheet 1'!$B$2:$E$347,4,FALSE)</f>
        <v>Puente Alto</v>
      </c>
      <c r="J344" t="s">
        <v>136</v>
      </c>
      <c r="K344" s="3" t="s">
        <v>0</v>
      </c>
      <c r="L344" s="12" t="str">
        <f>VLOOKUP(K344,[2]Hoja4!$A$2:$C$443,2,FALSE)</f>
        <v>Intentional self-harm by hanging, strangulation and suffocation</v>
      </c>
      <c r="M344" s="12" t="str">
        <f>VLOOKUP(K344,[2]Hoja4!$A$2:$C$443,3,FALSE)</f>
        <v>Unspecified place</v>
      </c>
      <c r="N344" s="1">
        <v>9.5</v>
      </c>
      <c r="O344" s="1">
        <v>32.799999999999997</v>
      </c>
      <c r="P344" s="1">
        <v>20.6</v>
      </c>
      <c r="Q344" s="1">
        <v>937.5</v>
      </c>
      <c r="R344" s="1">
        <v>0</v>
      </c>
      <c r="S344" s="1">
        <v>59.8</v>
      </c>
      <c r="T344" s="5">
        <v>8.2299999999999998E-2</v>
      </c>
      <c r="U344" s="10">
        <v>3.0000000000000001E-3</v>
      </c>
    </row>
    <row r="345" spans="1:21" customFormat="1">
      <c r="A345">
        <v>1</v>
      </c>
      <c r="B345">
        <v>24</v>
      </c>
      <c r="C345">
        <v>4</v>
      </c>
      <c r="D345">
        <v>3</v>
      </c>
      <c r="E345">
        <v>2020</v>
      </c>
      <c r="F345">
        <v>9207</v>
      </c>
      <c r="G345" t="str">
        <f>VLOOKUP(F345,'[1]Sheet 1'!$B$2:$E$347,2,FALSE)</f>
        <v>La Araucanía</v>
      </c>
      <c r="H345" t="str">
        <f>VLOOKUP(F345,'[1]Sheet 1'!$B$2:$E$347,3,FALSE)</f>
        <v>Malleco</v>
      </c>
      <c r="I345" t="str">
        <f>VLOOKUP(F345,'[1]Sheet 1'!$B$2:$E$347,4,FALSE)</f>
        <v>Lumaco</v>
      </c>
      <c r="J345" t="s">
        <v>136</v>
      </c>
      <c r="K345" s="3" t="s">
        <v>4</v>
      </c>
      <c r="L345" s="12" t="str">
        <f>VLOOKUP(K345,[2]Hoja4!$A$2:$C$443,2,FALSE)</f>
        <v>Intentional self-harm by hanging, strangulation and suffocation</v>
      </c>
      <c r="M345" s="12" t="str">
        <f>VLOOKUP(K345,[2]Hoja4!$A$2:$C$443,3,FALSE)</f>
        <v>At home</v>
      </c>
      <c r="N345" s="1">
        <v>9.8000000000000007</v>
      </c>
      <c r="O345" s="1">
        <v>31.1</v>
      </c>
      <c r="P345" s="1">
        <v>21</v>
      </c>
      <c r="Q345" s="1">
        <v>1007.1</v>
      </c>
      <c r="R345" s="1">
        <v>0</v>
      </c>
      <c r="S345" s="1">
        <v>51.6</v>
      </c>
      <c r="T345" s="5">
        <v>8.2299999999999998E-2</v>
      </c>
      <c r="U345" s="10">
        <v>3.0000000000000001E-3</v>
      </c>
    </row>
    <row r="346" spans="1:21" customFormat="1">
      <c r="A346">
        <v>1</v>
      </c>
      <c r="B346">
        <v>60</v>
      </c>
      <c r="C346">
        <v>5</v>
      </c>
      <c r="D346">
        <v>3</v>
      </c>
      <c r="E346">
        <v>2020</v>
      </c>
      <c r="F346">
        <v>8205</v>
      </c>
      <c r="G346" t="str">
        <f>VLOOKUP(F346,'[1]Sheet 1'!$B$2:$E$347,2,FALSE)</f>
        <v>Biobío</v>
      </c>
      <c r="H346" t="str">
        <f>VLOOKUP(F346,'[1]Sheet 1'!$B$2:$E$347,3,FALSE)</f>
        <v>Arauco</v>
      </c>
      <c r="I346" t="str">
        <f>VLOOKUP(F346,'[1]Sheet 1'!$B$2:$E$347,4,FALSE)</f>
        <v>Curanilahue</v>
      </c>
      <c r="J346" t="s">
        <v>136</v>
      </c>
      <c r="K346" s="3" t="s">
        <v>4</v>
      </c>
      <c r="L346" s="12" t="str">
        <f>VLOOKUP(K346,[2]Hoja4!$A$2:$C$443,2,FALSE)</f>
        <v>Intentional self-harm by hanging, strangulation and suffocation</v>
      </c>
      <c r="M346" s="12" t="str">
        <f>VLOOKUP(K346,[2]Hoja4!$A$2:$C$443,3,FALSE)</f>
        <v>At home</v>
      </c>
      <c r="N346" s="1">
        <v>13.1</v>
      </c>
      <c r="O346" s="1">
        <v>24.5</v>
      </c>
      <c r="P346" s="1">
        <v>18.600000000000001</v>
      </c>
      <c r="Q346" s="1">
        <v>1013.6</v>
      </c>
      <c r="R346" s="1">
        <v>0</v>
      </c>
      <c r="S346" s="1">
        <v>72.2</v>
      </c>
      <c r="T346" s="5">
        <v>8.2299999999999998E-2</v>
      </c>
      <c r="U346" s="10">
        <v>3.0000000000000001E-3</v>
      </c>
    </row>
    <row r="347" spans="1:21" customFormat="1">
      <c r="A347">
        <v>1</v>
      </c>
      <c r="B347">
        <v>58</v>
      </c>
      <c r="C347">
        <v>5</v>
      </c>
      <c r="D347">
        <v>3</v>
      </c>
      <c r="E347">
        <v>2020</v>
      </c>
      <c r="F347">
        <v>7108</v>
      </c>
      <c r="G347" t="str">
        <f>VLOOKUP(F347,'[1]Sheet 1'!$B$2:$E$347,2,FALSE)</f>
        <v>Maule</v>
      </c>
      <c r="H347" t="str">
        <f>VLOOKUP(F347,'[1]Sheet 1'!$B$2:$E$347,3,FALSE)</f>
        <v>Talca</v>
      </c>
      <c r="I347" t="str">
        <f>VLOOKUP(F347,'[1]Sheet 1'!$B$2:$E$347,4,FALSE)</f>
        <v>Río Claro</v>
      </c>
      <c r="J347" t="s">
        <v>146</v>
      </c>
      <c r="K347" s="3" t="s">
        <v>23</v>
      </c>
      <c r="L347" s="12" t="str">
        <f>VLOOKUP(K347,[2]Hoja4!$A$2:$C$443,2,FALSE)</f>
        <v>Intentional self-poisoning by and exposure to pesticides</v>
      </c>
      <c r="M347" s="12" t="str">
        <f>VLOOKUP(K347,[2]Hoja4!$A$2:$C$443,3,FALSE)</f>
        <v>At home</v>
      </c>
      <c r="N347" s="1">
        <v>15.4</v>
      </c>
      <c r="O347" s="1">
        <v>32.9</v>
      </c>
      <c r="P347" s="1">
        <v>23.6</v>
      </c>
      <c r="Q347" s="1">
        <v>999.8</v>
      </c>
      <c r="R347" s="1">
        <v>0</v>
      </c>
      <c r="S347" s="1">
        <v>49.2</v>
      </c>
      <c r="T347" s="5">
        <v>8.2299999999999998E-2</v>
      </c>
      <c r="U347" s="10">
        <v>3.0000000000000001E-3</v>
      </c>
    </row>
    <row r="348" spans="1:21" customFormat="1">
      <c r="A348">
        <v>2</v>
      </c>
      <c r="B348">
        <v>37</v>
      </c>
      <c r="C348">
        <v>5</v>
      </c>
      <c r="D348">
        <v>3</v>
      </c>
      <c r="E348">
        <v>2020</v>
      </c>
      <c r="F348">
        <v>14108</v>
      </c>
      <c r="G348" t="str">
        <f>VLOOKUP(F348,'[1]Sheet 1'!$B$2:$E$347,2,FALSE)</f>
        <v>Los Ríos</v>
      </c>
      <c r="H348" t="str">
        <f>VLOOKUP(F348,'[1]Sheet 1'!$B$2:$E$347,3,FALSE)</f>
        <v>Valdivia</v>
      </c>
      <c r="I348" t="str">
        <f>VLOOKUP(F348,'[1]Sheet 1'!$B$2:$E$347,4,FALSE)</f>
        <v>Panguipulli</v>
      </c>
      <c r="J348" t="s">
        <v>136</v>
      </c>
      <c r="K348" s="3" t="s">
        <v>0</v>
      </c>
      <c r="L348" s="12" t="str">
        <f>VLOOKUP(K348,[2]Hoja4!$A$2:$C$443,2,FALSE)</f>
        <v>Intentional self-harm by hanging, strangulation and suffocation</v>
      </c>
      <c r="M348" s="12" t="str">
        <f>VLOOKUP(K348,[2]Hoja4!$A$2:$C$443,3,FALSE)</f>
        <v>Unspecified place</v>
      </c>
      <c r="N348" s="1">
        <v>11</v>
      </c>
      <c r="O348" s="1">
        <v>28.8</v>
      </c>
      <c r="P348" s="1">
        <v>19</v>
      </c>
      <c r="Q348" s="1">
        <v>1015.2</v>
      </c>
      <c r="R348" s="1">
        <v>0</v>
      </c>
      <c r="S348" s="1">
        <v>74.5</v>
      </c>
      <c r="T348" s="5">
        <v>8.2299999999999998E-2</v>
      </c>
      <c r="U348" s="10">
        <v>3.0000000000000001E-3</v>
      </c>
    </row>
    <row r="349" spans="1:21" customFormat="1">
      <c r="A349">
        <v>1</v>
      </c>
      <c r="B349">
        <v>63</v>
      </c>
      <c r="C349">
        <v>6</v>
      </c>
      <c r="D349">
        <v>3</v>
      </c>
      <c r="E349">
        <v>2020</v>
      </c>
      <c r="F349">
        <v>5601</v>
      </c>
      <c r="G349" t="str">
        <f>VLOOKUP(F349,'[1]Sheet 1'!$B$2:$E$347,2,FALSE)</f>
        <v>Valparaíso</v>
      </c>
      <c r="H349" t="str">
        <f>VLOOKUP(F349,'[1]Sheet 1'!$B$2:$E$347,3,FALSE)</f>
        <v>San Antonio</v>
      </c>
      <c r="I349" t="str">
        <f>VLOOKUP(F349,'[1]Sheet 1'!$B$2:$E$347,4,FALSE)</f>
        <v>San Antonio</v>
      </c>
      <c r="J349" t="s">
        <v>136</v>
      </c>
      <c r="K349" s="3" t="s">
        <v>0</v>
      </c>
      <c r="L349" s="12" t="str">
        <f>VLOOKUP(K349,[2]Hoja4!$A$2:$C$443,2,FALSE)</f>
        <v>Intentional self-harm by hanging, strangulation and suffocation</v>
      </c>
      <c r="M349" s="12" t="str">
        <f>VLOOKUP(K349,[2]Hoja4!$A$2:$C$443,3,FALSE)</f>
        <v>Unspecified place</v>
      </c>
      <c r="N349" s="1">
        <v>12.5</v>
      </c>
      <c r="O349" s="1">
        <v>21</v>
      </c>
      <c r="P349" s="1">
        <v>16.899999999999999</v>
      </c>
      <c r="Q349" s="1">
        <v>1007.3</v>
      </c>
      <c r="R349" s="1">
        <v>0</v>
      </c>
      <c r="S349" s="1">
        <v>87.8</v>
      </c>
      <c r="T349" s="5">
        <v>8.2299999999999998E-2</v>
      </c>
      <c r="U349" s="10">
        <v>3.0000000000000001E-3</v>
      </c>
    </row>
    <row r="350" spans="1:21" customFormat="1">
      <c r="A350">
        <v>1</v>
      </c>
      <c r="B350">
        <v>38</v>
      </c>
      <c r="C350">
        <v>6</v>
      </c>
      <c r="D350">
        <v>3</v>
      </c>
      <c r="E350">
        <v>2020</v>
      </c>
      <c r="F350">
        <v>13123</v>
      </c>
      <c r="G350" t="str">
        <f>VLOOKUP(F350,'[1]Sheet 1'!$B$2:$E$347,2,FALSE)</f>
        <v>Metropolitana de Santiago</v>
      </c>
      <c r="H350" t="str">
        <f>VLOOKUP(F350,'[1]Sheet 1'!$B$2:$E$347,3,FALSE)</f>
        <v>Santiago</v>
      </c>
      <c r="I350" t="str">
        <f>VLOOKUP(F350,'[1]Sheet 1'!$B$2:$E$347,4,FALSE)</f>
        <v>Providencia</v>
      </c>
      <c r="J350" t="s">
        <v>136</v>
      </c>
      <c r="K350" s="3" t="s">
        <v>13</v>
      </c>
      <c r="L350" s="12" t="str">
        <f>VLOOKUP(K350,[2]Hoja4!$A$2:$C$443,2,FALSE)</f>
        <v>Intentional self-harm by hanging, strangulation and suffocation</v>
      </c>
      <c r="M350" s="12" t="str">
        <f>VLOOKUP(K350,[2]Hoja4!$A$2:$C$443,3,FALSE)</f>
        <v>Other specified places</v>
      </c>
      <c r="N350" s="1">
        <v>14.8</v>
      </c>
      <c r="O350" s="1">
        <v>30.7</v>
      </c>
      <c r="P350" s="1">
        <v>23</v>
      </c>
      <c r="Q350" s="1">
        <v>953.4</v>
      </c>
      <c r="R350" s="1"/>
      <c r="S350" s="1">
        <v>54.2</v>
      </c>
      <c r="T350" s="5">
        <v>8.2299999999999998E-2</v>
      </c>
      <c r="U350" s="10">
        <v>3.0000000000000001E-3</v>
      </c>
    </row>
    <row r="351" spans="1:21" customFormat="1">
      <c r="A351">
        <v>1</v>
      </c>
      <c r="B351">
        <v>44</v>
      </c>
      <c r="C351">
        <v>6</v>
      </c>
      <c r="D351">
        <v>3</v>
      </c>
      <c r="E351">
        <v>2020</v>
      </c>
      <c r="F351">
        <v>16101</v>
      </c>
      <c r="G351" t="str">
        <f>VLOOKUP(F351,'[1]Sheet 1'!$B$2:$E$347,2,FALSE)</f>
        <v>Ñuble</v>
      </c>
      <c r="H351" t="str">
        <f>VLOOKUP(F351,'[1]Sheet 1'!$B$2:$E$347,3,FALSE)</f>
        <v>Diguillín</v>
      </c>
      <c r="I351" t="str">
        <f>VLOOKUP(F351,'[1]Sheet 1'!$B$2:$E$347,4,FALSE)</f>
        <v>Chillán</v>
      </c>
      <c r="J351" t="s">
        <v>136</v>
      </c>
      <c r="K351" s="3" t="s">
        <v>4</v>
      </c>
      <c r="L351" s="12" t="str">
        <f>VLOOKUP(K351,[2]Hoja4!$A$2:$C$443,2,FALSE)</f>
        <v>Intentional self-harm by hanging, strangulation and suffocation</v>
      </c>
      <c r="M351" s="12" t="str">
        <f>VLOOKUP(K351,[2]Hoja4!$A$2:$C$443,3,FALSE)</f>
        <v>At home</v>
      </c>
      <c r="N351" s="1">
        <v>14.6</v>
      </c>
      <c r="O351" s="1">
        <v>33.4</v>
      </c>
      <c r="P351" s="1">
        <v>23.2</v>
      </c>
      <c r="Q351" s="1">
        <v>995.1</v>
      </c>
      <c r="R351" s="1">
        <v>0</v>
      </c>
      <c r="S351" s="1">
        <v>51.8</v>
      </c>
      <c r="T351" s="5">
        <v>8.2299999999999998E-2</v>
      </c>
      <c r="U351" s="10">
        <v>3.0000000000000001E-3</v>
      </c>
    </row>
    <row r="352" spans="1:21" customFormat="1">
      <c r="A352">
        <v>1</v>
      </c>
      <c r="B352">
        <v>33</v>
      </c>
      <c r="C352">
        <v>6</v>
      </c>
      <c r="D352">
        <v>3</v>
      </c>
      <c r="E352">
        <v>2020</v>
      </c>
      <c r="F352">
        <v>13111</v>
      </c>
      <c r="G352" t="str">
        <f>VLOOKUP(F352,'[1]Sheet 1'!$B$2:$E$347,2,FALSE)</f>
        <v>Metropolitana de Santiago</v>
      </c>
      <c r="H352" t="str">
        <f>VLOOKUP(F352,'[1]Sheet 1'!$B$2:$E$347,3,FALSE)</f>
        <v>Santiago</v>
      </c>
      <c r="I352" t="str">
        <f>VLOOKUP(F352,'[1]Sheet 1'!$B$2:$E$347,4,FALSE)</f>
        <v>La Granja</v>
      </c>
      <c r="J352" t="s">
        <v>136</v>
      </c>
      <c r="K352" s="3" t="s">
        <v>0</v>
      </c>
      <c r="L352" s="12" t="str">
        <f>VLOOKUP(K352,[2]Hoja4!$A$2:$C$443,2,FALSE)</f>
        <v>Intentional self-harm by hanging, strangulation and suffocation</v>
      </c>
      <c r="M352" s="12" t="str">
        <f>VLOOKUP(K352,[2]Hoja4!$A$2:$C$443,3,FALSE)</f>
        <v>Unspecified place</v>
      </c>
      <c r="N352" s="1">
        <v>14.8</v>
      </c>
      <c r="O352" s="1">
        <v>30.7</v>
      </c>
      <c r="P352" s="1">
        <v>23</v>
      </c>
      <c r="Q352" s="1">
        <v>953.4</v>
      </c>
      <c r="R352" s="1"/>
      <c r="S352" s="1">
        <v>54.2</v>
      </c>
      <c r="T352" s="5">
        <v>8.2299999999999998E-2</v>
      </c>
      <c r="U352" s="10">
        <v>3.0000000000000001E-3</v>
      </c>
    </row>
    <row r="353" spans="1:21" customFormat="1">
      <c r="A353">
        <v>1</v>
      </c>
      <c r="B353">
        <v>24</v>
      </c>
      <c r="C353">
        <v>6</v>
      </c>
      <c r="D353">
        <v>3</v>
      </c>
      <c r="E353">
        <v>2020</v>
      </c>
      <c r="F353">
        <v>5402</v>
      </c>
      <c r="G353" t="str">
        <f>VLOOKUP(F353,'[1]Sheet 1'!$B$2:$E$347,2,FALSE)</f>
        <v>Valparaíso</v>
      </c>
      <c r="H353" t="str">
        <f>VLOOKUP(F353,'[1]Sheet 1'!$B$2:$E$347,3,FALSE)</f>
        <v>Petorca</v>
      </c>
      <c r="I353" t="str">
        <f>VLOOKUP(F353,'[1]Sheet 1'!$B$2:$E$347,4,FALSE)</f>
        <v>Cabildo</v>
      </c>
      <c r="J353" t="s">
        <v>136</v>
      </c>
      <c r="K353" s="3" t="s">
        <v>0</v>
      </c>
      <c r="L353" s="12" t="str">
        <f>VLOOKUP(K353,[2]Hoja4!$A$2:$C$443,2,FALSE)</f>
        <v>Intentional self-harm by hanging, strangulation and suffocation</v>
      </c>
      <c r="M353" s="12" t="str">
        <f>VLOOKUP(K353,[2]Hoja4!$A$2:$C$443,3,FALSE)</f>
        <v>Unspecified place</v>
      </c>
      <c r="N353" s="1">
        <v>16.399999999999999</v>
      </c>
      <c r="O353" s="1">
        <v>25.1</v>
      </c>
      <c r="P353" s="1">
        <v>20.8</v>
      </c>
      <c r="Q353" s="1">
        <v>1016.7</v>
      </c>
      <c r="R353" s="1">
        <v>0</v>
      </c>
      <c r="S353" s="1">
        <v>78.5</v>
      </c>
      <c r="T353" s="5">
        <v>8.2299999999999998E-2</v>
      </c>
      <c r="U353" s="10">
        <v>3.0000000000000001E-3</v>
      </c>
    </row>
    <row r="354" spans="1:21" customFormat="1">
      <c r="A354">
        <v>1</v>
      </c>
      <c r="B354">
        <v>51</v>
      </c>
      <c r="C354">
        <v>7</v>
      </c>
      <c r="D354">
        <v>3</v>
      </c>
      <c r="E354">
        <v>2020</v>
      </c>
      <c r="F354">
        <v>12101</v>
      </c>
      <c r="G354" t="str">
        <f>VLOOKUP(F354,'[1]Sheet 1'!$B$2:$E$347,2,FALSE)</f>
        <v>Magallanes y de la Antártica Chilena</v>
      </c>
      <c r="H354" t="str">
        <f>VLOOKUP(F354,'[1]Sheet 1'!$B$2:$E$347,3,FALSE)</f>
        <v>Magallanes</v>
      </c>
      <c r="I354" t="str">
        <f>VLOOKUP(F354,'[1]Sheet 1'!$B$2:$E$347,4,FALSE)</f>
        <v>Punta Arenas</v>
      </c>
      <c r="J354" t="s">
        <v>136</v>
      </c>
      <c r="K354" s="3" t="s">
        <v>0</v>
      </c>
      <c r="L354" s="12" t="str">
        <f>VLOOKUP(K354,[2]Hoja4!$A$2:$C$443,2,FALSE)</f>
        <v>Intentional self-harm by hanging, strangulation and suffocation</v>
      </c>
      <c r="M354" s="12" t="str">
        <f>VLOOKUP(K354,[2]Hoja4!$A$2:$C$443,3,FALSE)</f>
        <v>Unspecified place</v>
      </c>
      <c r="N354" s="1">
        <v>4.4000000000000004</v>
      </c>
      <c r="O354" s="1" t="s">
        <v>75</v>
      </c>
      <c r="P354" s="1">
        <v>9</v>
      </c>
      <c r="Q354" s="1">
        <v>978.2</v>
      </c>
      <c r="R354" s="1">
        <v>0.2</v>
      </c>
      <c r="S354" s="1">
        <v>74.8</v>
      </c>
      <c r="T354" s="5">
        <v>8.2299999999999998E-2</v>
      </c>
      <c r="U354" s="10">
        <v>3.0000000000000001E-3</v>
      </c>
    </row>
    <row r="355" spans="1:21" customFormat="1">
      <c r="A355">
        <v>1</v>
      </c>
      <c r="B355">
        <v>45</v>
      </c>
      <c r="C355">
        <v>7</v>
      </c>
      <c r="D355">
        <v>3</v>
      </c>
      <c r="E355">
        <v>2020</v>
      </c>
      <c r="F355">
        <v>3101</v>
      </c>
      <c r="G355" t="str">
        <f>VLOOKUP(F355,'[1]Sheet 1'!$B$2:$E$347,2,FALSE)</f>
        <v>Atacama</v>
      </c>
      <c r="H355" t="str">
        <f>VLOOKUP(F355,'[1]Sheet 1'!$B$2:$E$347,3,FALSE)</f>
        <v>Copiapó</v>
      </c>
      <c r="I355" t="str">
        <f>VLOOKUP(F355,'[1]Sheet 1'!$B$2:$E$347,4,FALSE)</f>
        <v>Copiapó</v>
      </c>
      <c r="J355" t="s">
        <v>136</v>
      </c>
      <c r="K355" s="3" t="s">
        <v>0</v>
      </c>
      <c r="L355" s="12" t="str">
        <f>VLOOKUP(K355,[2]Hoja4!$A$2:$C$443,2,FALSE)</f>
        <v>Intentional self-harm by hanging, strangulation and suffocation</v>
      </c>
      <c r="M355" s="12" t="str">
        <f>VLOOKUP(K355,[2]Hoja4!$A$2:$C$443,3,FALSE)</f>
        <v>Unspecified place</v>
      </c>
      <c r="N355" s="1">
        <v>14.8</v>
      </c>
      <c r="O355" s="1">
        <v>25.8</v>
      </c>
      <c r="P355" s="1">
        <v>19.2</v>
      </c>
      <c r="Q355" s="1">
        <v>990.4</v>
      </c>
      <c r="R355" s="1">
        <v>0</v>
      </c>
      <c r="S355" s="1" t="s">
        <v>110</v>
      </c>
      <c r="T355" s="5">
        <v>8.2299999999999998E-2</v>
      </c>
      <c r="U355" s="10">
        <v>3.0000000000000001E-3</v>
      </c>
    </row>
    <row r="356" spans="1:21" customFormat="1">
      <c r="A356">
        <v>1</v>
      </c>
      <c r="B356">
        <v>35</v>
      </c>
      <c r="C356">
        <v>7</v>
      </c>
      <c r="D356">
        <v>3</v>
      </c>
      <c r="E356">
        <v>2020</v>
      </c>
      <c r="F356">
        <v>13117</v>
      </c>
      <c r="G356" t="str">
        <f>VLOOKUP(F356,'[1]Sheet 1'!$B$2:$E$347,2,FALSE)</f>
        <v>Metropolitana de Santiago</v>
      </c>
      <c r="H356" t="str">
        <f>VLOOKUP(F356,'[1]Sheet 1'!$B$2:$E$347,3,FALSE)</f>
        <v>Santiago</v>
      </c>
      <c r="I356" t="str">
        <f>VLOOKUP(F356,'[1]Sheet 1'!$B$2:$E$347,4,FALSE)</f>
        <v>Lo Prado</v>
      </c>
      <c r="J356" t="s">
        <v>136</v>
      </c>
      <c r="K356" s="3" t="s">
        <v>0</v>
      </c>
      <c r="L356" s="12" t="str">
        <f>VLOOKUP(K356,[2]Hoja4!$A$2:$C$443,2,FALSE)</f>
        <v>Intentional self-harm by hanging, strangulation and suffocation</v>
      </c>
      <c r="M356" s="12" t="str">
        <f>VLOOKUP(K356,[2]Hoja4!$A$2:$C$443,3,FALSE)</f>
        <v>Unspecified place</v>
      </c>
      <c r="N356" s="1">
        <v>13.4</v>
      </c>
      <c r="O356" s="1">
        <v>32</v>
      </c>
      <c r="P356" s="1">
        <v>21.8</v>
      </c>
      <c r="Q356" s="1">
        <v>953.2</v>
      </c>
      <c r="R356" s="1"/>
      <c r="S356" s="1">
        <v>76.5</v>
      </c>
      <c r="T356" s="5">
        <v>8.2299999999999998E-2</v>
      </c>
      <c r="U356" s="10">
        <v>3.0000000000000001E-3</v>
      </c>
    </row>
    <row r="357" spans="1:21" customFormat="1">
      <c r="A357">
        <v>1</v>
      </c>
      <c r="B357">
        <v>32</v>
      </c>
      <c r="C357">
        <v>7</v>
      </c>
      <c r="D357">
        <v>3</v>
      </c>
      <c r="E357">
        <v>2020</v>
      </c>
      <c r="F357">
        <v>4102</v>
      </c>
      <c r="G357" t="str">
        <f>VLOOKUP(F357,'[1]Sheet 1'!$B$2:$E$347,2,FALSE)</f>
        <v>Coquimbo</v>
      </c>
      <c r="H357" t="str">
        <f>VLOOKUP(F357,'[1]Sheet 1'!$B$2:$E$347,3,FALSE)</f>
        <v>Elqui</v>
      </c>
      <c r="I357" t="str">
        <f>VLOOKUP(F357,'[1]Sheet 1'!$B$2:$E$347,4,FALSE)</f>
        <v>Coquimbo</v>
      </c>
      <c r="J357" t="s">
        <v>136</v>
      </c>
      <c r="K357" s="3" t="s">
        <v>4</v>
      </c>
      <c r="L357" s="12" t="str">
        <f>VLOOKUP(K357,[2]Hoja4!$A$2:$C$443,2,FALSE)</f>
        <v>Intentional self-harm by hanging, strangulation and suffocation</v>
      </c>
      <c r="M357" s="12" t="str">
        <f>VLOOKUP(K357,[2]Hoja4!$A$2:$C$443,3,FALSE)</f>
        <v>At home</v>
      </c>
      <c r="N357" s="1">
        <v>13.8</v>
      </c>
      <c r="O357" s="1">
        <v>21.8</v>
      </c>
      <c r="P357" s="1">
        <v>17.399999999999999</v>
      </c>
      <c r="Q357" s="1">
        <v>996.8</v>
      </c>
      <c r="R357" s="1">
        <v>0</v>
      </c>
      <c r="S357" s="1">
        <v>80</v>
      </c>
      <c r="T357" s="5">
        <v>8.2299999999999998E-2</v>
      </c>
      <c r="U357" s="10">
        <v>3.0000000000000001E-3</v>
      </c>
    </row>
    <row r="358" spans="1:21" customFormat="1">
      <c r="A358">
        <v>1</v>
      </c>
      <c r="B358">
        <v>28</v>
      </c>
      <c r="C358">
        <v>7</v>
      </c>
      <c r="D358">
        <v>3</v>
      </c>
      <c r="E358">
        <v>2020</v>
      </c>
      <c r="F358">
        <v>13111</v>
      </c>
      <c r="G358" t="str">
        <f>VLOOKUP(F358,'[1]Sheet 1'!$B$2:$E$347,2,FALSE)</f>
        <v>Metropolitana de Santiago</v>
      </c>
      <c r="H358" t="str">
        <f>VLOOKUP(F358,'[1]Sheet 1'!$B$2:$E$347,3,FALSE)</f>
        <v>Santiago</v>
      </c>
      <c r="I358" t="str">
        <f>VLOOKUP(F358,'[1]Sheet 1'!$B$2:$E$347,4,FALSE)</f>
        <v>La Granja</v>
      </c>
      <c r="J358" t="s">
        <v>136</v>
      </c>
      <c r="K358" s="3" t="s">
        <v>0</v>
      </c>
      <c r="L358" s="12" t="str">
        <f>VLOOKUP(K358,[2]Hoja4!$A$2:$C$443,2,FALSE)</f>
        <v>Intentional self-harm by hanging, strangulation and suffocation</v>
      </c>
      <c r="M358" s="12" t="str">
        <f>VLOOKUP(K358,[2]Hoja4!$A$2:$C$443,3,FALSE)</f>
        <v>Unspecified place</v>
      </c>
      <c r="N358" s="1">
        <v>13.4</v>
      </c>
      <c r="O358" s="1">
        <v>32</v>
      </c>
      <c r="P358" s="1">
        <v>21.8</v>
      </c>
      <c r="Q358" s="1">
        <v>953.2</v>
      </c>
      <c r="R358" s="1"/>
      <c r="S358" s="1">
        <v>75.5</v>
      </c>
      <c r="T358" s="5">
        <v>8.2299999999999998E-2</v>
      </c>
      <c r="U358" s="10">
        <v>3.0000000000000001E-3</v>
      </c>
    </row>
    <row r="359" spans="1:21" customFormat="1">
      <c r="A359">
        <v>1</v>
      </c>
      <c r="B359">
        <v>17</v>
      </c>
      <c r="C359">
        <v>7</v>
      </c>
      <c r="D359">
        <v>3</v>
      </c>
      <c r="E359">
        <v>2020</v>
      </c>
      <c r="F359">
        <v>13132</v>
      </c>
      <c r="G359" t="str">
        <f>VLOOKUP(F359,'[1]Sheet 1'!$B$2:$E$347,2,FALSE)</f>
        <v>Metropolitana de Santiago</v>
      </c>
      <c r="H359" t="str">
        <f>VLOOKUP(F359,'[1]Sheet 1'!$B$2:$E$347,3,FALSE)</f>
        <v>Santiago</v>
      </c>
      <c r="I359" t="str">
        <f>VLOOKUP(F359,'[1]Sheet 1'!$B$2:$E$347,4,FALSE)</f>
        <v>Vitacura</v>
      </c>
      <c r="J359" t="s">
        <v>136</v>
      </c>
      <c r="K359" s="3" t="s">
        <v>0</v>
      </c>
      <c r="L359" s="12" t="str">
        <f>VLOOKUP(K359,[2]Hoja4!$A$2:$C$443,2,FALSE)</f>
        <v>Intentional self-harm by hanging, strangulation and suffocation</v>
      </c>
      <c r="M359" s="12" t="str">
        <f>VLOOKUP(K359,[2]Hoja4!$A$2:$C$443,3,FALSE)</f>
        <v>Unspecified place</v>
      </c>
      <c r="N359" s="1">
        <v>13.4</v>
      </c>
      <c r="O359" s="1">
        <v>32</v>
      </c>
      <c r="P359" s="1">
        <v>21.8</v>
      </c>
      <c r="Q359" s="1">
        <v>953.2</v>
      </c>
      <c r="R359" s="1"/>
      <c r="S359" s="1"/>
      <c r="T359" s="5">
        <v>8.2299999999999998E-2</v>
      </c>
      <c r="U359" s="10">
        <v>3.0000000000000001E-3</v>
      </c>
    </row>
    <row r="360" spans="1:21" customFormat="1">
      <c r="A360">
        <v>1</v>
      </c>
      <c r="B360">
        <v>84</v>
      </c>
      <c r="C360">
        <v>8</v>
      </c>
      <c r="D360">
        <v>3</v>
      </c>
      <c r="E360">
        <v>2020</v>
      </c>
      <c r="F360">
        <v>9203</v>
      </c>
      <c r="G360" t="str">
        <f>VLOOKUP(F360,'[1]Sheet 1'!$B$2:$E$347,2,FALSE)</f>
        <v>La Araucanía</v>
      </c>
      <c r="H360" t="str">
        <f>VLOOKUP(F360,'[1]Sheet 1'!$B$2:$E$347,3,FALSE)</f>
        <v>Malleco</v>
      </c>
      <c r="I360" t="str">
        <f>VLOOKUP(F360,'[1]Sheet 1'!$B$2:$E$347,4,FALSE)</f>
        <v>Curacautín</v>
      </c>
      <c r="J360" t="s">
        <v>136</v>
      </c>
      <c r="K360" s="3" t="s">
        <v>13</v>
      </c>
      <c r="L360" s="12" t="str">
        <f>VLOOKUP(K360,[2]Hoja4!$A$2:$C$443,2,FALSE)</f>
        <v>Intentional self-harm by hanging, strangulation and suffocation</v>
      </c>
      <c r="M360" s="12" t="str">
        <f>VLOOKUP(K360,[2]Hoja4!$A$2:$C$443,3,FALSE)</f>
        <v>Other specified places</v>
      </c>
      <c r="N360" s="1">
        <v>13.9</v>
      </c>
      <c r="O360" s="1">
        <v>28.8</v>
      </c>
      <c r="P360" s="1">
        <v>19.5</v>
      </c>
      <c r="Q360" s="1">
        <v>1007</v>
      </c>
      <c r="R360" s="1">
        <v>0</v>
      </c>
      <c r="S360" s="1">
        <v>50</v>
      </c>
      <c r="T360" s="5">
        <v>8.2299999999999998E-2</v>
      </c>
      <c r="U360" s="10">
        <v>3.0000000000000001E-3</v>
      </c>
    </row>
    <row r="361" spans="1:21" customFormat="1">
      <c r="A361">
        <v>2</v>
      </c>
      <c r="B361">
        <v>57</v>
      </c>
      <c r="C361">
        <v>8</v>
      </c>
      <c r="D361">
        <v>3</v>
      </c>
      <c r="E361">
        <v>2020</v>
      </c>
      <c r="F361">
        <v>16101</v>
      </c>
      <c r="G361" t="str">
        <f>VLOOKUP(F361,'[1]Sheet 1'!$B$2:$E$347,2,FALSE)</f>
        <v>Ñuble</v>
      </c>
      <c r="H361" t="str">
        <f>VLOOKUP(F361,'[1]Sheet 1'!$B$2:$E$347,3,FALSE)</f>
        <v>Diguillín</v>
      </c>
      <c r="I361" t="str">
        <f>VLOOKUP(F361,'[1]Sheet 1'!$B$2:$E$347,4,FALSE)</f>
        <v>Chillán</v>
      </c>
      <c r="J361" t="s">
        <v>136</v>
      </c>
      <c r="K361" s="3" t="s">
        <v>4</v>
      </c>
      <c r="L361" s="12" t="str">
        <f>VLOOKUP(K361,[2]Hoja4!$A$2:$C$443,2,FALSE)</f>
        <v>Intentional self-harm by hanging, strangulation and suffocation</v>
      </c>
      <c r="M361" s="12" t="str">
        <f>VLOOKUP(K361,[2]Hoja4!$A$2:$C$443,3,FALSE)</f>
        <v>At home</v>
      </c>
      <c r="N361" s="1">
        <v>11.4</v>
      </c>
      <c r="O361" s="1">
        <v>30.1</v>
      </c>
      <c r="P361" s="1">
        <v>20.100000000000001</v>
      </c>
      <c r="Q361" s="1">
        <v>996.4</v>
      </c>
      <c r="R361" s="1">
        <v>0</v>
      </c>
      <c r="S361" s="1">
        <v>51</v>
      </c>
      <c r="T361" s="5">
        <v>8.2299999999999998E-2</v>
      </c>
      <c r="U361" s="10">
        <v>3.0000000000000001E-3</v>
      </c>
    </row>
    <row r="362" spans="1:21" customFormat="1">
      <c r="A362">
        <v>1</v>
      </c>
      <c r="B362">
        <v>43</v>
      </c>
      <c r="C362">
        <v>8</v>
      </c>
      <c r="D362">
        <v>3</v>
      </c>
      <c r="E362">
        <v>2020</v>
      </c>
      <c r="F362">
        <v>8207</v>
      </c>
      <c r="G362" t="str">
        <f>VLOOKUP(F362,'[1]Sheet 1'!$B$2:$E$347,2,FALSE)</f>
        <v>Biobío</v>
      </c>
      <c r="H362" t="str">
        <f>VLOOKUP(F362,'[1]Sheet 1'!$B$2:$E$347,3,FALSE)</f>
        <v>Arauco</v>
      </c>
      <c r="I362" t="str">
        <f>VLOOKUP(F362,'[1]Sheet 1'!$B$2:$E$347,4,FALSE)</f>
        <v>Tirúa</v>
      </c>
      <c r="J362" t="s">
        <v>136</v>
      </c>
      <c r="K362" s="3" t="s">
        <v>0</v>
      </c>
      <c r="L362" s="12" t="str">
        <f>VLOOKUP(K362,[2]Hoja4!$A$2:$C$443,2,FALSE)</f>
        <v>Intentional self-harm by hanging, strangulation and suffocation</v>
      </c>
      <c r="M362" s="12" t="str">
        <f>VLOOKUP(K362,[2]Hoja4!$A$2:$C$443,3,FALSE)</f>
        <v>Unspecified place</v>
      </c>
      <c r="N362" s="1">
        <v>10.7</v>
      </c>
      <c r="O362" s="1">
        <v>23</v>
      </c>
      <c r="P362" s="1">
        <v>16.600000000000001</v>
      </c>
      <c r="Q362" s="1">
        <v>1015.9</v>
      </c>
      <c r="R362" s="1">
        <v>0</v>
      </c>
      <c r="S362" s="1">
        <v>70</v>
      </c>
      <c r="T362" s="5">
        <v>8.2299999999999998E-2</v>
      </c>
      <c r="U362" s="10">
        <v>3.0000000000000001E-3</v>
      </c>
    </row>
    <row r="363" spans="1:21" customFormat="1">
      <c r="A363">
        <v>1</v>
      </c>
      <c r="B363">
        <v>32</v>
      </c>
      <c r="C363">
        <v>8</v>
      </c>
      <c r="D363">
        <v>3</v>
      </c>
      <c r="E363">
        <v>2020</v>
      </c>
      <c r="F363">
        <v>12101</v>
      </c>
      <c r="G363" t="str">
        <f>VLOOKUP(F363,'[1]Sheet 1'!$B$2:$E$347,2,FALSE)</f>
        <v>Magallanes y de la Antártica Chilena</v>
      </c>
      <c r="H363" t="str">
        <f>VLOOKUP(F363,'[1]Sheet 1'!$B$2:$E$347,3,FALSE)</f>
        <v>Magallanes</v>
      </c>
      <c r="I363" t="str">
        <f>VLOOKUP(F363,'[1]Sheet 1'!$B$2:$E$347,4,FALSE)</f>
        <v>Punta Arenas</v>
      </c>
      <c r="J363" t="s">
        <v>136</v>
      </c>
      <c r="K363" s="3" t="s">
        <v>4</v>
      </c>
      <c r="L363" s="12" t="str">
        <f>VLOOKUP(K363,[2]Hoja4!$A$2:$C$443,2,FALSE)</f>
        <v>Intentional self-harm by hanging, strangulation and suffocation</v>
      </c>
      <c r="M363" s="12" t="str">
        <f>VLOOKUP(K363,[2]Hoja4!$A$2:$C$443,3,FALSE)</f>
        <v>At home</v>
      </c>
      <c r="N363" s="1">
        <v>9.8000000000000007</v>
      </c>
      <c r="O363" s="1">
        <v>14.8</v>
      </c>
      <c r="P363" s="1">
        <v>11.8</v>
      </c>
      <c r="Q363" s="1">
        <v>1001.3</v>
      </c>
      <c r="R363" s="1">
        <v>0</v>
      </c>
      <c r="S363" s="1">
        <v>66</v>
      </c>
      <c r="T363" s="5">
        <v>8.2299999999999998E-2</v>
      </c>
      <c r="U363" s="10">
        <v>3.0000000000000001E-3</v>
      </c>
    </row>
    <row r="364" spans="1:21" customFormat="1">
      <c r="A364">
        <v>1</v>
      </c>
      <c r="B364">
        <v>61</v>
      </c>
      <c r="C364">
        <v>9</v>
      </c>
      <c r="D364">
        <v>3</v>
      </c>
      <c r="E364">
        <v>2020</v>
      </c>
      <c r="F364">
        <v>13122</v>
      </c>
      <c r="G364" t="str">
        <f>VLOOKUP(F364,'[1]Sheet 1'!$B$2:$E$347,2,FALSE)</f>
        <v>Metropolitana de Santiago</v>
      </c>
      <c r="H364" t="str">
        <f>VLOOKUP(F364,'[1]Sheet 1'!$B$2:$E$347,3,FALSE)</f>
        <v>Santiago</v>
      </c>
      <c r="I364" t="str">
        <f>VLOOKUP(F364,'[1]Sheet 1'!$B$2:$E$347,4,FALSE)</f>
        <v>Peñalolén</v>
      </c>
      <c r="J364" t="s">
        <v>136</v>
      </c>
      <c r="K364" s="3" t="s">
        <v>0</v>
      </c>
      <c r="L364" s="12" t="str">
        <f>VLOOKUP(K364,[2]Hoja4!$A$2:$C$443,2,FALSE)</f>
        <v>Intentional self-harm by hanging, strangulation and suffocation</v>
      </c>
      <c r="M364" s="12" t="str">
        <f>VLOOKUP(K364,[2]Hoja4!$A$2:$C$443,3,FALSE)</f>
        <v>Unspecified place</v>
      </c>
      <c r="N364" s="1">
        <v>14.5</v>
      </c>
      <c r="O364" s="1">
        <v>33.700000000000003</v>
      </c>
      <c r="P364" s="1">
        <v>23.5</v>
      </c>
      <c r="Q364" s="1">
        <v>954.5</v>
      </c>
      <c r="R364" s="1"/>
      <c r="S364" s="1">
        <v>52.8</v>
      </c>
      <c r="T364" s="5">
        <v>8.2299999999999998E-2</v>
      </c>
      <c r="U364" s="10">
        <v>3.0000000000000001E-3</v>
      </c>
    </row>
    <row r="365" spans="1:21" customFormat="1">
      <c r="A365">
        <v>1</v>
      </c>
      <c r="B365">
        <v>51</v>
      </c>
      <c r="C365">
        <v>9</v>
      </c>
      <c r="D365">
        <v>3</v>
      </c>
      <c r="E365">
        <v>2020</v>
      </c>
      <c r="F365">
        <v>13124</v>
      </c>
      <c r="G365" t="str">
        <f>VLOOKUP(F365,'[1]Sheet 1'!$B$2:$E$347,2,FALSE)</f>
        <v>Metropolitana de Santiago</v>
      </c>
      <c r="H365" t="str">
        <f>VLOOKUP(F365,'[1]Sheet 1'!$B$2:$E$347,3,FALSE)</f>
        <v>Santiago</v>
      </c>
      <c r="I365" t="str">
        <f>VLOOKUP(F365,'[1]Sheet 1'!$B$2:$E$347,4,FALSE)</f>
        <v>Pudahuel</v>
      </c>
      <c r="J365" t="s">
        <v>136</v>
      </c>
      <c r="K365" s="3" t="s">
        <v>0</v>
      </c>
      <c r="L365" s="12" t="str">
        <f>VLOOKUP(K365,[2]Hoja4!$A$2:$C$443,2,FALSE)</f>
        <v>Intentional self-harm by hanging, strangulation and suffocation</v>
      </c>
      <c r="M365" s="12" t="str">
        <f>VLOOKUP(K365,[2]Hoja4!$A$2:$C$443,3,FALSE)</f>
        <v>Unspecified place</v>
      </c>
      <c r="N365" s="1">
        <v>14.5</v>
      </c>
      <c r="O365" s="1">
        <v>33.700000000000003</v>
      </c>
      <c r="P365" s="1">
        <v>23.5</v>
      </c>
      <c r="Q365" s="1">
        <v>954.5</v>
      </c>
      <c r="R365" s="1"/>
      <c r="S365" s="1">
        <v>52.8</v>
      </c>
      <c r="T365" s="5">
        <v>8.2299999999999998E-2</v>
      </c>
      <c r="U365" s="10">
        <v>3.0000000000000001E-3</v>
      </c>
    </row>
    <row r="366" spans="1:21" customFormat="1">
      <c r="A366">
        <v>1</v>
      </c>
      <c r="B366">
        <v>30</v>
      </c>
      <c r="C366">
        <v>9</v>
      </c>
      <c r="D366">
        <v>3</v>
      </c>
      <c r="E366">
        <v>2020</v>
      </c>
      <c r="F366">
        <v>12101</v>
      </c>
      <c r="G366" t="str">
        <f>VLOOKUP(F366,'[1]Sheet 1'!$B$2:$E$347,2,FALSE)</f>
        <v>Magallanes y de la Antártica Chilena</v>
      </c>
      <c r="H366" t="str">
        <f>VLOOKUP(F366,'[1]Sheet 1'!$B$2:$E$347,3,FALSE)</f>
        <v>Magallanes</v>
      </c>
      <c r="I366" t="str">
        <f>VLOOKUP(F366,'[1]Sheet 1'!$B$2:$E$347,4,FALSE)</f>
        <v>Punta Arenas</v>
      </c>
      <c r="J366" t="s">
        <v>136</v>
      </c>
      <c r="K366" s="3" t="s">
        <v>0</v>
      </c>
      <c r="L366" s="12" t="str">
        <f>VLOOKUP(K366,[2]Hoja4!$A$2:$C$443,2,FALSE)</f>
        <v>Intentional self-harm by hanging, strangulation and suffocation</v>
      </c>
      <c r="M366" s="12" t="str">
        <f>VLOOKUP(K366,[2]Hoja4!$A$2:$C$443,3,FALSE)</f>
        <v>Unspecified place</v>
      </c>
      <c r="N366" s="1">
        <v>6.6</v>
      </c>
      <c r="O366" s="1">
        <v>15.7</v>
      </c>
      <c r="P366" s="1">
        <v>10.4</v>
      </c>
      <c r="Q366" s="1">
        <v>1010</v>
      </c>
      <c r="R366" s="1">
        <v>0</v>
      </c>
      <c r="S366" s="1">
        <v>68.8</v>
      </c>
      <c r="T366" s="5">
        <v>8.2299999999999998E-2</v>
      </c>
      <c r="U366" s="10">
        <v>3.0000000000000001E-3</v>
      </c>
    </row>
    <row r="367" spans="1:21" customFormat="1">
      <c r="A367">
        <v>2</v>
      </c>
      <c r="B367">
        <v>24</v>
      </c>
      <c r="C367">
        <v>9</v>
      </c>
      <c r="D367">
        <v>3</v>
      </c>
      <c r="E367">
        <v>2020</v>
      </c>
      <c r="F367">
        <v>2201</v>
      </c>
      <c r="G367" t="str">
        <f>VLOOKUP(F367,'[1]Sheet 1'!$B$2:$E$347,2,FALSE)</f>
        <v>Antofagasta</v>
      </c>
      <c r="H367" t="str">
        <f>VLOOKUP(F367,'[1]Sheet 1'!$B$2:$E$347,3,FALSE)</f>
        <v>El Loa</v>
      </c>
      <c r="I367" t="str">
        <f>VLOOKUP(F367,'[1]Sheet 1'!$B$2:$E$347,4,FALSE)</f>
        <v>Calama</v>
      </c>
      <c r="J367" t="s">
        <v>136</v>
      </c>
      <c r="K367" s="3" t="s">
        <v>4</v>
      </c>
      <c r="L367" s="12" t="str">
        <f>VLOOKUP(K367,[2]Hoja4!$A$2:$C$443,2,FALSE)</f>
        <v>Intentional self-harm by hanging, strangulation and suffocation</v>
      </c>
      <c r="M367" s="12" t="str">
        <f>VLOOKUP(K367,[2]Hoja4!$A$2:$C$443,3,FALSE)</f>
        <v>At home</v>
      </c>
      <c r="N367" s="1">
        <v>9.6999999999999993</v>
      </c>
      <c r="O367" s="1">
        <v>24.8</v>
      </c>
      <c r="P367" s="1">
        <v>17.899999999999999</v>
      </c>
      <c r="Q367" s="1">
        <v>774</v>
      </c>
      <c r="R367" s="1">
        <v>0</v>
      </c>
      <c r="S367" s="1">
        <v>43.8</v>
      </c>
      <c r="T367" s="5">
        <v>8.2299999999999998E-2</v>
      </c>
      <c r="U367" s="10">
        <v>3.0000000000000001E-3</v>
      </c>
    </row>
    <row r="368" spans="1:21" customFormat="1">
      <c r="A368">
        <v>1</v>
      </c>
      <c r="B368">
        <v>60</v>
      </c>
      <c r="C368">
        <v>10</v>
      </c>
      <c r="D368">
        <v>3</v>
      </c>
      <c r="E368">
        <v>2020</v>
      </c>
      <c r="F368">
        <v>13120</v>
      </c>
      <c r="G368" t="str">
        <f>VLOOKUP(F368,'[1]Sheet 1'!$B$2:$E$347,2,FALSE)</f>
        <v>Metropolitana de Santiago</v>
      </c>
      <c r="H368" t="str">
        <f>VLOOKUP(F368,'[1]Sheet 1'!$B$2:$E$347,3,FALSE)</f>
        <v>Santiago</v>
      </c>
      <c r="I368" t="str">
        <f>VLOOKUP(F368,'[1]Sheet 1'!$B$2:$E$347,4,FALSE)</f>
        <v>Ñuñoa</v>
      </c>
      <c r="J368" t="s">
        <v>136</v>
      </c>
      <c r="K368" s="3" t="s">
        <v>0</v>
      </c>
      <c r="L368" s="12" t="str">
        <f>VLOOKUP(K368,[2]Hoja4!$A$2:$C$443,2,FALSE)</f>
        <v>Intentional self-harm by hanging, strangulation and suffocation</v>
      </c>
      <c r="M368" s="12" t="str">
        <f>VLOOKUP(K368,[2]Hoja4!$A$2:$C$443,3,FALSE)</f>
        <v>Unspecified place</v>
      </c>
      <c r="N368" s="1">
        <v>13.2</v>
      </c>
      <c r="O368" s="1">
        <v>32.5</v>
      </c>
      <c r="P368" s="1">
        <v>22.9</v>
      </c>
      <c r="Q368" s="1">
        <v>953.8</v>
      </c>
      <c r="R368" s="1"/>
      <c r="S368" s="1">
        <v>46</v>
      </c>
      <c r="T368" s="5">
        <v>8.2299999999999998E-2</v>
      </c>
      <c r="U368" s="10">
        <v>3.0000000000000001E-3</v>
      </c>
    </row>
    <row r="369" spans="1:21" customFormat="1">
      <c r="A369">
        <v>1</v>
      </c>
      <c r="B369">
        <v>60</v>
      </c>
      <c r="C369">
        <v>10</v>
      </c>
      <c r="D369">
        <v>3</v>
      </c>
      <c r="E369">
        <v>2020</v>
      </c>
      <c r="F369">
        <v>8304</v>
      </c>
      <c r="G369" t="str">
        <f>VLOOKUP(F369,'[1]Sheet 1'!$B$2:$E$347,2,FALSE)</f>
        <v>Biobío</v>
      </c>
      <c r="H369" t="str">
        <f>VLOOKUP(F369,'[1]Sheet 1'!$B$2:$E$347,3,FALSE)</f>
        <v>Biobío</v>
      </c>
      <c r="I369" t="str">
        <f>VLOOKUP(F369,'[1]Sheet 1'!$B$2:$E$347,4,FALSE)</f>
        <v>Laja</v>
      </c>
      <c r="J369" t="s">
        <v>136</v>
      </c>
      <c r="K369" s="3" t="s">
        <v>0</v>
      </c>
      <c r="L369" s="12" t="str">
        <f>VLOOKUP(K369,[2]Hoja4!$A$2:$C$443,2,FALSE)</f>
        <v>Intentional self-harm by hanging, strangulation and suffocation</v>
      </c>
      <c r="M369" s="12" t="str">
        <f>VLOOKUP(K369,[2]Hoja4!$A$2:$C$443,3,FALSE)</f>
        <v>Unspecified place</v>
      </c>
      <c r="N369" s="1">
        <v>10</v>
      </c>
      <c r="O369" s="1">
        <v>31.5</v>
      </c>
      <c r="P369" s="1">
        <v>20.8</v>
      </c>
      <c r="Q369" s="1">
        <v>1000.9</v>
      </c>
      <c r="R369" s="1">
        <v>0</v>
      </c>
      <c r="S369" s="1">
        <v>67</v>
      </c>
      <c r="T369" s="5">
        <v>8.2299999999999998E-2</v>
      </c>
      <c r="U369" s="10">
        <v>3.0000000000000001E-3</v>
      </c>
    </row>
    <row r="370" spans="1:21" customFormat="1">
      <c r="A370">
        <v>1</v>
      </c>
      <c r="B370">
        <v>58</v>
      </c>
      <c r="C370">
        <v>10</v>
      </c>
      <c r="D370">
        <v>3</v>
      </c>
      <c r="E370">
        <v>2020</v>
      </c>
      <c r="F370">
        <v>7103</v>
      </c>
      <c r="G370" t="str">
        <f>VLOOKUP(F370,'[1]Sheet 1'!$B$2:$E$347,2,FALSE)</f>
        <v>Maule</v>
      </c>
      <c r="H370" t="str">
        <f>VLOOKUP(F370,'[1]Sheet 1'!$B$2:$E$347,3,FALSE)</f>
        <v>Talca</v>
      </c>
      <c r="I370" t="str">
        <f>VLOOKUP(F370,'[1]Sheet 1'!$B$2:$E$347,4,FALSE)</f>
        <v>Curepto</v>
      </c>
      <c r="J370" t="s">
        <v>142</v>
      </c>
      <c r="K370" s="3" t="s">
        <v>5</v>
      </c>
      <c r="L370" s="12" t="str">
        <f>VLOOKUP(K370,[2]Hoja4!$A$2:$C$443,2,FALSE)</f>
        <v>Intentional self-harm by other and unspecified firearm discharge</v>
      </c>
      <c r="M370" s="12" t="str">
        <f>VLOOKUP(K370,[2]Hoja4!$A$2:$C$443,3,FALSE)</f>
        <v>At home</v>
      </c>
      <c r="N370" s="1">
        <v>12.4</v>
      </c>
      <c r="O370" s="1">
        <v>34.700000000000003</v>
      </c>
      <c r="P370" s="1">
        <v>23.4</v>
      </c>
      <c r="Q370" s="1">
        <v>1000.3</v>
      </c>
      <c r="R370" s="1">
        <v>0</v>
      </c>
      <c r="S370" s="1">
        <v>39.700000000000003</v>
      </c>
      <c r="T370" s="5">
        <v>8.2299999999999998E-2</v>
      </c>
      <c r="U370" s="10">
        <v>3.0000000000000001E-3</v>
      </c>
    </row>
    <row r="371" spans="1:21" customFormat="1">
      <c r="A371">
        <v>1</v>
      </c>
      <c r="B371">
        <v>56</v>
      </c>
      <c r="C371">
        <v>10</v>
      </c>
      <c r="D371">
        <v>3</v>
      </c>
      <c r="E371">
        <v>2020</v>
      </c>
      <c r="F371">
        <v>9101</v>
      </c>
      <c r="G371" t="str">
        <f>VLOOKUP(F371,'[1]Sheet 1'!$B$2:$E$347,2,FALSE)</f>
        <v>La Araucanía</v>
      </c>
      <c r="H371" t="str">
        <f>VLOOKUP(F371,'[1]Sheet 1'!$B$2:$E$347,3,FALSE)</f>
        <v>Cautín</v>
      </c>
      <c r="I371" t="str">
        <f>VLOOKUP(F371,'[1]Sheet 1'!$B$2:$E$347,4,FALSE)</f>
        <v>Temuco</v>
      </c>
      <c r="J371" t="s">
        <v>136</v>
      </c>
      <c r="K371" s="3" t="s">
        <v>0</v>
      </c>
      <c r="L371" s="12" t="str">
        <f>VLOOKUP(K371,[2]Hoja4!$A$2:$C$443,2,FALSE)</f>
        <v>Intentional self-harm by hanging, strangulation and suffocation</v>
      </c>
      <c r="M371" s="12" t="str">
        <f>VLOOKUP(K371,[2]Hoja4!$A$2:$C$443,3,FALSE)</f>
        <v>Unspecified place</v>
      </c>
      <c r="N371" s="1">
        <v>4.9000000000000004</v>
      </c>
      <c r="O371" s="1">
        <v>27</v>
      </c>
      <c r="P371" s="1">
        <v>14.5</v>
      </c>
      <c r="Q371" s="1">
        <v>1003.3</v>
      </c>
      <c r="R371" s="1">
        <v>2</v>
      </c>
      <c r="S371" s="1">
        <v>76.8</v>
      </c>
      <c r="T371" s="5">
        <v>8.2299999999999998E-2</v>
      </c>
      <c r="U371" s="10">
        <v>3.0000000000000001E-3</v>
      </c>
    </row>
    <row r="372" spans="1:21" customFormat="1">
      <c r="A372">
        <v>1</v>
      </c>
      <c r="B372">
        <v>48</v>
      </c>
      <c r="C372">
        <v>10</v>
      </c>
      <c r="D372">
        <v>3</v>
      </c>
      <c r="E372">
        <v>2020</v>
      </c>
      <c r="F372">
        <v>5501</v>
      </c>
      <c r="G372" t="str">
        <f>VLOOKUP(F372,'[1]Sheet 1'!$B$2:$E$347,2,FALSE)</f>
        <v>Valparaíso</v>
      </c>
      <c r="H372" t="str">
        <f>VLOOKUP(F372,'[1]Sheet 1'!$B$2:$E$347,3,FALSE)</f>
        <v>Quillota</v>
      </c>
      <c r="I372" t="str">
        <f>VLOOKUP(F372,'[1]Sheet 1'!$B$2:$E$347,4,FALSE)</f>
        <v>Quillota</v>
      </c>
      <c r="J372" t="s">
        <v>136</v>
      </c>
      <c r="K372" s="3" t="s">
        <v>0</v>
      </c>
      <c r="L372" s="12" t="str">
        <f>VLOOKUP(K372,[2]Hoja4!$A$2:$C$443,2,FALSE)</f>
        <v>Intentional self-harm by hanging, strangulation and suffocation</v>
      </c>
      <c r="M372" s="12" t="str">
        <f>VLOOKUP(K372,[2]Hoja4!$A$2:$C$443,3,FALSE)</f>
        <v>Unspecified place</v>
      </c>
      <c r="N372" s="1">
        <v>12.4</v>
      </c>
      <c r="O372" s="1">
        <v>28.7</v>
      </c>
      <c r="P372" s="1">
        <v>18.100000000000001</v>
      </c>
      <c r="Q372" s="1">
        <v>994</v>
      </c>
      <c r="R372" s="1">
        <v>0</v>
      </c>
      <c r="S372" s="1">
        <v>75.8</v>
      </c>
      <c r="T372" s="5">
        <v>8.2299999999999998E-2</v>
      </c>
      <c r="U372" s="10">
        <v>3.0000000000000001E-3</v>
      </c>
    </row>
    <row r="373" spans="1:21" customFormat="1">
      <c r="A373">
        <v>1</v>
      </c>
      <c r="B373">
        <v>45</v>
      </c>
      <c r="C373">
        <v>10</v>
      </c>
      <c r="D373">
        <v>3</v>
      </c>
      <c r="E373">
        <v>2020</v>
      </c>
      <c r="F373">
        <v>7105</v>
      </c>
      <c r="G373" t="str">
        <f>VLOOKUP(F373,'[1]Sheet 1'!$B$2:$E$347,2,FALSE)</f>
        <v>Maule</v>
      </c>
      <c r="H373" t="str">
        <f>VLOOKUP(F373,'[1]Sheet 1'!$B$2:$E$347,3,FALSE)</f>
        <v>Talca</v>
      </c>
      <c r="I373" t="str">
        <f>VLOOKUP(F373,'[1]Sheet 1'!$B$2:$E$347,4,FALSE)</f>
        <v>Maule</v>
      </c>
      <c r="J373" t="s">
        <v>136</v>
      </c>
      <c r="K373" s="3" t="s">
        <v>4</v>
      </c>
      <c r="L373" s="12" t="str">
        <f>VLOOKUP(K373,[2]Hoja4!$A$2:$C$443,2,FALSE)</f>
        <v>Intentional self-harm by hanging, strangulation and suffocation</v>
      </c>
      <c r="M373" s="12" t="str">
        <f>VLOOKUP(K373,[2]Hoja4!$A$2:$C$443,3,FALSE)</f>
        <v>At home</v>
      </c>
      <c r="N373" s="1">
        <v>12.4</v>
      </c>
      <c r="O373" s="1">
        <v>34.700000000000003</v>
      </c>
      <c r="P373" s="1">
        <v>23.4</v>
      </c>
      <c r="Q373" s="1">
        <v>1000.3</v>
      </c>
      <c r="R373" s="1">
        <v>0</v>
      </c>
      <c r="S373" s="1">
        <v>39.700000000000003</v>
      </c>
      <c r="T373" s="5">
        <v>8.2299999999999998E-2</v>
      </c>
      <c r="U373" s="10">
        <v>3.0000000000000001E-3</v>
      </c>
    </row>
    <row r="374" spans="1:21" customFormat="1">
      <c r="A374">
        <v>2</v>
      </c>
      <c r="B374">
        <v>22</v>
      </c>
      <c r="C374">
        <v>10</v>
      </c>
      <c r="D374">
        <v>3</v>
      </c>
      <c r="E374">
        <v>2020</v>
      </c>
      <c r="F374">
        <v>13110</v>
      </c>
      <c r="G374" t="str">
        <f>VLOOKUP(F374,'[1]Sheet 1'!$B$2:$E$347,2,FALSE)</f>
        <v>Metropolitana de Santiago</v>
      </c>
      <c r="H374" t="str">
        <f>VLOOKUP(F374,'[1]Sheet 1'!$B$2:$E$347,3,FALSE)</f>
        <v>Santiago</v>
      </c>
      <c r="I374" t="str">
        <f>VLOOKUP(F374,'[1]Sheet 1'!$B$2:$E$347,4,FALSE)</f>
        <v>La Florida</v>
      </c>
      <c r="J374" t="s">
        <v>136</v>
      </c>
      <c r="K374" s="3" t="s">
        <v>0</v>
      </c>
      <c r="L374" s="12" t="str">
        <f>VLOOKUP(K374,[2]Hoja4!$A$2:$C$443,2,FALSE)</f>
        <v>Intentional self-harm by hanging, strangulation and suffocation</v>
      </c>
      <c r="M374" s="12" t="str">
        <f>VLOOKUP(K374,[2]Hoja4!$A$2:$C$443,3,FALSE)</f>
        <v>Unspecified place</v>
      </c>
      <c r="N374" s="1">
        <v>13.2</v>
      </c>
      <c r="O374" s="1">
        <v>32.5</v>
      </c>
      <c r="P374" s="1">
        <v>22.9</v>
      </c>
      <c r="Q374" s="1">
        <v>953.8</v>
      </c>
      <c r="R374" s="1"/>
      <c r="S374" s="1">
        <v>46</v>
      </c>
      <c r="T374" s="5">
        <v>8.2299999999999998E-2</v>
      </c>
      <c r="U374" s="10">
        <v>3.0000000000000001E-3</v>
      </c>
    </row>
    <row r="375" spans="1:21" customFormat="1">
      <c r="A375">
        <v>2</v>
      </c>
      <c r="B375">
        <v>22</v>
      </c>
      <c r="C375">
        <v>10</v>
      </c>
      <c r="D375">
        <v>3</v>
      </c>
      <c r="E375">
        <v>2020</v>
      </c>
      <c r="F375">
        <v>10101</v>
      </c>
      <c r="G375" t="str">
        <f>VLOOKUP(F375,'[1]Sheet 1'!$B$2:$E$347,2,FALSE)</f>
        <v>Los Lagos</v>
      </c>
      <c r="H375" t="str">
        <f>VLOOKUP(F375,'[1]Sheet 1'!$B$2:$E$347,3,FALSE)</f>
        <v>Llanquihue</v>
      </c>
      <c r="I375" t="str">
        <f>VLOOKUP(F375,'[1]Sheet 1'!$B$2:$E$347,4,FALSE)</f>
        <v>Puerto Montt</v>
      </c>
      <c r="J375" t="s">
        <v>136</v>
      </c>
      <c r="K375" s="3" t="s">
        <v>4</v>
      </c>
      <c r="L375" s="12" t="str">
        <f>VLOOKUP(K375,[2]Hoja4!$A$2:$C$443,2,FALSE)</f>
        <v>Intentional self-harm by hanging, strangulation and suffocation</v>
      </c>
      <c r="M375" s="12" t="str">
        <f>VLOOKUP(K375,[2]Hoja4!$A$2:$C$443,3,FALSE)</f>
        <v>At home</v>
      </c>
      <c r="N375" s="1">
        <v>5.7</v>
      </c>
      <c r="O375" s="1">
        <v>24.9</v>
      </c>
      <c r="P375" s="1">
        <v>13.6</v>
      </c>
      <c r="Q375" s="1">
        <v>1003.1</v>
      </c>
      <c r="R375" s="1">
        <v>2</v>
      </c>
      <c r="S375" s="1">
        <v>77.8</v>
      </c>
      <c r="T375" s="5">
        <v>8.2299999999999998E-2</v>
      </c>
      <c r="U375" s="10">
        <v>3.0000000000000001E-3</v>
      </c>
    </row>
    <row r="376" spans="1:21" customFormat="1">
      <c r="A376">
        <v>1</v>
      </c>
      <c r="B376">
        <v>28</v>
      </c>
      <c r="C376">
        <v>10</v>
      </c>
      <c r="D376">
        <v>3</v>
      </c>
      <c r="E376">
        <v>2020</v>
      </c>
      <c r="F376">
        <v>11201</v>
      </c>
      <c r="G376" t="str">
        <f>VLOOKUP(F376,'[1]Sheet 1'!$B$2:$E$347,2,FALSE)</f>
        <v>Aysén del General Carlos Ibáñez del Campo</v>
      </c>
      <c r="H376" t="str">
        <f>VLOOKUP(F376,'[1]Sheet 1'!$B$2:$E$347,3,FALSE)</f>
        <v>Aisén</v>
      </c>
      <c r="I376" t="str">
        <f>VLOOKUP(F376,'[1]Sheet 1'!$B$2:$E$347,4,FALSE)</f>
        <v>Aisén</v>
      </c>
      <c r="J376" t="s">
        <v>136</v>
      </c>
      <c r="K376" s="3" t="s">
        <v>0</v>
      </c>
      <c r="L376" s="12" t="str">
        <f>VLOOKUP(K376,[2]Hoja4!$A$2:$C$443,2,FALSE)</f>
        <v>Intentional self-harm by hanging, strangulation and suffocation</v>
      </c>
      <c r="M376" s="12" t="str">
        <f>VLOOKUP(K376,[2]Hoja4!$A$2:$C$443,3,FALSE)</f>
        <v>Unspecified place</v>
      </c>
      <c r="N376" s="1">
        <v>5.5</v>
      </c>
      <c r="O376" s="1">
        <v>20.2</v>
      </c>
      <c r="P376" s="1">
        <v>11.8</v>
      </c>
      <c r="Q376" s="1">
        <v>1010.2</v>
      </c>
      <c r="R376" s="1">
        <v>2</v>
      </c>
      <c r="S376" s="1">
        <v>87.2</v>
      </c>
      <c r="T376" s="5">
        <v>8.2299999999999998E-2</v>
      </c>
      <c r="U376" s="10">
        <v>3.0000000000000001E-3</v>
      </c>
    </row>
    <row r="377" spans="1:21" customFormat="1">
      <c r="A377">
        <v>1</v>
      </c>
      <c r="B377">
        <v>24</v>
      </c>
      <c r="C377">
        <v>10</v>
      </c>
      <c r="D377">
        <v>3</v>
      </c>
      <c r="E377">
        <v>2020</v>
      </c>
      <c r="F377">
        <v>13110</v>
      </c>
      <c r="G377" t="str">
        <f>VLOOKUP(F377,'[1]Sheet 1'!$B$2:$E$347,2,FALSE)</f>
        <v>Metropolitana de Santiago</v>
      </c>
      <c r="H377" t="str">
        <f>VLOOKUP(F377,'[1]Sheet 1'!$B$2:$E$347,3,FALSE)</f>
        <v>Santiago</v>
      </c>
      <c r="I377" t="str">
        <f>VLOOKUP(F377,'[1]Sheet 1'!$B$2:$E$347,4,FALSE)</f>
        <v>La Florida</v>
      </c>
      <c r="J377" t="s">
        <v>136</v>
      </c>
      <c r="K377" s="3" t="s">
        <v>0</v>
      </c>
      <c r="L377" s="12" t="str">
        <f>VLOOKUP(K377,[2]Hoja4!$A$2:$C$443,2,FALSE)</f>
        <v>Intentional self-harm by hanging, strangulation and suffocation</v>
      </c>
      <c r="M377" s="12" t="str">
        <f>VLOOKUP(K377,[2]Hoja4!$A$2:$C$443,3,FALSE)</f>
        <v>Unspecified place</v>
      </c>
      <c r="N377" s="1">
        <v>13.2</v>
      </c>
      <c r="O377" s="1">
        <v>32.5</v>
      </c>
      <c r="P377" s="1">
        <v>22.9</v>
      </c>
      <c r="Q377" s="1">
        <v>953.8</v>
      </c>
      <c r="R377" s="1"/>
      <c r="S377" s="1">
        <v>46</v>
      </c>
      <c r="T377" s="5">
        <v>8.2299999999999998E-2</v>
      </c>
      <c r="U377" s="10">
        <v>3.0000000000000001E-3</v>
      </c>
    </row>
    <row r="378" spans="1:21" customFormat="1">
      <c r="A378">
        <v>2</v>
      </c>
      <c r="B378">
        <v>43</v>
      </c>
      <c r="C378">
        <v>11</v>
      </c>
      <c r="D378">
        <v>3</v>
      </c>
      <c r="E378">
        <v>2020</v>
      </c>
      <c r="F378">
        <v>13201</v>
      </c>
      <c r="G378" t="str">
        <f>VLOOKUP(F378,'[1]Sheet 1'!$B$2:$E$347,2,FALSE)</f>
        <v>Metropolitana de Santiago</v>
      </c>
      <c r="H378" t="str">
        <f>VLOOKUP(F378,'[1]Sheet 1'!$B$2:$E$347,3,FALSE)</f>
        <v>Cordillera</v>
      </c>
      <c r="I378" t="str">
        <f>VLOOKUP(F378,'[1]Sheet 1'!$B$2:$E$347,4,FALSE)</f>
        <v>Puente Alto</v>
      </c>
      <c r="J378" t="s">
        <v>136</v>
      </c>
      <c r="K378" s="3" t="s">
        <v>0</v>
      </c>
      <c r="L378" s="12" t="str">
        <f>VLOOKUP(K378,[2]Hoja4!$A$2:$C$443,2,FALSE)</f>
        <v>Intentional self-harm by hanging, strangulation and suffocation</v>
      </c>
      <c r="M378" s="12" t="str">
        <f>VLOOKUP(K378,[2]Hoja4!$A$2:$C$443,3,FALSE)</f>
        <v>Unspecified place</v>
      </c>
      <c r="N378" s="1">
        <v>10.199999999999999</v>
      </c>
      <c r="O378" s="1">
        <v>33.299999999999997</v>
      </c>
      <c r="P378" s="1">
        <v>20.8</v>
      </c>
      <c r="Q378" s="1">
        <v>936.3</v>
      </c>
      <c r="R378" s="1">
        <v>0</v>
      </c>
      <c r="S378" s="1">
        <v>52.2</v>
      </c>
      <c r="T378" s="5">
        <v>8.2299999999999998E-2</v>
      </c>
      <c r="U378" s="10">
        <v>3.0000000000000001E-3</v>
      </c>
    </row>
    <row r="379" spans="1:21" customFormat="1">
      <c r="A379">
        <v>1</v>
      </c>
      <c r="B379">
        <v>72</v>
      </c>
      <c r="C379">
        <v>12</v>
      </c>
      <c r="D379">
        <v>3</v>
      </c>
      <c r="E379">
        <v>2020</v>
      </c>
      <c r="F379">
        <v>15101</v>
      </c>
      <c r="G379" t="str">
        <f>VLOOKUP(F379,'[1]Sheet 1'!$B$2:$E$347,2,FALSE)</f>
        <v>Arica y Parinacota</v>
      </c>
      <c r="H379" t="str">
        <f>VLOOKUP(F379,'[1]Sheet 1'!$B$2:$E$347,3,FALSE)</f>
        <v>Arica</v>
      </c>
      <c r="I379" t="str">
        <f>VLOOKUP(F379,'[1]Sheet 1'!$B$2:$E$347,4,FALSE)</f>
        <v>Arica</v>
      </c>
      <c r="J379" t="s">
        <v>136</v>
      </c>
      <c r="K379" s="3" t="s">
        <v>0</v>
      </c>
      <c r="L379" s="12" t="str">
        <f>VLOOKUP(K379,[2]Hoja4!$A$2:$C$443,2,FALSE)</f>
        <v>Intentional self-harm by hanging, strangulation and suffocation</v>
      </c>
      <c r="M379" s="12" t="str">
        <f>VLOOKUP(K379,[2]Hoja4!$A$2:$C$443,3,FALSE)</f>
        <v>Unspecified place</v>
      </c>
      <c r="N379" s="1">
        <v>21.7</v>
      </c>
      <c r="O379" s="1">
        <v>26.3</v>
      </c>
      <c r="P379" s="1">
        <v>23.6</v>
      </c>
      <c r="Q379" s="1">
        <v>1006.7</v>
      </c>
      <c r="R379" s="1">
        <v>0</v>
      </c>
      <c r="S379" s="1">
        <v>67.8</v>
      </c>
      <c r="T379" s="5">
        <v>8.2299999999999998E-2</v>
      </c>
      <c r="U379" s="10">
        <v>3.0000000000000001E-3</v>
      </c>
    </row>
    <row r="380" spans="1:21" customFormat="1">
      <c r="A380">
        <v>1</v>
      </c>
      <c r="B380">
        <v>58</v>
      </c>
      <c r="C380">
        <v>12</v>
      </c>
      <c r="D380">
        <v>3</v>
      </c>
      <c r="E380">
        <v>2020</v>
      </c>
      <c r="F380">
        <v>8301</v>
      </c>
      <c r="G380" t="str">
        <f>VLOOKUP(F380,'[1]Sheet 1'!$B$2:$E$347,2,FALSE)</f>
        <v>Biobío</v>
      </c>
      <c r="H380" t="str">
        <f>VLOOKUP(F380,'[1]Sheet 1'!$B$2:$E$347,3,FALSE)</f>
        <v>Biobío</v>
      </c>
      <c r="I380" t="str">
        <f>VLOOKUP(F380,'[1]Sheet 1'!$B$2:$E$347,4,FALSE)</f>
        <v>Los Angeles</v>
      </c>
      <c r="J380" t="s">
        <v>136</v>
      </c>
      <c r="K380" s="3" t="s">
        <v>4</v>
      </c>
      <c r="L380" s="12" t="str">
        <f>VLOOKUP(K380,[2]Hoja4!$A$2:$C$443,2,FALSE)</f>
        <v>Intentional self-harm by hanging, strangulation and suffocation</v>
      </c>
      <c r="M380" s="12" t="str">
        <f>VLOOKUP(K380,[2]Hoja4!$A$2:$C$443,3,FALSE)</f>
        <v>At home</v>
      </c>
      <c r="N380" s="1">
        <v>10</v>
      </c>
      <c r="O380" s="1">
        <v>27.2</v>
      </c>
      <c r="P380" s="1">
        <v>18.600000000000001</v>
      </c>
      <c r="Q380" s="1">
        <v>1000.6</v>
      </c>
      <c r="R380" s="1">
        <v>0</v>
      </c>
      <c r="S380" s="1">
        <v>75.8</v>
      </c>
      <c r="T380" s="5">
        <v>8.2299999999999998E-2</v>
      </c>
      <c r="U380" s="10">
        <v>3.0000000000000001E-3</v>
      </c>
    </row>
    <row r="381" spans="1:21" customFormat="1">
      <c r="A381">
        <v>1</v>
      </c>
      <c r="B381">
        <v>57</v>
      </c>
      <c r="C381">
        <v>12</v>
      </c>
      <c r="D381">
        <v>3</v>
      </c>
      <c r="E381">
        <v>2020</v>
      </c>
      <c r="F381">
        <v>13605</v>
      </c>
      <c r="G381" t="str">
        <f>VLOOKUP(F381,'[1]Sheet 1'!$B$2:$E$347,2,FALSE)</f>
        <v>Metropolitana de Santiago</v>
      </c>
      <c r="H381" t="str">
        <f>VLOOKUP(F381,'[1]Sheet 1'!$B$2:$E$347,3,FALSE)</f>
        <v>Talagante</v>
      </c>
      <c r="I381" t="str">
        <f>VLOOKUP(F381,'[1]Sheet 1'!$B$2:$E$347,4,FALSE)</f>
        <v>Peñaflor</v>
      </c>
      <c r="J381" t="s">
        <v>136</v>
      </c>
      <c r="K381" s="3" t="s">
        <v>4</v>
      </c>
      <c r="L381" s="12" t="str">
        <f>VLOOKUP(K381,[2]Hoja4!$A$2:$C$443,2,FALSE)</f>
        <v>Intentional self-harm by hanging, strangulation and suffocation</v>
      </c>
      <c r="M381" s="12" t="str">
        <f>VLOOKUP(K381,[2]Hoja4!$A$2:$C$443,3,FALSE)</f>
        <v>At home</v>
      </c>
      <c r="N381" s="1">
        <v>13.1</v>
      </c>
      <c r="O381" s="1">
        <v>29.4</v>
      </c>
      <c r="P381" s="1">
        <v>19.2</v>
      </c>
      <c r="Q381" s="1"/>
      <c r="R381" s="1">
        <v>0</v>
      </c>
      <c r="S381" s="1">
        <v>69.2</v>
      </c>
      <c r="T381" s="5">
        <v>8.2299999999999998E-2</v>
      </c>
      <c r="U381" s="10">
        <v>3.0000000000000001E-3</v>
      </c>
    </row>
    <row r="382" spans="1:21" customFormat="1">
      <c r="A382">
        <v>1</v>
      </c>
      <c r="B382">
        <v>56</v>
      </c>
      <c r="C382">
        <v>12</v>
      </c>
      <c r="D382">
        <v>3</v>
      </c>
      <c r="E382">
        <v>2020</v>
      </c>
      <c r="F382">
        <v>13124</v>
      </c>
      <c r="G382" t="str">
        <f>VLOOKUP(F382,'[1]Sheet 1'!$B$2:$E$347,2,FALSE)</f>
        <v>Metropolitana de Santiago</v>
      </c>
      <c r="H382" t="str">
        <f>VLOOKUP(F382,'[1]Sheet 1'!$B$2:$E$347,3,FALSE)</f>
        <v>Santiago</v>
      </c>
      <c r="I382" t="str">
        <f>VLOOKUP(F382,'[1]Sheet 1'!$B$2:$E$347,4,FALSE)</f>
        <v>Pudahuel</v>
      </c>
      <c r="J382" t="s">
        <v>138</v>
      </c>
      <c r="K382" s="3" t="s">
        <v>9</v>
      </c>
      <c r="L382" s="12" t="str">
        <f>VLOOKUP(K382,[2]Hoja4!$A$2:$C$443,2,FALSE)</f>
        <v>Intentional self-harm by jumping from a high place</v>
      </c>
      <c r="M382" s="12" t="str">
        <f>VLOOKUP(K382,[2]Hoja4!$A$2:$C$443,3,FALSE)</f>
        <v>Unspecified place</v>
      </c>
      <c r="N382" s="1">
        <v>13.4</v>
      </c>
      <c r="O382" s="1">
        <v>29.3</v>
      </c>
      <c r="P382" s="1">
        <v>21.2</v>
      </c>
      <c r="Q382" s="1">
        <v>953.1</v>
      </c>
      <c r="R382" s="1"/>
      <c r="S382" s="1">
        <v>60.5</v>
      </c>
      <c r="T382" s="5">
        <v>8.2299999999999998E-2</v>
      </c>
      <c r="U382" s="10">
        <v>3.0000000000000001E-3</v>
      </c>
    </row>
    <row r="383" spans="1:21" customFormat="1">
      <c r="A383">
        <v>1</v>
      </c>
      <c r="B383">
        <v>51</v>
      </c>
      <c r="C383">
        <v>12</v>
      </c>
      <c r="D383">
        <v>3</v>
      </c>
      <c r="E383">
        <v>2020</v>
      </c>
      <c r="F383">
        <v>9109</v>
      </c>
      <c r="G383" t="str">
        <f>VLOOKUP(F383,'[1]Sheet 1'!$B$2:$E$347,2,FALSE)</f>
        <v>La Araucanía</v>
      </c>
      <c r="H383" t="str">
        <f>VLOOKUP(F383,'[1]Sheet 1'!$B$2:$E$347,3,FALSE)</f>
        <v>Cautín</v>
      </c>
      <c r="I383" t="str">
        <f>VLOOKUP(F383,'[1]Sheet 1'!$B$2:$E$347,4,FALSE)</f>
        <v>Loncoche</v>
      </c>
      <c r="J383" t="s">
        <v>136</v>
      </c>
      <c r="K383" s="3" t="s">
        <v>0</v>
      </c>
      <c r="L383" s="12" t="str">
        <f>VLOOKUP(K383,[2]Hoja4!$A$2:$C$443,2,FALSE)</f>
        <v>Intentional self-harm by hanging, strangulation and suffocation</v>
      </c>
      <c r="M383" s="12" t="str">
        <f>VLOOKUP(K383,[2]Hoja4!$A$2:$C$443,3,FALSE)</f>
        <v>Unspecified place</v>
      </c>
      <c r="N383" s="1">
        <v>5.4</v>
      </c>
      <c r="O383" s="1">
        <v>24.9</v>
      </c>
      <c r="P383" s="1">
        <v>15.5</v>
      </c>
      <c r="Q383" s="1">
        <v>1000.4</v>
      </c>
      <c r="R383" s="1">
        <v>0</v>
      </c>
      <c r="S383" s="1">
        <v>84</v>
      </c>
      <c r="T383" s="5">
        <v>8.2299999999999998E-2</v>
      </c>
      <c r="U383" s="10">
        <v>3.0000000000000001E-3</v>
      </c>
    </row>
    <row r="384" spans="1:21" customFormat="1">
      <c r="A384">
        <v>1</v>
      </c>
      <c r="B384">
        <v>41</v>
      </c>
      <c r="C384">
        <v>12</v>
      </c>
      <c r="D384">
        <v>3</v>
      </c>
      <c r="E384">
        <v>2020</v>
      </c>
      <c r="F384">
        <v>13119</v>
      </c>
      <c r="G384" t="str">
        <f>VLOOKUP(F384,'[1]Sheet 1'!$B$2:$E$347,2,FALSE)</f>
        <v>Metropolitana de Santiago</v>
      </c>
      <c r="H384" t="str">
        <f>VLOOKUP(F384,'[1]Sheet 1'!$B$2:$E$347,3,FALSE)</f>
        <v>Santiago</v>
      </c>
      <c r="I384" t="str">
        <f>VLOOKUP(F384,'[1]Sheet 1'!$B$2:$E$347,4,FALSE)</f>
        <v>Maipú</v>
      </c>
      <c r="J384" t="s">
        <v>136</v>
      </c>
      <c r="K384" s="3" t="s">
        <v>0</v>
      </c>
      <c r="L384" s="12" t="str">
        <f>VLOOKUP(K384,[2]Hoja4!$A$2:$C$443,2,FALSE)</f>
        <v>Intentional self-harm by hanging, strangulation and suffocation</v>
      </c>
      <c r="M384" s="12" t="str">
        <f>VLOOKUP(K384,[2]Hoja4!$A$2:$C$443,3,FALSE)</f>
        <v>Unspecified place</v>
      </c>
      <c r="N384" s="1">
        <v>13.4</v>
      </c>
      <c r="O384" s="1">
        <v>29.3</v>
      </c>
      <c r="P384" s="1">
        <v>21.2</v>
      </c>
      <c r="Q384" s="1">
        <v>953.1</v>
      </c>
      <c r="R384" s="1"/>
      <c r="S384" s="1">
        <v>60.5</v>
      </c>
      <c r="T384" s="5">
        <v>8.2299999999999998E-2</v>
      </c>
      <c r="U384" s="10">
        <v>3.0000000000000001E-3</v>
      </c>
    </row>
    <row r="385" spans="1:21" customFormat="1">
      <c r="A385">
        <v>1</v>
      </c>
      <c r="B385">
        <v>36</v>
      </c>
      <c r="C385">
        <v>12</v>
      </c>
      <c r="D385">
        <v>3</v>
      </c>
      <c r="E385">
        <v>2020</v>
      </c>
      <c r="F385">
        <v>13122</v>
      </c>
      <c r="G385" t="str">
        <f>VLOOKUP(F385,'[1]Sheet 1'!$B$2:$E$347,2,FALSE)</f>
        <v>Metropolitana de Santiago</v>
      </c>
      <c r="H385" t="str">
        <f>VLOOKUP(F385,'[1]Sheet 1'!$B$2:$E$347,3,FALSE)</f>
        <v>Santiago</v>
      </c>
      <c r="I385" t="str">
        <f>VLOOKUP(F385,'[1]Sheet 1'!$B$2:$E$347,4,FALSE)</f>
        <v>Peñalolén</v>
      </c>
      <c r="J385" t="s">
        <v>136</v>
      </c>
      <c r="K385" s="3" t="s">
        <v>0</v>
      </c>
      <c r="L385" s="12" t="str">
        <f>VLOOKUP(K385,[2]Hoja4!$A$2:$C$443,2,FALSE)</f>
        <v>Intentional self-harm by hanging, strangulation and suffocation</v>
      </c>
      <c r="M385" s="12" t="str">
        <f>VLOOKUP(K385,[2]Hoja4!$A$2:$C$443,3,FALSE)</f>
        <v>Unspecified place</v>
      </c>
      <c r="N385" s="1">
        <v>13.4</v>
      </c>
      <c r="O385" s="1">
        <v>29.3</v>
      </c>
      <c r="P385" s="1">
        <v>21.2</v>
      </c>
      <c r="Q385" s="1">
        <v>953.1</v>
      </c>
      <c r="R385" s="1"/>
      <c r="S385" s="1">
        <v>60.5</v>
      </c>
      <c r="T385" s="5">
        <v>8.2299999999999998E-2</v>
      </c>
      <c r="U385" s="10">
        <v>3.0000000000000001E-3</v>
      </c>
    </row>
    <row r="386" spans="1:21" customFormat="1">
      <c r="A386">
        <v>2</v>
      </c>
      <c r="B386">
        <v>36</v>
      </c>
      <c r="C386">
        <v>12</v>
      </c>
      <c r="D386">
        <v>3</v>
      </c>
      <c r="E386">
        <v>2020</v>
      </c>
      <c r="F386">
        <v>16101</v>
      </c>
      <c r="G386" t="str">
        <f>VLOOKUP(F386,'[1]Sheet 1'!$B$2:$E$347,2,FALSE)</f>
        <v>Ñuble</v>
      </c>
      <c r="H386" t="str">
        <f>VLOOKUP(F386,'[1]Sheet 1'!$B$2:$E$347,3,FALSE)</f>
        <v>Diguillín</v>
      </c>
      <c r="I386" t="str">
        <f>VLOOKUP(F386,'[1]Sheet 1'!$B$2:$E$347,4,FALSE)</f>
        <v>Chillán</v>
      </c>
      <c r="J386" t="s">
        <v>136</v>
      </c>
      <c r="K386" s="3" t="s">
        <v>4</v>
      </c>
      <c r="L386" s="12" t="str">
        <f>VLOOKUP(K386,[2]Hoja4!$A$2:$C$443,2,FALSE)</f>
        <v>Intentional self-harm by hanging, strangulation and suffocation</v>
      </c>
      <c r="M386" s="12" t="str">
        <f>VLOOKUP(K386,[2]Hoja4!$A$2:$C$443,3,FALSE)</f>
        <v>At home</v>
      </c>
      <c r="N386" s="1">
        <v>10.1</v>
      </c>
      <c r="O386" s="1">
        <v>29.5</v>
      </c>
      <c r="P386" s="1">
        <v>18.8</v>
      </c>
      <c r="Q386" s="1">
        <v>995.4</v>
      </c>
      <c r="R386" s="1">
        <v>0</v>
      </c>
      <c r="S386" s="1">
        <v>70.5</v>
      </c>
      <c r="T386" s="5">
        <v>8.2299999999999998E-2</v>
      </c>
      <c r="U386" s="10">
        <v>3.0000000000000001E-3</v>
      </c>
    </row>
    <row r="387" spans="1:21" customFormat="1">
      <c r="A387">
        <v>1</v>
      </c>
      <c r="B387">
        <v>17</v>
      </c>
      <c r="C387">
        <v>12</v>
      </c>
      <c r="D387">
        <v>3</v>
      </c>
      <c r="E387">
        <v>2020</v>
      </c>
      <c r="F387">
        <v>8301</v>
      </c>
      <c r="G387" t="str">
        <f>VLOOKUP(F387,'[1]Sheet 1'!$B$2:$E$347,2,FALSE)</f>
        <v>Biobío</v>
      </c>
      <c r="H387" t="str">
        <f>VLOOKUP(F387,'[1]Sheet 1'!$B$2:$E$347,3,FALSE)</f>
        <v>Biobío</v>
      </c>
      <c r="I387" t="str">
        <f>VLOOKUP(F387,'[1]Sheet 1'!$B$2:$E$347,4,FALSE)</f>
        <v>Los Angeles</v>
      </c>
      <c r="J387" t="s">
        <v>140</v>
      </c>
      <c r="K387" s="3" t="s">
        <v>28</v>
      </c>
      <c r="L387" s="12" t="str">
        <f>VLOOKUP(K387,[2]Hoja4!$A$2:$C$443,2,FALSE)</f>
        <v>Intentional self-poisoning by and exposure to other and unspecified drugs, medicaments and biological substances</v>
      </c>
      <c r="M387" s="12" t="str">
        <f>VLOOKUP(K387,[2]Hoja4!$A$2:$C$443,3,FALSE)</f>
        <v>At home</v>
      </c>
      <c r="N387" s="1">
        <v>10</v>
      </c>
      <c r="O387" s="1">
        <v>27.2</v>
      </c>
      <c r="P387" s="1">
        <v>18.600000000000001</v>
      </c>
      <c r="Q387" s="1">
        <v>1000.6</v>
      </c>
      <c r="R387" s="1">
        <v>0</v>
      </c>
      <c r="S387" s="1">
        <v>75.8</v>
      </c>
      <c r="T387" s="5">
        <v>8.2299999999999998E-2</v>
      </c>
      <c r="U387" s="10">
        <v>3.0000000000000001E-3</v>
      </c>
    </row>
    <row r="388" spans="1:21" customFormat="1">
      <c r="A388">
        <v>2</v>
      </c>
      <c r="B388">
        <v>45</v>
      </c>
      <c r="C388">
        <v>13</v>
      </c>
      <c r="D388">
        <v>3</v>
      </c>
      <c r="E388">
        <v>2020</v>
      </c>
      <c r="F388">
        <v>13129</v>
      </c>
      <c r="G388" t="str">
        <f>VLOOKUP(F388,'[1]Sheet 1'!$B$2:$E$347,2,FALSE)</f>
        <v>Metropolitana de Santiago</v>
      </c>
      <c r="H388" t="str">
        <f>VLOOKUP(F388,'[1]Sheet 1'!$B$2:$E$347,3,FALSE)</f>
        <v>Santiago</v>
      </c>
      <c r="I388" t="str">
        <f>VLOOKUP(F388,'[1]Sheet 1'!$B$2:$E$347,4,FALSE)</f>
        <v>San Joaquín</v>
      </c>
      <c r="J388" t="s">
        <v>136</v>
      </c>
      <c r="K388" s="3" t="s">
        <v>0</v>
      </c>
      <c r="L388" s="12" t="str">
        <f>VLOOKUP(K388,[2]Hoja4!$A$2:$C$443,2,FALSE)</f>
        <v>Intentional self-harm by hanging, strangulation and suffocation</v>
      </c>
      <c r="M388" s="12" t="str">
        <f>VLOOKUP(K388,[2]Hoja4!$A$2:$C$443,3,FALSE)</f>
        <v>Unspecified place</v>
      </c>
      <c r="N388" s="1">
        <v>12.6</v>
      </c>
      <c r="O388" s="1">
        <v>28.6</v>
      </c>
      <c r="P388" s="1">
        <v>20.399999999999999</v>
      </c>
      <c r="Q388" s="1">
        <v>956.4</v>
      </c>
      <c r="R388" s="1"/>
      <c r="S388" s="1">
        <v>63.5</v>
      </c>
      <c r="T388" s="5">
        <v>8.2299999999999998E-2</v>
      </c>
      <c r="U388" s="10">
        <v>3.0000000000000001E-3</v>
      </c>
    </row>
    <row r="389" spans="1:21" customFormat="1">
      <c r="A389">
        <v>1</v>
      </c>
      <c r="B389">
        <v>35</v>
      </c>
      <c r="C389">
        <v>13</v>
      </c>
      <c r="D389">
        <v>3</v>
      </c>
      <c r="E389">
        <v>2020</v>
      </c>
      <c r="F389">
        <v>13401</v>
      </c>
      <c r="G389" t="str">
        <f>VLOOKUP(F389,'[1]Sheet 1'!$B$2:$E$347,2,FALSE)</f>
        <v>Metropolitana de Santiago</v>
      </c>
      <c r="H389" t="str">
        <f>VLOOKUP(F389,'[1]Sheet 1'!$B$2:$E$347,3,FALSE)</f>
        <v>Maipo</v>
      </c>
      <c r="I389" t="str">
        <f>VLOOKUP(F389,'[1]Sheet 1'!$B$2:$E$347,4,FALSE)</f>
        <v>San Bernardo</v>
      </c>
      <c r="J389" t="s">
        <v>136</v>
      </c>
      <c r="K389" s="3" t="s">
        <v>0</v>
      </c>
      <c r="L389" s="12" t="str">
        <f>VLOOKUP(K389,[2]Hoja4!$A$2:$C$443,2,FALSE)</f>
        <v>Intentional self-harm by hanging, strangulation and suffocation</v>
      </c>
      <c r="M389" s="12" t="str">
        <f>VLOOKUP(K389,[2]Hoja4!$A$2:$C$443,3,FALSE)</f>
        <v>Unspecified place</v>
      </c>
      <c r="N389" s="1">
        <v>9.9</v>
      </c>
      <c r="O389" s="1">
        <v>29.6</v>
      </c>
      <c r="P389" s="1">
        <v>18.7</v>
      </c>
      <c r="Q389" s="1">
        <v>965.9</v>
      </c>
      <c r="R389" s="1">
        <v>0</v>
      </c>
      <c r="S389" s="1">
        <v>76.599999999999994</v>
      </c>
      <c r="T389" s="5">
        <v>8.2299999999999998E-2</v>
      </c>
      <c r="U389" s="10">
        <v>3.0000000000000001E-3</v>
      </c>
    </row>
    <row r="390" spans="1:21" customFormat="1">
      <c r="A390">
        <v>1</v>
      </c>
      <c r="B390">
        <v>17</v>
      </c>
      <c r="C390">
        <v>13</v>
      </c>
      <c r="D390">
        <v>3</v>
      </c>
      <c r="E390">
        <v>2020</v>
      </c>
      <c r="F390">
        <v>8301</v>
      </c>
      <c r="G390" t="str">
        <f>VLOOKUP(F390,'[1]Sheet 1'!$B$2:$E$347,2,FALSE)</f>
        <v>Biobío</v>
      </c>
      <c r="H390" t="str">
        <f>VLOOKUP(F390,'[1]Sheet 1'!$B$2:$E$347,3,FALSE)</f>
        <v>Biobío</v>
      </c>
      <c r="I390" t="str">
        <f>VLOOKUP(F390,'[1]Sheet 1'!$B$2:$E$347,4,FALSE)</f>
        <v>Los Angeles</v>
      </c>
      <c r="J390" t="s">
        <v>136</v>
      </c>
      <c r="K390" s="3" t="s">
        <v>0</v>
      </c>
      <c r="L390" s="12" t="str">
        <f>VLOOKUP(K390,[2]Hoja4!$A$2:$C$443,2,FALSE)</f>
        <v>Intentional self-harm by hanging, strangulation and suffocation</v>
      </c>
      <c r="M390" s="12" t="str">
        <f>VLOOKUP(K390,[2]Hoja4!$A$2:$C$443,3,FALSE)</f>
        <v>Unspecified place</v>
      </c>
      <c r="N390" s="1">
        <v>10</v>
      </c>
      <c r="O390" s="1">
        <v>27</v>
      </c>
      <c r="P390" s="1">
        <v>18.5</v>
      </c>
      <c r="Q390" s="1">
        <v>1004.9</v>
      </c>
      <c r="R390" s="1">
        <v>1.7</v>
      </c>
      <c r="S390" s="1">
        <v>77.8</v>
      </c>
      <c r="T390" s="5">
        <v>8.2299999999999998E-2</v>
      </c>
      <c r="U390" s="10">
        <v>3.0000000000000001E-3</v>
      </c>
    </row>
    <row r="391" spans="1:21" customFormat="1">
      <c r="A391">
        <v>1</v>
      </c>
      <c r="B391">
        <v>26</v>
      </c>
      <c r="C391">
        <v>13</v>
      </c>
      <c r="D391">
        <v>3</v>
      </c>
      <c r="E391">
        <v>2020</v>
      </c>
      <c r="F391">
        <v>7301</v>
      </c>
      <c r="G391" t="str">
        <f>VLOOKUP(F391,'[1]Sheet 1'!$B$2:$E$347,2,FALSE)</f>
        <v>Maule</v>
      </c>
      <c r="H391" t="str">
        <f>VLOOKUP(F391,'[1]Sheet 1'!$B$2:$E$347,3,FALSE)</f>
        <v>Curicó</v>
      </c>
      <c r="I391" t="str">
        <f>VLOOKUP(F391,'[1]Sheet 1'!$B$2:$E$347,4,FALSE)</f>
        <v>Curicó</v>
      </c>
      <c r="J391" t="s">
        <v>136</v>
      </c>
      <c r="K391" s="3" t="s">
        <v>4</v>
      </c>
      <c r="L391" s="12" t="str">
        <f>VLOOKUP(K391,[2]Hoja4!$A$2:$C$443,2,FALSE)</f>
        <v>Intentional self-harm by hanging, strangulation and suffocation</v>
      </c>
      <c r="M391" s="12" t="str">
        <f>VLOOKUP(K391,[2]Hoja4!$A$2:$C$443,3,FALSE)</f>
        <v>At home</v>
      </c>
      <c r="N391" s="1" t="s">
        <v>89</v>
      </c>
      <c r="O391" s="1">
        <v>27.6</v>
      </c>
      <c r="P391" s="1">
        <v>20.100000000000001</v>
      </c>
      <c r="Q391" s="1">
        <v>990.7</v>
      </c>
      <c r="R391" s="1">
        <v>0</v>
      </c>
      <c r="S391" s="1">
        <v>68</v>
      </c>
      <c r="T391" s="5">
        <v>8.2299999999999998E-2</v>
      </c>
      <c r="U391" s="10">
        <v>3.0000000000000001E-3</v>
      </c>
    </row>
    <row r="392" spans="1:21" customFormat="1">
      <c r="A392">
        <v>1</v>
      </c>
      <c r="B392">
        <v>41</v>
      </c>
      <c r="C392">
        <v>14</v>
      </c>
      <c r="D392">
        <v>3</v>
      </c>
      <c r="E392">
        <v>2020</v>
      </c>
      <c r="F392">
        <v>9120</v>
      </c>
      <c r="G392" t="str">
        <f>VLOOKUP(F392,'[1]Sheet 1'!$B$2:$E$347,2,FALSE)</f>
        <v>La Araucanía</v>
      </c>
      <c r="H392" t="str">
        <f>VLOOKUP(F392,'[1]Sheet 1'!$B$2:$E$347,3,FALSE)</f>
        <v>Cautín</v>
      </c>
      <c r="I392" t="str">
        <f>VLOOKUP(F392,'[1]Sheet 1'!$B$2:$E$347,4,FALSE)</f>
        <v>Villarrica</v>
      </c>
      <c r="J392" t="s">
        <v>136</v>
      </c>
      <c r="K392" s="3" t="s">
        <v>0</v>
      </c>
      <c r="L392" s="12" t="str">
        <f>VLOOKUP(K392,[2]Hoja4!$A$2:$C$443,2,FALSE)</f>
        <v>Intentional self-harm by hanging, strangulation and suffocation</v>
      </c>
      <c r="M392" s="12" t="str">
        <f>VLOOKUP(K392,[2]Hoja4!$A$2:$C$443,3,FALSE)</f>
        <v>Unspecified place</v>
      </c>
      <c r="N392" s="1">
        <v>1.4</v>
      </c>
      <c r="O392" s="1">
        <v>23</v>
      </c>
      <c r="P392" s="1">
        <v>12.1</v>
      </c>
      <c r="Q392" s="1">
        <v>1009.5</v>
      </c>
      <c r="R392" s="1">
        <v>0</v>
      </c>
      <c r="S392" s="1">
        <v>78.8</v>
      </c>
      <c r="T392" s="5">
        <v>8.2299999999999998E-2</v>
      </c>
      <c r="U392" s="10">
        <v>3.0000000000000001E-3</v>
      </c>
    </row>
    <row r="393" spans="1:21" customFormat="1">
      <c r="A393">
        <v>2</v>
      </c>
      <c r="B393">
        <v>32</v>
      </c>
      <c r="C393">
        <v>14</v>
      </c>
      <c r="D393">
        <v>3</v>
      </c>
      <c r="E393">
        <v>2020</v>
      </c>
      <c r="F393">
        <v>12101</v>
      </c>
      <c r="G393" t="str">
        <f>VLOOKUP(F393,'[1]Sheet 1'!$B$2:$E$347,2,FALSE)</f>
        <v>Magallanes y de la Antártica Chilena</v>
      </c>
      <c r="H393" t="str">
        <f>VLOOKUP(F393,'[1]Sheet 1'!$B$2:$E$347,3,FALSE)</f>
        <v>Magallanes</v>
      </c>
      <c r="I393" t="str">
        <f>VLOOKUP(F393,'[1]Sheet 1'!$B$2:$E$347,4,FALSE)</f>
        <v>Punta Arenas</v>
      </c>
      <c r="J393" t="s">
        <v>136</v>
      </c>
      <c r="K393" s="3" t="s">
        <v>4</v>
      </c>
      <c r="L393" s="12" t="str">
        <f>VLOOKUP(K393,[2]Hoja4!$A$2:$C$443,2,FALSE)</f>
        <v>Intentional self-harm by hanging, strangulation and suffocation</v>
      </c>
      <c r="M393" s="12" t="str">
        <f>VLOOKUP(K393,[2]Hoja4!$A$2:$C$443,3,FALSE)</f>
        <v>At home</v>
      </c>
      <c r="N393" s="1">
        <v>8.6999999999999993</v>
      </c>
      <c r="O393" s="1">
        <v>16.100000000000001</v>
      </c>
      <c r="P393" s="1">
        <v>11.9</v>
      </c>
      <c r="Q393" s="1">
        <v>1000.8</v>
      </c>
      <c r="R393" s="1">
        <v>0</v>
      </c>
      <c r="S393" s="1">
        <v>74</v>
      </c>
      <c r="T393" s="5">
        <v>8.2299999999999998E-2</v>
      </c>
      <c r="U393" s="10">
        <v>3.0000000000000001E-3</v>
      </c>
    </row>
    <row r="394" spans="1:21" customFormat="1">
      <c r="A394">
        <v>1</v>
      </c>
      <c r="B394">
        <v>31</v>
      </c>
      <c r="C394">
        <v>14</v>
      </c>
      <c r="D394">
        <v>3</v>
      </c>
      <c r="E394">
        <v>2020</v>
      </c>
      <c r="F394">
        <v>4301</v>
      </c>
      <c r="G394" t="str">
        <f>VLOOKUP(F394,'[1]Sheet 1'!$B$2:$E$347,2,FALSE)</f>
        <v>Coquimbo</v>
      </c>
      <c r="H394" t="str">
        <f>VLOOKUP(F394,'[1]Sheet 1'!$B$2:$E$347,3,FALSE)</f>
        <v>Limarí</v>
      </c>
      <c r="I394" t="str">
        <f>VLOOKUP(F394,'[1]Sheet 1'!$B$2:$E$347,4,FALSE)</f>
        <v>Ovalle</v>
      </c>
      <c r="J394" t="s">
        <v>136</v>
      </c>
      <c r="K394" s="3" t="s">
        <v>4</v>
      </c>
      <c r="L394" s="12" t="str">
        <f>VLOOKUP(K394,[2]Hoja4!$A$2:$C$443,2,FALSE)</f>
        <v>Intentional self-harm by hanging, strangulation and suffocation</v>
      </c>
      <c r="M394" s="12" t="str">
        <f>VLOOKUP(K394,[2]Hoja4!$A$2:$C$443,3,FALSE)</f>
        <v>At home</v>
      </c>
      <c r="N394" s="1">
        <v>11.2</v>
      </c>
      <c r="O394" s="1">
        <v>27.5</v>
      </c>
      <c r="P394" s="1">
        <v>18</v>
      </c>
      <c r="Q394" s="1">
        <v>977.9</v>
      </c>
      <c r="R394" s="1">
        <v>0</v>
      </c>
      <c r="S394" s="1">
        <v>75.7</v>
      </c>
      <c r="T394" s="5">
        <v>8.2299999999999998E-2</v>
      </c>
      <c r="U394" s="10">
        <v>3.0000000000000001E-3</v>
      </c>
    </row>
    <row r="395" spans="1:21" customFormat="1">
      <c r="A395">
        <v>1</v>
      </c>
      <c r="B395">
        <v>63</v>
      </c>
      <c r="C395">
        <v>15</v>
      </c>
      <c r="D395">
        <v>3</v>
      </c>
      <c r="E395">
        <v>2020</v>
      </c>
      <c r="F395">
        <v>15101</v>
      </c>
      <c r="G395" t="str">
        <f>VLOOKUP(F395,'[1]Sheet 1'!$B$2:$E$347,2,FALSE)</f>
        <v>Arica y Parinacota</v>
      </c>
      <c r="H395" t="str">
        <f>VLOOKUP(F395,'[1]Sheet 1'!$B$2:$E$347,3,FALSE)</f>
        <v>Arica</v>
      </c>
      <c r="I395" t="str">
        <f>VLOOKUP(F395,'[1]Sheet 1'!$B$2:$E$347,4,FALSE)</f>
        <v>Arica</v>
      </c>
      <c r="J395" t="s">
        <v>136</v>
      </c>
      <c r="K395" s="3" t="s">
        <v>4</v>
      </c>
      <c r="L395" s="12" t="str">
        <f>VLOOKUP(K395,[2]Hoja4!$A$2:$C$443,2,FALSE)</f>
        <v>Intentional self-harm by hanging, strangulation and suffocation</v>
      </c>
      <c r="M395" s="12" t="str">
        <f>VLOOKUP(K395,[2]Hoja4!$A$2:$C$443,3,FALSE)</f>
        <v>At home</v>
      </c>
      <c r="N395" s="1">
        <v>22.3</v>
      </c>
      <c r="O395" s="1">
        <v>27</v>
      </c>
      <c r="P395" s="1">
        <v>23.9</v>
      </c>
      <c r="Q395" s="1">
        <v>1009.2</v>
      </c>
      <c r="R395" s="1">
        <v>0</v>
      </c>
      <c r="S395" s="1">
        <v>66.8</v>
      </c>
      <c r="T395" s="5">
        <v>8.2299999999999998E-2</v>
      </c>
      <c r="U395" s="10">
        <v>3.0000000000000001E-3</v>
      </c>
    </row>
    <row r="396" spans="1:21" customFormat="1">
      <c r="A396">
        <v>1</v>
      </c>
      <c r="B396">
        <v>39</v>
      </c>
      <c r="C396">
        <v>15</v>
      </c>
      <c r="D396">
        <v>3</v>
      </c>
      <c r="E396">
        <v>2020</v>
      </c>
      <c r="F396">
        <v>13203</v>
      </c>
      <c r="G396" t="str">
        <f>VLOOKUP(F396,'[1]Sheet 1'!$B$2:$E$347,2,FALSE)</f>
        <v>Metropolitana de Santiago</v>
      </c>
      <c r="H396" t="str">
        <f>VLOOKUP(F396,'[1]Sheet 1'!$B$2:$E$347,3,FALSE)</f>
        <v>Cordillera</v>
      </c>
      <c r="I396" t="str">
        <f>VLOOKUP(F396,'[1]Sheet 1'!$B$2:$E$347,4,FALSE)</f>
        <v>San José de Maipo</v>
      </c>
      <c r="J396" t="s">
        <v>136</v>
      </c>
      <c r="K396" s="3" t="s">
        <v>0</v>
      </c>
      <c r="L396" s="12" t="str">
        <f>VLOOKUP(K396,[2]Hoja4!$A$2:$C$443,2,FALSE)</f>
        <v>Intentional self-harm by hanging, strangulation and suffocation</v>
      </c>
      <c r="M396" s="12" t="str">
        <f>VLOOKUP(K396,[2]Hoja4!$A$2:$C$443,3,FALSE)</f>
        <v>Unspecified place</v>
      </c>
      <c r="N396" s="1">
        <v>9.1</v>
      </c>
      <c r="O396" s="1">
        <v>31.6</v>
      </c>
      <c r="P396" s="1">
        <v>20</v>
      </c>
      <c r="Q396" s="1">
        <v>938.1</v>
      </c>
      <c r="R396" s="1">
        <v>0</v>
      </c>
      <c r="S396" s="1">
        <v>55.7</v>
      </c>
      <c r="T396" s="5">
        <v>8.2299999999999998E-2</v>
      </c>
      <c r="U396" s="10">
        <v>3.0000000000000001E-3</v>
      </c>
    </row>
    <row r="397" spans="1:21" customFormat="1">
      <c r="A397">
        <v>2</v>
      </c>
      <c r="B397">
        <v>30</v>
      </c>
      <c r="C397">
        <v>15</v>
      </c>
      <c r="D397">
        <v>3</v>
      </c>
      <c r="E397">
        <v>2020</v>
      </c>
      <c r="F397">
        <v>1107</v>
      </c>
      <c r="G397" t="str">
        <f>VLOOKUP(F397,'[1]Sheet 1'!$B$2:$E$347,2,FALSE)</f>
        <v>Tarapacá</v>
      </c>
      <c r="H397" t="str">
        <f>VLOOKUP(F397,'[1]Sheet 1'!$B$2:$E$347,3,FALSE)</f>
        <v>Iquique</v>
      </c>
      <c r="I397" t="str">
        <f>VLOOKUP(F397,'[1]Sheet 1'!$B$2:$E$347,4,FALSE)</f>
        <v>Alto Hospicio</v>
      </c>
      <c r="J397" t="s">
        <v>136</v>
      </c>
      <c r="K397" s="3" t="s">
        <v>0</v>
      </c>
      <c r="L397" s="12" t="str">
        <f>VLOOKUP(K397,[2]Hoja4!$A$2:$C$443,2,FALSE)</f>
        <v>Intentional self-harm by hanging, strangulation and suffocation</v>
      </c>
      <c r="M397" s="12" t="str">
        <f>VLOOKUP(K397,[2]Hoja4!$A$2:$C$443,3,FALSE)</f>
        <v>Unspecified place</v>
      </c>
      <c r="N397" s="1">
        <v>19.7</v>
      </c>
      <c r="O397" s="1">
        <v>23.1</v>
      </c>
      <c r="P397" s="1">
        <v>21.4</v>
      </c>
      <c r="Q397" s="1">
        <v>1011</v>
      </c>
      <c r="R397" s="1">
        <v>0</v>
      </c>
      <c r="S397" s="1">
        <v>78</v>
      </c>
      <c r="T397" s="5">
        <v>8.2299999999999998E-2</v>
      </c>
      <c r="U397" s="10">
        <v>3.0000000000000001E-3</v>
      </c>
    </row>
    <row r="398" spans="1:21" customFormat="1">
      <c r="A398">
        <v>1</v>
      </c>
      <c r="B398">
        <v>19</v>
      </c>
      <c r="C398">
        <v>15</v>
      </c>
      <c r="D398">
        <v>3</v>
      </c>
      <c r="E398">
        <v>2020</v>
      </c>
      <c r="F398">
        <v>11201</v>
      </c>
      <c r="G398" t="str">
        <f>VLOOKUP(F398,'[1]Sheet 1'!$B$2:$E$347,2,FALSE)</f>
        <v>Aysén del General Carlos Ibáñez del Campo</v>
      </c>
      <c r="H398" t="str">
        <f>VLOOKUP(F398,'[1]Sheet 1'!$B$2:$E$347,3,FALSE)</f>
        <v>Aisén</v>
      </c>
      <c r="I398" t="str">
        <f>VLOOKUP(F398,'[1]Sheet 1'!$B$2:$E$347,4,FALSE)</f>
        <v>Aisén</v>
      </c>
      <c r="J398" t="s">
        <v>136</v>
      </c>
      <c r="K398" s="3" t="s">
        <v>4</v>
      </c>
      <c r="L398" s="12" t="str">
        <f>VLOOKUP(K398,[2]Hoja4!$A$2:$C$443,2,FALSE)</f>
        <v>Intentional self-harm by hanging, strangulation and suffocation</v>
      </c>
      <c r="M398" s="12" t="str">
        <f>VLOOKUP(K398,[2]Hoja4!$A$2:$C$443,3,FALSE)</f>
        <v>At home</v>
      </c>
      <c r="N398" s="1">
        <v>11.3</v>
      </c>
      <c r="O398" s="1">
        <v>17.600000000000001</v>
      </c>
      <c r="P398" s="1">
        <v>13.5</v>
      </c>
      <c r="Q398" s="1">
        <v>1018.6</v>
      </c>
      <c r="R398" s="1">
        <v>0</v>
      </c>
      <c r="S398" s="1">
        <v>88.1</v>
      </c>
      <c r="T398" s="5">
        <v>8.2299999999999998E-2</v>
      </c>
      <c r="U398" s="10">
        <v>3.0000000000000001E-3</v>
      </c>
    </row>
    <row r="399" spans="1:21" customFormat="1">
      <c r="A399">
        <v>1</v>
      </c>
      <c r="B399">
        <v>22</v>
      </c>
      <c r="C399">
        <v>15</v>
      </c>
      <c r="D399">
        <v>3</v>
      </c>
      <c r="E399">
        <v>2020</v>
      </c>
      <c r="F399">
        <v>6101</v>
      </c>
      <c r="G399" t="str">
        <f>VLOOKUP(F399,'[1]Sheet 1'!$B$2:$E$347,2,FALSE)</f>
        <v>Libertador General Bernardo O'Higgins</v>
      </c>
      <c r="H399" t="str">
        <f>VLOOKUP(F399,'[1]Sheet 1'!$B$2:$E$347,3,FALSE)</f>
        <v>Cachapoal</v>
      </c>
      <c r="I399" t="str">
        <f>VLOOKUP(F399,'[1]Sheet 1'!$B$2:$E$347,4,FALSE)</f>
        <v>Rancagua</v>
      </c>
      <c r="J399" t="s">
        <v>136</v>
      </c>
      <c r="K399" s="3" t="s">
        <v>0</v>
      </c>
      <c r="L399" s="12" t="str">
        <f>VLOOKUP(K399,[2]Hoja4!$A$2:$C$443,2,FALSE)</f>
        <v>Intentional self-harm by hanging, strangulation and suffocation</v>
      </c>
      <c r="M399" s="12" t="str">
        <f>VLOOKUP(K399,[2]Hoja4!$A$2:$C$443,3,FALSE)</f>
        <v>Unspecified place</v>
      </c>
      <c r="N399" s="1">
        <v>11</v>
      </c>
      <c r="O399" s="1">
        <v>30.6</v>
      </c>
      <c r="P399" s="1">
        <v>20.8</v>
      </c>
      <c r="Q399" s="1">
        <v>957.8</v>
      </c>
      <c r="R399" s="1">
        <v>0</v>
      </c>
      <c r="S399" s="1">
        <v>45.8</v>
      </c>
      <c r="T399" s="5">
        <v>8.2299999999999998E-2</v>
      </c>
      <c r="U399" s="10">
        <v>3.0000000000000001E-3</v>
      </c>
    </row>
    <row r="400" spans="1:21" customFormat="1">
      <c r="A400">
        <v>1</v>
      </c>
      <c r="B400">
        <v>47</v>
      </c>
      <c r="C400">
        <v>16</v>
      </c>
      <c r="D400">
        <v>3</v>
      </c>
      <c r="E400">
        <v>2020</v>
      </c>
      <c r="F400">
        <v>9206</v>
      </c>
      <c r="G400" t="str">
        <f>VLOOKUP(F400,'[1]Sheet 1'!$B$2:$E$347,2,FALSE)</f>
        <v>La Araucanía</v>
      </c>
      <c r="H400" t="str">
        <f>VLOOKUP(F400,'[1]Sheet 1'!$B$2:$E$347,3,FALSE)</f>
        <v>Malleco</v>
      </c>
      <c r="I400" t="str">
        <f>VLOOKUP(F400,'[1]Sheet 1'!$B$2:$E$347,4,FALSE)</f>
        <v>Los Sauces</v>
      </c>
      <c r="J400" t="s">
        <v>136</v>
      </c>
      <c r="K400" s="3" t="s">
        <v>13</v>
      </c>
      <c r="L400" s="12" t="str">
        <f>VLOOKUP(K400,[2]Hoja4!$A$2:$C$443,2,FALSE)</f>
        <v>Intentional self-harm by hanging, strangulation and suffocation</v>
      </c>
      <c r="M400" s="12" t="str">
        <f>VLOOKUP(K400,[2]Hoja4!$A$2:$C$443,3,FALSE)</f>
        <v>Other specified places</v>
      </c>
      <c r="N400" s="1">
        <v>10.6</v>
      </c>
      <c r="O400" s="1">
        <v>25.5</v>
      </c>
      <c r="P400" s="1">
        <v>18.600000000000001</v>
      </c>
      <c r="Q400" s="1">
        <v>1007</v>
      </c>
      <c r="R400" s="1">
        <v>0</v>
      </c>
      <c r="S400" s="1">
        <v>54.1</v>
      </c>
      <c r="T400" s="5">
        <v>8.2299999999999998E-2</v>
      </c>
      <c r="U400" s="10">
        <v>3.0000000000000001E-3</v>
      </c>
    </row>
    <row r="401" spans="1:21" customFormat="1">
      <c r="A401">
        <v>1</v>
      </c>
      <c r="B401">
        <v>47</v>
      </c>
      <c r="C401">
        <v>16</v>
      </c>
      <c r="D401">
        <v>3</v>
      </c>
      <c r="E401">
        <v>2020</v>
      </c>
      <c r="F401">
        <v>13605</v>
      </c>
      <c r="G401" t="str">
        <f>VLOOKUP(F401,'[1]Sheet 1'!$B$2:$E$347,2,FALSE)</f>
        <v>Metropolitana de Santiago</v>
      </c>
      <c r="H401" t="str">
        <f>VLOOKUP(F401,'[1]Sheet 1'!$B$2:$E$347,3,FALSE)</f>
        <v>Talagante</v>
      </c>
      <c r="I401" t="str">
        <f>VLOOKUP(F401,'[1]Sheet 1'!$B$2:$E$347,4,FALSE)</f>
        <v>Peñaflor</v>
      </c>
      <c r="J401" t="s">
        <v>136</v>
      </c>
      <c r="K401" s="3" t="s">
        <v>4</v>
      </c>
      <c r="L401" s="12" t="str">
        <f>VLOOKUP(K401,[2]Hoja4!$A$2:$C$443,2,FALSE)</f>
        <v>Intentional self-harm by hanging, strangulation and suffocation</v>
      </c>
      <c r="M401" s="12" t="str">
        <f>VLOOKUP(K401,[2]Hoja4!$A$2:$C$443,3,FALSE)</f>
        <v>At home</v>
      </c>
      <c r="N401" s="1">
        <v>7.5</v>
      </c>
      <c r="O401" s="1">
        <v>24.8</v>
      </c>
      <c r="P401" s="1">
        <v>16.2</v>
      </c>
      <c r="Q401" s="1"/>
      <c r="R401" s="1">
        <v>0</v>
      </c>
      <c r="S401" s="1">
        <v>71.8</v>
      </c>
      <c r="T401" s="5">
        <v>8.2299999999999998E-2</v>
      </c>
      <c r="U401" s="10">
        <v>3.0000000000000001E-3</v>
      </c>
    </row>
    <row r="402" spans="1:21" customFormat="1">
      <c r="A402">
        <v>1</v>
      </c>
      <c r="B402">
        <v>38</v>
      </c>
      <c r="C402">
        <v>16</v>
      </c>
      <c r="D402">
        <v>3</v>
      </c>
      <c r="E402">
        <v>2020</v>
      </c>
      <c r="F402">
        <v>6301</v>
      </c>
      <c r="G402" t="str">
        <f>VLOOKUP(F402,'[1]Sheet 1'!$B$2:$E$347,2,FALSE)</f>
        <v>Libertador General Bernardo O'Higgins</v>
      </c>
      <c r="H402" t="str">
        <f>VLOOKUP(F402,'[1]Sheet 1'!$B$2:$E$347,3,FALSE)</f>
        <v>Colchagua</v>
      </c>
      <c r="I402" t="str">
        <f>VLOOKUP(F402,'[1]Sheet 1'!$B$2:$E$347,4,FALSE)</f>
        <v>San Fernando</v>
      </c>
      <c r="J402" t="s">
        <v>136</v>
      </c>
      <c r="K402" s="3" t="s">
        <v>0</v>
      </c>
      <c r="L402" s="12" t="str">
        <f>VLOOKUP(K402,[2]Hoja4!$A$2:$C$443,2,FALSE)</f>
        <v>Intentional self-harm by hanging, strangulation and suffocation</v>
      </c>
      <c r="M402" s="12" t="str">
        <f>VLOOKUP(K402,[2]Hoja4!$A$2:$C$443,3,FALSE)</f>
        <v>Unspecified place</v>
      </c>
      <c r="N402" s="1" t="s">
        <v>68</v>
      </c>
      <c r="O402" s="1">
        <v>28.4</v>
      </c>
      <c r="P402" s="1">
        <v>22.8</v>
      </c>
      <c r="Q402" s="1">
        <v>978</v>
      </c>
      <c r="R402" s="1">
        <v>0</v>
      </c>
      <c r="S402" s="1">
        <v>57.6</v>
      </c>
      <c r="T402" s="5">
        <v>8.2299999999999998E-2</v>
      </c>
      <c r="U402" s="10">
        <v>3.0000000000000001E-3</v>
      </c>
    </row>
    <row r="403" spans="1:21" customFormat="1">
      <c r="A403">
        <v>1</v>
      </c>
      <c r="B403">
        <v>22</v>
      </c>
      <c r="C403">
        <v>16</v>
      </c>
      <c r="D403">
        <v>3</v>
      </c>
      <c r="E403">
        <v>2020</v>
      </c>
      <c r="F403">
        <v>5109</v>
      </c>
      <c r="G403" t="str">
        <f>VLOOKUP(F403,'[1]Sheet 1'!$B$2:$E$347,2,FALSE)</f>
        <v>Valparaíso</v>
      </c>
      <c r="H403" t="str">
        <f>VLOOKUP(F403,'[1]Sheet 1'!$B$2:$E$347,3,FALSE)</f>
        <v>Valparaíso</v>
      </c>
      <c r="I403" t="str">
        <f>VLOOKUP(F403,'[1]Sheet 1'!$B$2:$E$347,4,FALSE)</f>
        <v>Viña del Mar</v>
      </c>
      <c r="J403" t="s">
        <v>136</v>
      </c>
      <c r="K403" s="3" t="s">
        <v>0</v>
      </c>
      <c r="L403" s="12" t="str">
        <f>VLOOKUP(K403,[2]Hoja4!$A$2:$C$443,2,FALSE)</f>
        <v>Intentional self-harm by hanging, strangulation and suffocation</v>
      </c>
      <c r="M403" s="12" t="str">
        <f>VLOOKUP(K403,[2]Hoja4!$A$2:$C$443,3,FALSE)</f>
        <v>Unspecified place</v>
      </c>
      <c r="N403" s="1">
        <v>12</v>
      </c>
      <c r="O403" s="1">
        <v>16.7</v>
      </c>
      <c r="P403" s="1">
        <v>13.6</v>
      </c>
      <c r="Q403" s="1">
        <v>976.2</v>
      </c>
      <c r="R403" s="1">
        <v>0</v>
      </c>
      <c r="S403" s="1">
        <v>97.8</v>
      </c>
      <c r="T403" s="5">
        <v>8.2299999999999998E-2</v>
      </c>
      <c r="U403" s="10">
        <v>3.0000000000000001E-3</v>
      </c>
    </row>
    <row r="404" spans="1:21" customFormat="1">
      <c r="A404">
        <v>1</v>
      </c>
      <c r="B404">
        <v>80</v>
      </c>
      <c r="C404">
        <v>17</v>
      </c>
      <c r="D404">
        <v>3</v>
      </c>
      <c r="E404">
        <v>2020</v>
      </c>
      <c r="F404">
        <v>10106</v>
      </c>
      <c r="G404" t="str">
        <f>VLOOKUP(F404,'[1]Sheet 1'!$B$2:$E$347,2,FALSE)</f>
        <v>Los Lagos</v>
      </c>
      <c r="H404" t="str">
        <f>VLOOKUP(F404,'[1]Sheet 1'!$B$2:$E$347,3,FALSE)</f>
        <v>Llanquihue</v>
      </c>
      <c r="I404" t="str">
        <f>VLOOKUP(F404,'[1]Sheet 1'!$B$2:$E$347,4,FALSE)</f>
        <v>Los Muermos</v>
      </c>
      <c r="J404" t="s">
        <v>136</v>
      </c>
      <c r="K404" s="3" t="s">
        <v>0</v>
      </c>
      <c r="L404" s="12" t="str">
        <f>VLOOKUP(K404,[2]Hoja4!$A$2:$C$443,2,FALSE)</f>
        <v>Intentional self-harm by hanging, strangulation and suffocation</v>
      </c>
      <c r="M404" s="12" t="str">
        <f>VLOOKUP(K404,[2]Hoja4!$A$2:$C$443,3,FALSE)</f>
        <v>Unspecified place</v>
      </c>
      <c r="N404" s="1">
        <v>12.9</v>
      </c>
      <c r="O404" s="1">
        <v>18.8</v>
      </c>
      <c r="P404" s="1">
        <v>15</v>
      </c>
      <c r="Q404" s="1">
        <v>1010.9</v>
      </c>
      <c r="R404" s="1">
        <v>0</v>
      </c>
      <c r="S404" s="1">
        <v>85.5</v>
      </c>
      <c r="T404" s="5">
        <v>8.2299999999999998E-2</v>
      </c>
      <c r="U404" s="10">
        <v>3.0000000000000001E-3</v>
      </c>
    </row>
    <row r="405" spans="1:21" customFormat="1">
      <c r="A405">
        <v>1</v>
      </c>
      <c r="B405">
        <v>65</v>
      </c>
      <c r="C405">
        <v>17</v>
      </c>
      <c r="D405">
        <v>3</v>
      </c>
      <c r="E405">
        <v>2020</v>
      </c>
      <c r="F405">
        <v>9102</v>
      </c>
      <c r="G405" t="str">
        <f>VLOOKUP(F405,'[1]Sheet 1'!$B$2:$E$347,2,FALSE)</f>
        <v>La Araucanía</v>
      </c>
      <c r="H405" t="str">
        <f>VLOOKUP(F405,'[1]Sheet 1'!$B$2:$E$347,3,FALSE)</f>
        <v>Cautín</v>
      </c>
      <c r="I405" t="str">
        <f>VLOOKUP(F405,'[1]Sheet 1'!$B$2:$E$347,4,FALSE)</f>
        <v>Carahue</v>
      </c>
      <c r="J405" t="s">
        <v>136</v>
      </c>
      <c r="K405" s="3" t="s">
        <v>2</v>
      </c>
      <c r="L405" s="12" t="str">
        <f>VLOOKUP(K405,[2]Hoja4!$A$2:$C$443,2,FALSE)</f>
        <v>Intentional self-harm by hanging, strangulation and suffocation</v>
      </c>
      <c r="M405" s="12" t="str">
        <f>VLOOKUP(K405,[2]Hoja4!$A$2:$C$443,3,FALSE)</f>
        <v>Street and highway</v>
      </c>
      <c r="N405" s="1">
        <v>7.9</v>
      </c>
      <c r="O405" s="1">
        <v>24.4</v>
      </c>
      <c r="P405" s="1">
        <v>15.1</v>
      </c>
      <c r="Q405" s="1">
        <v>1007.6</v>
      </c>
      <c r="R405" s="1">
        <v>0</v>
      </c>
      <c r="S405" s="1">
        <v>83.2</v>
      </c>
      <c r="T405" s="5">
        <v>8.2299999999999998E-2</v>
      </c>
      <c r="U405" s="10">
        <v>3.0000000000000001E-3</v>
      </c>
    </row>
    <row r="406" spans="1:21" customFormat="1">
      <c r="A406">
        <v>1</v>
      </c>
      <c r="B406">
        <v>64</v>
      </c>
      <c r="C406">
        <v>17</v>
      </c>
      <c r="D406">
        <v>3</v>
      </c>
      <c r="E406">
        <v>2020</v>
      </c>
      <c r="F406">
        <v>13401</v>
      </c>
      <c r="G406" t="str">
        <f>VLOOKUP(F406,'[1]Sheet 1'!$B$2:$E$347,2,FALSE)</f>
        <v>Metropolitana de Santiago</v>
      </c>
      <c r="H406" t="str">
        <f>VLOOKUP(F406,'[1]Sheet 1'!$B$2:$E$347,3,FALSE)</f>
        <v>Maipo</v>
      </c>
      <c r="I406" t="str">
        <f>VLOOKUP(F406,'[1]Sheet 1'!$B$2:$E$347,4,FALSE)</f>
        <v>San Bernardo</v>
      </c>
      <c r="J406" t="s">
        <v>136</v>
      </c>
      <c r="K406" s="3" t="s">
        <v>0</v>
      </c>
      <c r="L406" s="12" t="str">
        <f>VLOOKUP(K406,[2]Hoja4!$A$2:$C$443,2,FALSE)</f>
        <v>Intentional self-harm by hanging, strangulation and suffocation</v>
      </c>
      <c r="M406" s="12" t="str">
        <f>VLOOKUP(K406,[2]Hoja4!$A$2:$C$443,3,FALSE)</f>
        <v>Unspecified place</v>
      </c>
      <c r="N406" s="1">
        <v>8.8000000000000007</v>
      </c>
      <c r="O406" s="1">
        <v>28.3</v>
      </c>
      <c r="P406" s="1">
        <v>16.8</v>
      </c>
      <c r="Q406" s="1">
        <v>965.6</v>
      </c>
      <c r="R406" s="1">
        <v>0</v>
      </c>
      <c r="S406" s="1">
        <v>73.3</v>
      </c>
      <c r="T406" s="5">
        <v>8.2299999999999998E-2</v>
      </c>
      <c r="U406" s="10">
        <v>3.0000000000000001E-3</v>
      </c>
    </row>
    <row r="407" spans="1:21" customFormat="1">
      <c r="A407">
        <v>1</v>
      </c>
      <c r="B407">
        <v>61</v>
      </c>
      <c r="C407">
        <v>17</v>
      </c>
      <c r="D407">
        <v>3</v>
      </c>
      <c r="E407">
        <v>2020</v>
      </c>
      <c r="F407">
        <v>7202</v>
      </c>
      <c r="G407" t="str">
        <f>VLOOKUP(F407,'[1]Sheet 1'!$B$2:$E$347,2,FALSE)</f>
        <v>Maule</v>
      </c>
      <c r="H407" t="str">
        <f>VLOOKUP(F407,'[1]Sheet 1'!$B$2:$E$347,3,FALSE)</f>
        <v>Cauquenes</v>
      </c>
      <c r="I407" t="str">
        <f>VLOOKUP(F407,'[1]Sheet 1'!$B$2:$E$347,4,FALSE)</f>
        <v>Chanco</v>
      </c>
      <c r="J407" t="s">
        <v>136</v>
      </c>
      <c r="K407" s="3" t="s">
        <v>0</v>
      </c>
      <c r="L407" s="12" t="str">
        <f>VLOOKUP(K407,[2]Hoja4!$A$2:$C$443,2,FALSE)</f>
        <v>Intentional self-harm by hanging, strangulation and suffocation</v>
      </c>
      <c r="M407" s="12" t="str">
        <f>VLOOKUP(K407,[2]Hoja4!$A$2:$C$443,3,FALSE)</f>
        <v>Unspecified place</v>
      </c>
      <c r="N407" s="1">
        <v>7.3</v>
      </c>
      <c r="O407" s="1" t="s">
        <v>92</v>
      </c>
      <c r="P407" s="1">
        <v>19</v>
      </c>
      <c r="Q407" s="1">
        <v>1000.7</v>
      </c>
      <c r="R407" s="1">
        <v>0</v>
      </c>
      <c r="S407" s="1">
        <v>60.3</v>
      </c>
      <c r="T407" s="5">
        <v>8.2299999999999998E-2</v>
      </c>
      <c r="U407" s="10">
        <v>3.0000000000000001E-3</v>
      </c>
    </row>
    <row r="408" spans="1:21" customFormat="1">
      <c r="A408">
        <v>1</v>
      </c>
      <c r="B408">
        <v>58</v>
      </c>
      <c r="C408">
        <v>17</v>
      </c>
      <c r="D408">
        <v>3</v>
      </c>
      <c r="E408">
        <v>2020</v>
      </c>
      <c r="F408">
        <v>7402</v>
      </c>
      <c r="G408" t="str">
        <f>VLOOKUP(F408,'[1]Sheet 1'!$B$2:$E$347,2,FALSE)</f>
        <v>Maule</v>
      </c>
      <c r="H408" t="str">
        <f>VLOOKUP(F408,'[1]Sheet 1'!$B$2:$E$347,3,FALSE)</f>
        <v>Linares</v>
      </c>
      <c r="I408" t="str">
        <f>VLOOKUP(F408,'[1]Sheet 1'!$B$2:$E$347,4,FALSE)</f>
        <v>Colbún</v>
      </c>
      <c r="J408" t="s">
        <v>136</v>
      </c>
      <c r="K408" s="3" t="s">
        <v>4</v>
      </c>
      <c r="L408" s="12" t="str">
        <f>VLOOKUP(K408,[2]Hoja4!$A$2:$C$443,2,FALSE)</f>
        <v>Intentional self-harm by hanging, strangulation and suffocation</v>
      </c>
      <c r="M408" s="12" t="str">
        <f>VLOOKUP(K408,[2]Hoja4!$A$2:$C$443,3,FALSE)</f>
        <v>At home</v>
      </c>
      <c r="N408" s="1">
        <v>5.5</v>
      </c>
      <c r="O408" s="1">
        <v>27.5</v>
      </c>
      <c r="P408" s="1">
        <v>17.8</v>
      </c>
      <c r="Q408" s="1">
        <v>997.4</v>
      </c>
      <c r="R408" s="1">
        <v>0</v>
      </c>
      <c r="S408" s="1">
        <v>72.900000000000006</v>
      </c>
      <c r="T408" s="5">
        <v>8.2299999999999998E-2</v>
      </c>
      <c r="U408" s="10">
        <v>3.0000000000000001E-3</v>
      </c>
    </row>
    <row r="409" spans="1:21" customFormat="1">
      <c r="A409">
        <v>1</v>
      </c>
      <c r="B409">
        <v>57</v>
      </c>
      <c r="C409">
        <v>17</v>
      </c>
      <c r="D409">
        <v>3</v>
      </c>
      <c r="E409">
        <v>2020</v>
      </c>
      <c r="F409">
        <v>6113</v>
      </c>
      <c r="G409" t="str">
        <f>VLOOKUP(F409,'[1]Sheet 1'!$B$2:$E$347,2,FALSE)</f>
        <v>Libertador General Bernardo O'Higgins</v>
      </c>
      <c r="H409" t="str">
        <f>VLOOKUP(F409,'[1]Sheet 1'!$B$2:$E$347,3,FALSE)</f>
        <v>Cachapoal</v>
      </c>
      <c r="I409" t="str">
        <f>VLOOKUP(F409,'[1]Sheet 1'!$B$2:$E$347,4,FALSE)</f>
        <v>Pichidegua</v>
      </c>
      <c r="J409" t="s">
        <v>136</v>
      </c>
      <c r="K409" s="3" t="s">
        <v>0</v>
      </c>
      <c r="L409" s="12" t="str">
        <f>VLOOKUP(K409,[2]Hoja4!$A$2:$C$443,2,FALSE)</f>
        <v>Intentional self-harm by hanging, strangulation and suffocation</v>
      </c>
      <c r="M409" s="12" t="str">
        <f>VLOOKUP(K409,[2]Hoja4!$A$2:$C$443,3,FALSE)</f>
        <v>Unspecified place</v>
      </c>
      <c r="N409" s="1">
        <v>9.6999999999999993</v>
      </c>
      <c r="O409" s="1">
        <v>27.2</v>
      </c>
      <c r="P409" s="1">
        <v>18.100000000000001</v>
      </c>
      <c r="Q409" s="1">
        <v>960.1</v>
      </c>
      <c r="R409" s="1">
        <v>0</v>
      </c>
      <c r="S409" s="1">
        <v>59.9</v>
      </c>
      <c r="T409" s="5">
        <v>8.2299999999999998E-2</v>
      </c>
      <c r="U409" s="10">
        <v>3.0000000000000001E-3</v>
      </c>
    </row>
    <row r="410" spans="1:21" customFormat="1">
      <c r="A410">
        <v>2</v>
      </c>
      <c r="B410">
        <v>57</v>
      </c>
      <c r="C410">
        <v>17</v>
      </c>
      <c r="D410">
        <v>3</v>
      </c>
      <c r="E410">
        <v>2020</v>
      </c>
      <c r="F410">
        <v>16201</v>
      </c>
      <c r="G410" t="str">
        <f>VLOOKUP(F410,'[1]Sheet 1'!$B$2:$E$347,2,FALSE)</f>
        <v>Ñuble</v>
      </c>
      <c r="H410" t="str">
        <f>VLOOKUP(F410,'[1]Sheet 1'!$B$2:$E$347,3,FALSE)</f>
        <v>Itata</v>
      </c>
      <c r="I410" t="str">
        <f>VLOOKUP(F410,'[1]Sheet 1'!$B$2:$E$347,4,FALSE)</f>
        <v>Quirihue</v>
      </c>
      <c r="J410" t="s">
        <v>144</v>
      </c>
      <c r="K410" s="3" t="s">
        <v>1</v>
      </c>
      <c r="L410" s="12" t="str">
        <f>VLOOKUP(K410,[2]Hoja4!$A$2:$C$443,2,FALSE)</f>
        <v>Intentional self-harm by unspecified means</v>
      </c>
      <c r="M410" s="12" t="str">
        <f>VLOOKUP(K410,[2]Hoja4!$A$2:$C$443,3,FALSE)</f>
        <v>Unspecified place</v>
      </c>
      <c r="N410" s="1">
        <v>13.9</v>
      </c>
      <c r="O410" s="1">
        <v>28.8</v>
      </c>
      <c r="P410" s="1">
        <v>19.8</v>
      </c>
      <c r="Q410" s="1">
        <v>1005</v>
      </c>
      <c r="R410" s="1">
        <v>0</v>
      </c>
      <c r="S410" s="1">
        <v>57.5</v>
      </c>
      <c r="T410" s="5">
        <v>8.2299999999999998E-2</v>
      </c>
      <c r="U410" s="10">
        <v>3.0000000000000001E-3</v>
      </c>
    </row>
    <row r="411" spans="1:21" customFormat="1">
      <c r="A411">
        <v>1</v>
      </c>
      <c r="B411">
        <v>55</v>
      </c>
      <c r="C411">
        <v>17</v>
      </c>
      <c r="D411">
        <v>3</v>
      </c>
      <c r="E411">
        <v>2020</v>
      </c>
      <c r="F411">
        <v>8301</v>
      </c>
      <c r="G411" t="str">
        <f>VLOOKUP(F411,'[1]Sheet 1'!$B$2:$E$347,2,FALSE)</f>
        <v>Biobío</v>
      </c>
      <c r="H411" t="str">
        <f>VLOOKUP(F411,'[1]Sheet 1'!$B$2:$E$347,3,FALSE)</f>
        <v>Biobío</v>
      </c>
      <c r="I411" t="str">
        <f>VLOOKUP(F411,'[1]Sheet 1'!$B$2:$E$347,4,FALSE)</f>
        <v>Los Angeles</v>
      </c>
      <c r="J411" t="s">
        <v>136</v>
      </c>
      <c r="K411" s="3" t="s">
        <v>4</v>
      </c>
      <c r="L411" s="12" t="str">
        <f>VLOOKUP(K411,[2]Hoja4!$A$2:$C$443,2,FALSE)</f>
        <v>Intentional self-harm by hanging, strangulation and suffocation</v>
      </c>
      <c r="M411" s="12" t="str">
        <f>VLOOKUP(K411,[2]Hoja4!$A$2:$C$443,3,FALSE)</f>
        <v>At home</v>
      </c>
      <c r="N411" s="1">
        <v>11</v>
      </c>
      <c r="O411" s="1">
        <v>28.7</v>
      </c>
      <c r="P411" s="1">
        <v>20.399999999999999</v>
      </c>
      <c r="Q411" s="1">
        <v>1004.8</v>
      </c>
      <c r="R411" s="1">
        <v>0</v>
      </c>
      <c r="S411" s="1">
        <v>62.6</v>
      </c>
      <c r="T411" s="5">
        <v>8.2299999999999998E-2</v>
      </c>
      <c r="U411" s="10">
        <v>3.0000000000000001E-3</v>
      </c>
    </row>
    <row r="412" spans="1:21" customFormat="1">
      <c r="A412">
        <v>1</v>
      </c>
      <c r="B412">
        <v>47</v>
      </c>
      <c r="C412">
        <v>17</v>
      </c>
      <c r="D412">
        <v>3</v>
      </c>
      <c r="E412">
        <v>2020</v>
      </c>
      <c r="F412">
        <v>6101</v>
      </c>
      <c r="G412" t="str">
        <f>VLOOKUP(F412,'[1]Sheet 1'!$B$2:$E$347,2,FALSE)</f>
        <v>Libertador General Bernardo O'Higgins</v>
      </c>
      <c r="H412" t="str">
        <f>VLOOKUP(F412,'[1]Sheet 1'!$B$2:$E$347,3,FALSE)</f>
        <v>Cachapoal</v>
      </c>
      <c r="I412" t="str">
        <f>VLOOKUP(F412,'[1]Sheet 1'!$B$2:$E$347,4,FALSE)</f>
        <v>Rancagua</v>
      </c>
      <c r="J412" t="s">
        <v>136</v>
      </c>
      <c r="K412" s="3" t="s">
        <v>0</v>
      </c>
      <c r="L412" s="12" t="str">
        <f>VLOOKUP(K412,[2]Hoja4!$A$2:$C$443,2,FALSE)</f>
        <v>Intentional self-harm by hanging, strangulation and suffocation</v>
      </c>
      <c r="M412" s="12" t="str">
        <f>VLOOKUP(K412,[2]Hoja4!$A$2:$C$443,3,FALSE)</f>
        <v>Unspecified place</v>
      </c>
      <c r="N412" s="1">
        <v>9.6999999999999993</v>
      </c>
      <c r="O412" s="1">
        <v>27.2</v>
      </c>
      <c r="P412" s="1">
        <v>18.100000000000001</v>
      </c>
      <c r="Q412" s="1">
        <v>960.1</v>
      </c>
      <c r="R412" s="1">
        <v>0</v>
      </c>
      <c r="S412" s="1">
        <v>59.9</v>
      </c>
      <c r="T412" s="5">
        <v>8.2299999999999998E-2</v>
      </c>
      <c r="U412" s="10">
        <v>3.0000000000000001E-3</v>
      </c>
    </row>
    <row r="413" spans="1:21" customFormat="1">
      <c r="A413">
        <v>1</v>
      </c>
      <c r="B413">
        <v>53</v>
      </c>
      <c r="C413">
        <v>17</v>
      </c>
      <c r="D413">
        <v>3</v>
      </c>
      <c r="E413">
        <v>2020</v>
      </c>
      <c r="F413">
        <v>8103</v>
      </c>
      <c r="G413" t="str">
        <f>VLOOKUP(F413,'[1]Sheet 1'!$B$2:$E$347,2,FALSE)</f>
        <v>Biobío</v>
      </c>
      <c r="H413" t="str">
        <f>VLOOKUP(F413,'[1]Sheet 1'!$B$2:$E$347,3,FALSE)</f>
        <v>Concepción</v>
      </c>
      <c r="I413" t="str">
        <f>VLOOKUP(F413,'[1]Sheet 1'!$B$2:$E$347,4,FALSE)</f>
        <v>Chiguayante</v>
      </c>
      <c r="J413" t="s">
        <v>136</v>
      </c>
      <c r="K413" s="3" t="s">
        <v>0</v>
      </c>
      <c r="L413" s="12" t="str">
        <f>VLOOKUP(K413,[2]Hoja4!$A$2:$C$443,2,FALSE)</f>
        <v>Intentional self-harm by hanging, strangulation and suffocation</v>
      </c>
      <c r="M413" s="12" t="str">
        <f>VLOOKUP(K413,[2]Hoja4!$A$2:$C$443,3,FALSE)</f>
        <v>Unspecified place</v>
      </c>
      <c r="N413" s="1">
        <v>10.3</v>
      </c>
      <c r="O413" s="1">
        <v>22.3</v>
      </c>
      <c r="P413" s="1">
        <v>16.2</v>
      </c>
      <c r="Q413" s="1">
        <v>1017.3</v>
      </c>
      <c r="R413" s="1">
        <v>0</v>
      </c>
      <c r="S413" s="1">
        <v>79.8</v>
      </c>
      <c r="T413" s="5">
        <v>8.2299999999999998E-2</v>
      </c>
      <c r="U413" s="10">
        <v>3.0000000000000001E-3</v>
      </c>
    </row>
    <row r="414" spans="1:21" customFormat="1">
      <c r="A414">
        <v>2</v>
      </c>
      <c r="B414">
        <v>37</v>
      </c>
      <c r="C414">
        <v>17</v>
      </c>
      <c r="D414">
        <v>3</v>
      </c>
      <c r="E414">
        <v>2020</v>
      </c>
      <c r="F414">
        <v>5701</v>
      </c>
      <c r="G414" t="str">
        <f>VLOOKUP(F414,'[1]Sheet 1'!$B$2:$E$347,2,FALSE)</f>
        <v>Valparaíso</v>
      </c>
      <c r="H414" t="str">
        <f>VLOOKUP(F414,'[1]Sheet 1'!$B$2:$E$347,3,FALSE)</f>
        <v>San Felipe de Aconcagua</v>
      </c>
      <c r="I414" t="str">
        <f>VLOOKUP(F414,'[1]Sheet 1'!$B$2:$E$347,4,FALSE)</f>
        <v>San Felipe</v>
      </c>
      <c r="J414" t="s">
        <v>136</v>
      </c>
      <c r="K414" s="3" t="s">
        <v>4</v>
      </c>
      <c r="L414" s="12" t="str">
        <f>VLOOKUP(K414,[2]Hoja4!$A$2:$C$443,2,FALSE)</f>
        <v>Intentional self-harm by hanging, strangulation and suffocation</v>
      </c>
      <c r="M414" s="12" t="str">
        <f>VLOOKUP(K414,[2]Hoja4!$A$2:$C$443,3,FALSE)</f>
        <v>At home</v>
      </c>
      <c r="N414" s="1">
        <v>8</v>
      </c>
      <c r="O414" s="1">
        <v>30.4</v>
      </c>
      <c r="P414" s="1">
        <v>18</v>
      </c>
      <c r="Q414" s="1">
        <v>939.9</v>
      </c>
      <c r="R414" s="1">
        <v>0</v>
      </c>
      <c r="S414" s="1">
        <v>61.3</v>
      </c>
      <c r="T414" s="5">
        <v>8.2299999999999998E-2</v>
      </c>
      <c r="U414" s="10">
        <v>3.0000000000000001E-3</v>
      </c>
    </row>
    <row r="415" spans="1:21" customFormat="1">
      <c r="A415">
        <v>1</v>
      </c>
      <c r="B415">
        <v>80</v>
      </c>
      <c r="C415">
        <v>18</v>
      </c>
      <c r="D415">
        <v>3</v>
      </c>
      <c r="E415">
        <v>2020</v>
      </c>
      <c r="F415">
        <v>10301</v>
      </c>
      <c r="G415" t="str">
        <f>VLOOKUP(F415,'[1]Sheet 1'!$B$2:$E$347,2,FALSE)</f>
        <v>Los Lagos</v>
      </c>
      <c r="H415" t="str">
        <f>VLOOKUP(F415,'[1]Sheet 1'!$B$2:$E$347,3,FALSE)</f>
        <v>Osorno</v>
      </c>
      <c r="I415" t="str">
        <f>VLOOKUP(F415,'[1]Sheet 1'!$B$2:$E$347,4,FALSE)</f>
        <v>Osorno</v>
      </c>
      <c r="J415" t="s">
        <v>156</v>
      </c>
      <c r="K415" s="3" t="s">
        <v>5</v>
      </c>
      <c r="L415" s="12" t="str">
        <f>VLOOKUP(K415,[2]Hoja4!$A$2:$C$443,2,FALSE)</f>
        <v>Intentional self-harm by other and unspecified firearm discharge</v>
      </c>
      <c r="M415" s="12" t="str">
        <f>VLOOKUP(K415,[2]Hoja4!$A$2:$C$443,3,FALSE)</f>
        <v>At home</v>
      </c>
      <c r="N415" s="1">
        <v>3.6</v>
      </c>
      <c r="O415" s="1">
        <v>19.8</v>
      </c>
      <c r="P415" s="1">
        <v>11.7</v>
      </c>
      <c r="Q415" s="1">
        <v>1013.3</v>
      </c>
      <c r="R415" s="1">
        <v>0</v>
      </c>
      <c r="S415" s="1">
        <v>71.2</v>
      </c>
      <c r="T415" s="5">
        <v>8.2299999999999998E-2</v>
      </c>
      <c r="U415" s="10">
        <v>3.0000000000000001E-3</v>
      </c>
    </row>
    <row r="416" spans="1:21" customFormat="1">
      <c r="A416">
        <v>1</v>
      </c>
      <c r="B416">
        <v>43</v>
      </c>
      <c r="C416">
        <v>18</v>
      </c>
      <c r="D416">
        <v>3</v>
      </c>
      <c r="E416">
        <v>2020</v>
      </c>
      <c r="F416">
        <v>5601</v>
      </c>
      <c r="G416" t="str">
        <f>VLOOKUP(F416,'[1]Sheet 1'!$B$2:$E$347,2,FALSE)</f>
        <v>Valparaíso</v>
      </c>
      <c r="H416" t="str">
        <f>VLOOKUP(F416,'[1]Sheet 1'!$B$2:$E$347,3,FALSE)</f>
        <v>San Antonio</v>
      </c>
      <c r="I416" t="str">
        <f>VLOOKUP(F416,'[1]Sheet 1'!$B$2:$E$347,4,FALSE)</f>
        <v>San Antonio</v>
      </c>
      <c r="J416" t="s">
        <v>136</v>
      </c>
      <c r="K416" s="3" t="s">
        <v>4</v>
      </c>
      <c r="L416" s="12" t="str">
        <f>VLOOKUP(K416,[2]Hoja4!$A$2:$C$443,2,FALSE)</f>
        <v>Intentional self-harm by hanging, strangulation and suffocation</v>
      </c>
      <c r="M416" s="12" t="str">
        <f>VLOOKUP(K416,[2]Hoja4!$A$2:$C$443,3,FALSE)</f>
        <v>At home</v>
      </c>
      <c r="N416" s="1">
        <v>11</v>
      </c>
      <c r="O416" s="1">
        <v>16</v>
      </c>
      <c r="P416" s="1">
        <v>13.9</v>
      </c>
      <c r="Q416" s="1">
        <v>1010.2</v>
      </c>
      <c r="R416" s="1">
        <v>0</v>
      </c>
      <c r="S416" s="1">
        <v>94</v>
      </c>
      <c r="T416" s="5">
        <v>8.2299999999999998E-2</v>
      </c>
      <c r="U416" s="10">
        <v>3.0000000000000001E-3</v>
      </c>
    </row>
    <row r="417" spans="1:21" customFormat="1">
      <c r="A417">
        <v>1</v>
      </c>
      <c r="B417">
        <v>32</v>
      </c>
      <c r="C417">
        <v>18</v>
      </c>
      <c r="D417">
        <v>3</v>
      </c>
      <c r="E417">
        <v>2020</v>
      </c>
      <c r="F417">
        <v>13605</v>
      </c>
      <c r="G417" t="str">
        <f>VLOOKUP(F417,'[1]Sheet 1'!$B$2:$E$347,2,FALSE)</f>
        <v>Metropolitana de Santiago</v>
      </c>
      <c r="H417" t="str">
        <f>VLOOKUP(F417,'[1]Sheet 1'!$B$2:$E$347,3,FALSE)</f>
        <v>Talagante</v>
      </c>
      <c r="I417" t="str">
        <f>VLOOKUP(F417,'[1]Sheet 1'!$B$2:$E$347,4,FALSE)</f>
        <v>Peñaflor</v>
      </c>
      <c r="J417" t="s">
        <v>136</v>
      </c>
      <c r="K417" s="3" t="s">
        <v>0</v>
      </c>
      <c r="L417" s="12" t="str">
        <f>VLOOKUP(K417,[2]Hoja4!$A$2:$C$443,2,FALSE)</f>
        <v>Intentional self-harm by hanging, strangulation and suffocation</v>
      </c>
      <c r="M417" s="12" t="str">
        <f>VLOOKUP(K417,[2]Hoja4!$A$2:$C$443,3,FALSE)</f>
        <v>Unspecified place</v>
      </c>
      <c r="N417" s="1">
        <v>9.4</v>
      </c>
      <c r="O417" s="1">
        <v>19.399999999999999</v>
      </c>
      <c r="P417" s="1">
        <v>18.5</v>
      </c>
      <c r="Q417" s="1"/>
      <c r="R417" s="1">
        <v>0</v>
      </c>
      <c r="S417" s="1">
        <v>60.1</v>
      </c>
      <c r="T417" s="5">
        <v>8.2299999999999998E-2</v>
      </c>
      <c r="U417" s="10">
        <v>3.0000000000000001E-3</v>
      </c>
    </row>
    <row r="418" spans="1:21" customFormat="1">
      <c r="A418">
        <v>2</v>
      </c>
      <c r="B418">
        <v>51</v>
      </c>
      <c r="C418">
        <v>19</v>
      </c>
      <c r="D418">
        <v>3</v>
      </c>
      <c r="E418">
        <v>2020</v>
      </c>
      <c r="F418">
        <v>9112</v>
      </c>
      <c r="G418" t="str">
        <f>VLOOKUP(F418,'[1]Sheet 1'!$B$2:$E$347,2,FALSE)</f>
        <v>La Araucanía</v>
      </c>
      <c r="H418" t="str">
        <f>VLOOKUP(F418,'[1]Sheet 1'!$B$2:$E$347,3,FALSE)</f>
        <v>Cautín</v>
      </c>
      <c r="I418" t="str">
        <f>VLOOKUP(F418,'[1]Sheet 1'!$B$2:$E$347,4,FALSE)</f>
        <v>Padre Las Casas</v>
      </c>
      <c r="J418" t="s">
        <v>136</v>
      </c>
      <c r="K418" s="3" t="s">
        <v>0</v>
      </c>
      <c r="L418" s="12" t="str">
        <f>VLOOKUP(K418,[2]Hoja4!$A$2:$C$443,2,FALSE)</f>
        <v>Intentional self-harm by hanging, strangulation and suffocation</v>
      </c>
      <c r="M418" s="12" t="str">
        <f>VLOOKUP(K418,[2]Hoja4!$A$2:$C$443,3,FALSE)</f>
        <v>Unspecified place</v>
      </c>
      <c r="N418" s="1">
        <v>1.8</v>
      </c>
      <c r="O418" s="1">
        <v>24.5</v>
      </c>
      <c r="P418" s="1">
        <v>12.1</v>
      </c>
      <c r="Q418" s="1">
        <v>1008.5</v>
      </c>
      <c r="R418" s="1">
        <v>0</v>
      </c>
      <c r="S418" s="1">
        <v>78.2</v>
      </c>
      <c r="T418" s="5">
        <v>8.2299999999999998E-2</v>
      </c>
      <c r="U418" s="10">
        <v>3.0000000000000001E-3</v>
      </c>
    </row>
    <row r="419" spans="1:21" customFormat="1">
      <c r="A419">
        <v>1</v>
      </c>
      <c r="B419">
        <v>48</v>
      </c>
      <c r="C419">
        <v>19</v>
      </c>
      <c r="D419">
        <v>3</v>
      </c>
      <c r="E419">
        <v>2020</v>
      </c>
      <c r="F419">
        <v>7102</v>
      </c>
      <c r="G419" t="str">
        <f>VLOOKUP(F419,'[1]Sheet 1'!$B$2:$E$347,2,FALSE)</f>
        <v>Maule</v>
      </c>
      <c r="H419" t="str">
        <f>VLOOKUP(F419,'[1]Sheet 1'!$B$2:$E$347,3,FALSE)</f>
        <v>Talca</v>
      </c>
      <c r="I419" t="str">
        <f>VLOOKUP(F419,'[1]Sheet 1'!$B$2:$E$347,4,FALSE)</f>
        <v>Constitución</v>
      </c>
      <c r="J419" t="s">
        <v>136</v>
      </c>
      <c r="K419" s="3" t="s">
        <v>4</v>
      </c>
      <c r="L419" s="12" t="str">
        <f>VLOOKUP(K419,[2]Hoja4!$A$2:$C$443,2,FALSE)</f>
        <v>Intentional self-harm by hanging, strangulation and suffocation</v>
      </c>
      <c r="M419" s="12" t="str">
        <f>VLOOKUP(K419,[2]Hoja4!$A$2:$C$443,3,FALSE)</f>
        <v>At home</v>
      </c>
      <c r="N419" s="1">
        <v>8.5</v>
      </c>
      <c r="O419" s="1">
        <v>29.1</v>
      </c>
      <c r="P419" s="1">
        <v>18.8</v>
      </c>
      <c r="Q419" s="1">
        <v>1004.1</v>
      </c>
      <c r="R419" s="1">
        <v>0</v>
      </c>
      <c r="S419" s="1">
        <v>58.4</v>
      </c>
      <c r="T419" s="5">
        <v>8.2299999999999998E-2</v>
      </c>
      <c r="U419" s="10">
        <v>3.0000000000000001E-3</v>
      </c>
    </row>
    <row r="420" spans="1:21" customFormat="1">
      <c r="A420">
        <v>1</v>
      </c>
      <c r="B420">
        <v>33</v>
      </c>
      <c r="C420">
        <v>19</v>
      </c>
      <c r="D420">
        <v>3</v>
      </c>
      <c r="E420">
        <v>2020</v>
      </c>
      <c r="F420">
        <v>8314</v>
      </c>
      <c r="G420" t="str">
        <f>VLOOKUP(F420,'[1]Sheet 1'!$B$2:$E$347,2,FALSE)</f>
        <v>Biobío</v>
      </c>
      <c r="H420" t="str">
        <f>VLOOKUP(F420,'[1]Sheet 1'!$B$2:$E$347,3,FALSE)</f>
        <v>Biobío</v>
      </c>
      <c r="I420" t="str">
        <f>VLOOKUP(F420,'[1]Sheet 1'!$B$2:$E$347,4,FALSE)</f>
        <v>Alto Biobío</v>
      </c>
      <c r="J420" t="s">
        <v>136</v>
      </c>
      <c r="K420" s="3" t="s">
        <v>0</v>
      </c>
      <c r="L420" s="12" t="str">
        <f>VLOOKUP(K420,[2]Hoja4!$A$2:$C$443,2,FALSE)</f>
        <v>Intentional self-harm by hanging, strangulation and suffocation</v>
      </c>
      <c r="M420" s="12" t="str">
        <f>VLOOKUP(K420,[2]Hoja4!$A$2:$C$443,3,FALSE)</f>
        <v>Unspecified place</v>
      </c>
      <c r="N420" s="1">
        <v>10.199999999999999</v>
      </c>
      <c r="O420" s="1">
        <v>28</v>
      </c>
      <c r="P420" s="1">
        <v>19.100000000000001</v>
      </c>
      <c r="Q420" s="1">
        <v>1005.6</v>
      </c>
      <c r="R420" s="1">
        <v>0</v>
      </c>
      <c r="S420" s="1">
        <v>69.5</v>
      </c>
      <c r="T420" s="5">
        <v>8.2299999999999998E-2</v>
      </c>
      <c r="U420" s="10">
        <v>3.0000000000000001E-3</v>
      </c>
    </row>
    <row r="421" spans="1:21" customFormat="1">
      <c r="A421">
        <v>2</v>
      </c>
      <c r="B421">
        <v>31</v>
      </c>
      <c r="C421">
        <v>19</v>
      </c>
      <c r="D421">
        <v>3</v>
      </c>
      <c r="E421">
        <v>2020</v>
      </c>
      <c r="F421">
        <v>13114</v>
      </c>
      <c r="G421" t="str">
        <f>VLOOKUP(F421,'[1]Sheet 1'!$B$2:$E$347,2,FALSE)</f>
        <v>Metropolitana de Santiago</v>
      </c>
      <c r="H421" t="str">
        <f>VLOOKUP(F421,'[1]Sheet 1'!$B$2:$E$347,3,FALSE)</f>
        <v>Santiago</v>
      </c>
      <c r="I421" t="str">
        <f>VLOOKUP(F421,'[1]Sheet 1'!$B$2:$E$347,4,FALSE)</f>
        <v>Las Condes</v>
      </c>
      <c r="J421" t="s">
        <v>157</v>
      </c>
      <c r="K421" s="3" t="s">
        <v>6</v>
      </c>
      <c r="L421" s="12" t="str">
        <f>VLOOKUP(K421,[2]Hoja4!$A$2:$C$443,2,FALSE)</f>
        <v>Intentional self-harm by sharp object</v>
      </c>
      <c r="M421" s="12" t="str">
        <f>VLOOKUP(K421,[2]Hoja4!$A$2:$C$443,3,FALSE)</f>
        <v>At home</v>
      </c>
      <c r="N421" s="1">
        <v>9.6999999999999993</v>
      </c>
      <c r="O421" s="1">
        <v>29.7</v>
      </c>
      <c r="P421" s="1">
        <v>19.2</v>
      </c>
      <c r="Q421" s="1">
        <v>956.8</v>
      </c>
      <c r="R421" s="1"/>
      <c r="S421" s="1">
        <v>63.2</v>
      </c>
      <c r="T421" s="5">
        <v>8.2299999999999998E-2</v>
      </c>
      <c r="U421" s="10">
        <v>3.0000000000000001E-3</v>
      </c>
    </row>
    <row r="422" spans="1:21" customFormat="1">
      <c r="A422">
        <v>1</v>
      </c>
      <c r="B422">
        <v>53</v>
      </c>
      <c r="C422">
        <v>19</v>
      </c>
      <c r="D422">
        <v>3</v>
      </c>
      <c r="E422">
        <v>2020</v>
      </c>
      <c r="F422">
        <v>13110</v>
      </c>
      <c r="G422" t="str">
        <f>VLOOKUP(F422,'[1]Sheet 1'!$B$2:$E$347,2,FALSE)</f>
        <v>Metropolitana de Santiago</v>
      </c>
      <c r="H422" t="str">
        <f>VLOOKUP(F422,'[1]Sheet 1'!$B$2:$E$347,3,FALSE)</f>
        <v>Santiago</v>
      </c>
      <c r="I422" t="str">
        <f>VLOOKUP(F422,'[1]Sheet 1'!$B$2:$E$347,4,FALSE)</f>
        <v>La Florida</v>
      </c>
      <c r="J422" t="s">
        <v>136</v>
      </c>
      <c r="K422" s="3" t="s">
        <v>0</v>
      </c>
      <c r="L422" s="12" t="str">
        <f>VLOOKUP(K422,[2]Hoja4!$A$2:$C$443,2,FALSE)</f>
        <v>Intentional self-harm by hanging, strangulation and suffocation</v>
      </c>
      <c r="M422" s="12" t="str">
        <f>VLOOKUP(K422,[2]Hoja4!$A$2:$C$443,3,FALSE)</f>
        <v>Unspecified place</v>
      </c>
      <c r="N422" s="1">
        <v>9.6999999999999993</v>
      </c>
      <c r="O422" s="1">
        <v>29.7</v>
      </c>
      <c r="P422" s="1">
        <v>19.2</v>
      </c>
      <c r="Q422" s="1">
        <v>956.8</v>
      </c>
      <c r="R422" s="1"/>
      <c r="S422" s="1">
        <v>63.2</v>
      </c>
      <c r="T422" s="5">
        <v>8.2299999999999998E-2</v>
      </c>
      <c r="U422" s="10">
        <v>3.0000000000000001E-3</v>
      </c>
    </row>
    <row r="423" spans="1:21" customFormat="1">
      <c r="A423">
        <v>1</v>
      </c>
      <c r="B423">
        <v>19</v>
      </c>
      <c r="C423">
        <v>19</v>
      </c>
      <c r="D423">
        <v>3</v>
      </c>
      <c r="E423">
        <v>2020</v>
      </c>
      <c r="F423">
        <v>8203</v>
      </c>
      <c r="G423" t="str">
        <f>VLOOKUP(F423,'[1]Sheet 1'!$B$2:$E$347,2,FALSE)</f>
        <v>Biobío</v>
      </c>
      <c r="H423" t="str">
        <f>VLOOKUP(F423,'[1]Sheet 1'!$B$2:$E$347,3,FALSE)</f>
        <v>Arauco</v>
      </c>
      <c r="I423" t="str">
        <f>VLOOKUP(F423,'[1]Sheet 1'!$B$2:$E$347,4,FALSE)</f>
        <v>Cañete</v>
      </c>
      <c r="J423" t="s">
        <v>142</v>
      </c>
      <c r="K423" s="3" t="s">
        <v>5</v>
      </c>
      <c r="L423" s="12" t="str">
        <f>VLOOKUP(K423,[2]Hoja4!$A$2:$C$443,2,FALSE)</f>
        <v>Intentional self-harm by other and unspecified firearm discharge</v>
      </c>
      <c r="M423" s="12" t="str">
        <f>VLOOKUP(K423,[2]Hoja4!$A$2:$C$443,3,FALSE)</f>
        <v>At home</v>
      </c>
      <c r="N423" s="1">
        <v>8.5</v>
      </c>
      <c r="O423" s="1">
        <v>22.4</v>
      </c>
      <c r="P423" s="1">
        <v>15.3</v>
      </c>
      <c r="Q423" s="1">
        <v>1011.9</v>
      </c>
      <c r="R423" s="1">
        <v>0</v>
      </c>
      <c r="S423" s="1">
        <v>74.5</v>
      </c>
      <c r="T423" s="5">
        <v>8.2299999999999998E-2</v>
      </c>
      <c r="U423" s="10">
        <v>3.0000000000000001E-3</v>
      </c>
    </row>
    <row r="424" spans="1:21" customFormat="1">
      <c r="A424">
        <v>1</v>
      </c>
      <c r="B424">
        <v>72</v>
      </c>
      <c r="C424">
        <v>20</v>
      </c>
      <c r="D424">
        <v>3</v>
      </c>
      <c r="E424">
        <v>2020</v>
      </c>
      <c r="F424">
        <v>7403</v>
      </c>
      <c r="G424" t="str">
        <f>VLOOKUP(F424,'[1]Sheet 1'!$B$2:$E$347,2,FALSE)</f>
        <v>Maule</v>
      </c>
      <c r="H424" t="str">
        <f>VLOOKUP(F424,'[1]Sheet 1'!$B$2:$E$347,3,FALSE)</f>
        <v>Linares</v>
      </c>
      <c r="I424" t="str">
        <f>VLOOKUP(F424,'[1]Sheet 1'!$B$2:$E$347,4,FALSE)</f>
        <v>Longaví</v>
      </c>
      <c r="J424" t="s">
        <v>158</v>
      </c>
      <c r="K424" s="3" t="s">
        <v>6</v>
      </c>
      <c r="L424" s="12" t="str">
        <f>VLOOKUP(K424,[2]Hoja4!$A$2:$C$443,2,FALSE)</f>
        <v>Intentional self-harm by sharp object</v>
      </c>
      <c r="M424" s="12" t="str">
        <f>VLOOKUP(K424,[2]Hoja4!$A$2:$C$443,3,FALSE)</f>
        <v>At home</v>
      </c>
      <c r="N424" s="1">
        <v>3.2</v>
      </c>
      <c r="O424" s="1">
        <v>29.2</v>
      </c>
      <c r="P424" s="1">
        <v>16.7</v>
      </c>
      <c r="Q424" s="1">
        <v>993</v>
      </c>
      <c r="R424" s="1">
        <v>0</v>
      </c>
      <c r="S424" s="1">
        <v>72.599999999999994</v>
      </c>
      <c r="T424" s="5">
        <v>8.2299999999999998E-2</v>
      </c>
      <c r="U424" s="10">
        <v>3.0000000000000001E-3</v>
      </c>
    </row>
    <row r="425" spans="1:21" customFormat="1">
      <c r="A425">
        <v>1</v>
      </c>
      <c r="B425">
        <v>22</v>
      </c>
      <c r="C425">
        <v>20</v>
      </c>
      <c r="D425">
        <v>3</v>
      </c>
      <c r="E425">
        <v>2020</v>
      </c>
      <c r="F425">
        <v>5506</v>
      </c>
      <c r="G425" t="str">
        <f>VLOOKUP(F425,'[1]Sheet 1'!$B$2:$E$347,2,FALSE)</f>
        <v>Valparaíso</v>
      </c>
      <c r="H425" t="str">
        <f>VLOOKUP(F425,'[1]Sheet 1'!$B$2:$E$347,3,FALSE)</f>
        <v>Quillota</v>
      </c>
      <c r="I425" t="str">
        <f>VLOOKUP(F425,'[1]Sheet 1'!$B$2:$E$347,4,FALSE)</f>
        <v>Nogales</v>
      </c>
      <c r="J425" t="s">
        <v>136</v>
      </c>
      <c r="K425" s="3" t="s">
        <v>0</v>
      </c>
      <c r="L425" s="12" t="str">
        <f>VLOOKUP(K425,[2]Hoja4!$A$2:$C$443,2,FALSE)</f>
        <v>Intentional self-harm by hanging, strangulation and suffocation</v>
      </c>
      <c r="M425" s="12" t="str">
        <f>VLOOKUP(K425,[2]Hoja4!$A$2:$C$443,3,FALSE)</f>
        <v>Unspecified place</v>
      </c>
      <c r="N425" s="1" t="s">
        <v>99</v>
      </c>
      <c r="O425" s="1">
        <v>23.5</v>
      </c>
      <c r="P425" s="1">
        <v>14.6</v>
      </c>
      <c r="Q425" s="1">
        <v>995.3</v>
      </c>
      <c r="R425" s="1">
        <v>0</v>
      </c>
      <c r="S425" s="1">
        <v>81.5</v>
      </c>
      <c r="T425" s="5">
        <v>8.2299999999999998E-2</v>
      </c>
      <c r="U425" s="10">
        <v>3.0000000000000001E-3</v>
      </c>
    </row>
    <row r="426" spans="1:21" customFormat="1">
      <c r="A426">
        <v>1</v>
      </c>
      <c r="B426">
        <v>30</v>
      </c>
      <c r="C426">
        <v>20</v>
      </c>
      <c r="D426">
        <v>3</v>
      </c>
      <c r="E426">
        <v>2020</v>
      </c>
      <c r="F426">
        <v>3202</v>
      </c>
      <c r="G426" t="str">
        <f>VLOOKUP(F426,'[1]Sheet 1'!$B$2:$E$347,2,FALSE)</f>
        <v>Atacama</v>
      </c>
      <c r="H426" t="str">
        <f>VLOOKUP(F426,'[1]Sheet 1'!$B$2:$E$347,3,FALSE)</f>
        <v>Chañaral</v>
      </c>
      <c r="I426" t="str">
        <f>VLOOKUP(F426,'[1]Sheet 1'!$B$2:$E$347,4,FALSE)</f>
        <v>Diego de Almagro</v>
      </c>
      <c r="J426" t="s">
        <v>153</v>
      </c>
      <c r="K426" s="3" t="s">
        <v>15</v>
      </c>
      <c r="L426" s="12" t="str">
        <f>VLOOKUP(K426,[2]Hoja4!$A$2:$C$443,2,FALSE)</f>
        <v>Intentional self-poisoning by and exposure to carbon monoxide and other gases and vapours</v>
      </c>
      <c r="M426" s="12" t="str">
        <f>VLOOKUP(K426,[2]Hoja4!$A$2:$C$443,3,FALSE)</f>
        <v>At home</v>
      </c>
      <c r="N426" s="1">
        <v>15.4</v>
      </c>
      <c r="O426" s="1">
        <v>22</v>
      </c>
      <c r="P426" s="1">
        <v>17</v>
      </c>
      <c r="Q426" s="1" t="s">
        <v>78</v>
      </c>
      <c r="R426" s="1">
        <v>0</v>
      </c>
      <c r="S426" s="1" t="s">
        <v>84</v>
      </c>
      <c r="T426" s="5">
        <v>8.2299999999999998E-2</v>
      </c>
      <c r="U426" s="10">
        <v>3.0000000000000001E-3</v>
      </c>
    </row>
    <row r="427" spans="1:21" customFormat="1">
      <c r="A427">
        <v>1</v>
      </c>
      <c r="B427">
        <v>23</v>
      </c>
      <c r="C427">
        <v>20</v>
      </c>
      <c r="D427">
        <v>3</v>
      </c>
      <c r="E427">
        <v>2020</v>
      </c>
      <c r="F427">
        <v>13127</v>
      </c>
      <c r="G427" t="str">
        <f>VLOOKUP(F427,'[1]Sheet 1'!$B$2:$E$347,2,FALSE)</f>
        <v>Metropolitana de Santiago</v>
      </c>
      <c r="H427" t="str">
        <f>VLOOKUP(F427,'[1]Sheet 1'!$B$2:$E$347,3,FALSE)</f>
        <v>Santiago</v>
      </c>
      <c r="I427" t="str">
        <f>VLOOKUP(F427,'[1]Sheet 1'!$B$2:$E$347,4,FALSE)</f>
        <v>Recoleta</v>
      </c>
      <c r="J427" t="s">
        <v>136</v>
      </c>
      <c r="K427" s="3" t="s">
        <v>0</v>
      </c>
      <c r="L427" s="12" t="str">
        <f>VLOOKUP(K427,[2]Hoja4!$A$2:$C$443,2,FALSE)</f>
        <v>Intentional self-harm by hanging, strangulation and suffocation</v>
      </c>
      <c r="M427" s="12" t="str">
        <f>VLOOKUP(K427,[2]Hoja4!$A$2:$C$443,3,FALSE)</f>
        <v>Unspecified place</v>
      </c>
      <c r="N427" s="1">
        <v>10.199999999999999</v>
      </c>
      <c r="O427" s="1">
        <v>28.1</v>
      </c>
      <c r="P427" s="1">
        <v>18.600000000000001</v>
      </c>
      <c r="Q427" s="1">
        <v>953.4</v>
      </c>
      <c r="R427" s="1"/>
      <c r="S427" s="1">
        <v>68.2</v>
      </c>
      <c r="T427" s="5">
        <v>8.2299999999999998E-2</v>
      </c>
      <c r="U427" s="10">
        <v>3.0000000000000001E-3</v>
      </c>
    </row>
    <row r="428" spans="1:21" customFormat="1">
      <c r="A428">
        <v>1</v>
      </c>
      <c r="B428">
        <v>22</v>
      </c>
      <c r="C428">
        <v>20</v>
      </c>
      <c r="D428">
        <v>3</v>
      </c>
      <c r="E428">
        <v>2020</v>
      </c>
      <c r="F428">
        <v>10101</v>
      </c>
      <c r="G428" t="str">
        <f>VLOOKUP(F428,'[1]Sheet 1'!$B$2:$E$347,2,FALSE)</f>
        <v>Los Lagos</v>
      </c>
      <c r="H428" t="str">
        <f>VLOOKUP(F428,'[1]Sheet 1'!$B$2:$E$347,3,FALSE)</f>
        <v>Llanquihue</v>
      </c>
      <c r="I428" t="str">
        <f>VLOOKUP(F428,'[1]Sheet 1'!$B$2:$E$347,4,FALSE)</f>
        <v>Puerto Montt</v>
      </c>
      <c r="J428" t="s">
        <v>136</v>
      </c>
      <c r="K428" s="3" t="s">
        <v>4</v>
      </c>
      <c r="L428" s="12" t="str">
        <f>VLOOKUP(K428,[2]Hoja4!$A$2:$C$443,2,FALSE)</f>
        <v>Intentional self-harm by hanging, strangulation and suffocation</v>
      </c>
      <c r="M428" s="12" t="str">
        <f>VLOOKUP(K428,[2]Hoja4!$A$2:$C$443,3,FALSE)</f>
        <v>At home</v>
      </c>
      <c r="N428" s="1">
        <v>13.5</v>
      </c>
      <c r="O428" s="1">
        <v>20.100000000000001</v>
      </c>
      <c r="P428" s="1">
        <v>15.6</v>
      </c>
      <c r="Q428" s="1">
        <v>1001.7</v>
      </c>
      <c r="R428" s="1">
        <v>0</v>
      </c>
      <c r="S428" s="1">
        <v>88.2</v>
      </c>
      <c r="T428" s="5">
        <v>8.2299999999999998E-2</v>
      </c>
      <c r="U428" s="10">
        <v>3.0000000000000001E-3</v>
      </c>
    </row>
    <row r="429" spans="1:21" customFormat="1">
      <c r="A429">
        <v>1</v>
      </c>
      <c r="B429">
        <v>39</v>
      </c>
      <c r="C429">
        <v>21</v>
      </c>
      <c r="D429">
        <v>3</v>
      </c>
      <c r="E429">
        <v>2020</v>
      </c>
      <c r="F429">
        <v>8110</v>
      </c>
      <c r="G429" t="str">
        <f>VLOOKUP(F429,'[1]Sheet 1'!$B$2:$E$347,2,FALSE)</f>
        <v>Biobío</v>
      </c>
      <c r="H429" t="str">
        <f>VLOOKUP(F429,'[1]Sheet 1'!$B$2:$E$347,3,FALSE)</f>
        <v>Concepción</v>
      </c>
      <c r="I429" t="str">
        <f>VLOOKUP(F429,'[1]Sheet 1'!$B$2:$E$347,4,FALSE)</f>
        <v>Talcahuano</v>
      </c>
      <c r="J429" t="s">
        <v>136</v>
      </c>
      <c r="K429" s="3" t="s">
        <v>0</v>
      </c>
      <c r="L429" s="12" t="str">
        <f>VLOOKUP(K429,[2]Hoja4!$A$2:$C$443,2,FALSE)</f>
        <v>Intentional self-harm by hanging, strangulation and suffocation</v>
      </c>
      <c r="M429" s="12" t="str">
        <f>VLOOKUP(K429,[2]Hoja4!$A$2:$C$443,3,FALSE)</f>
        <v>Unspecified place</v>
      </c>
      <c r="N429" s="1" t="s">
        <v>49</v>
      </c>
      <c r="O429" s="1">
        <v>18.399999999999999</v>
      </c>
      <c r="P429" s="1">
        <v>14.7</v>
      </c>
      <c r="Q429" s="1">
        <v>1014.8</v>
      </c>
      <c r="R429" s="1">
        <v>0</v>
      </c>
      <c r="S429" s="1">
        <v>72.8</v>
      </c>
      <c r="T429" s="5">
        <v>8.2299999999999998E-2</v>
      </c>
      <c r="U429" s="10">
        <v>3.0000000000000001E-3</v>
      </c>
    </row>
    <row r="430" spans="1:21" customFormat="1">
      <c r="A430">
        <v>1</v>
      </c>
      <c r="B430">
        <v>35</v>
      </c>
      <c r="C430">
        <v>21</v>
      </c>
      <c r="D430">
        <v>3</v>
      </c>
      <c r="E430">
        <v>2020</v>
      </c>
      <c r="F430">
        <v>13102</v>
      </c>
      <c r="G430" t="str">
        <f>VLOOKUP(F430,'[1]Sheet 1'!$B$2:$E$347,2,FALSE)</f>
        <v>Metropolitana de Santiago</v>
      </c>
      <c r="H430" t="str">
        <f>VLOOKUP(F430,'[1]Sheet 1'!$B$2:$E$347,3,FALSE)</f>
        <v>Santiago</v>
      </c>
      <c r="I430" t="str">
        <f>VLOOKUP(F430,'[1]Sheet 1'!$B$2:$E$347,4,FALSE)</f>
        <v>Cerrillos</v>
      </c>
      <c r="J430" t="s">
        <v>136</v>
      </c>
      <c r="K430" s="3" t="s">
        <v>0</v>
      </c>
      <c r="L430" s="12" t="str">
        <f>VLOOKUP(K430,[2]Hoja4!$A$2:$C$443,2,FALSE)</f>
        <v>Intentional self-harm by hanging, strangulation and suffocation</v>
      </c>
      <c r="M430" s="12" t="str">
        <f>VLOOKUP(K430,[2]Hoja4!$A$2:$C$443,3,FALSE)</f>
        <v>Unspecified place</v>
      </c>
      <c r="N430" s="1">
        <v>9.6999999999999993</v>
      </c>
      <c r="O430" s="1">
        <v>21.3</v>
      </c>
      <c r="P430" s="1">
        <v>15.1</v>
      </c>
      <c r="Q430" s="1">
        <v>956.2</v>
      </c>
      <c r="R430" s="1"/>
      <c r="S430" s="1">
        <v>77</v>
      </c>
      <c r="T430" s="5">
        <v>8.2299999999999998E-2</v>
      </c>
      <c r="U430" s="10">
        <v>3.0000000000000001E-3</v>
      </c>
    </row>
    <row r="431" spans="1:21" customFormat="1">
      <c r="A431">
        <v>1</v>
      </c>
      <c r="B431">
        <v>32</v>
      </c>
      <c r="C431">
        <v>21</v>
      </c>
      <c r="D431">
        <v>3</v>
      </c>
      <c r="E431">
        <v>2020</v>
      </c>
      <c r="F431">
        <v>13301</v>
      </c>
      <c r="G431" t="str">
        <f>VLOOKUP(F431,'[1]Sheet 1'!$B$2:$E$347,2,FALSE)</f>
        <v>Metropolitana de Santiago</v>
      </c>
      <c r="H431" t="str">
        <f>VLOOKUP(F431,'[1]Sheet 1'!$B$2:$E$347,3,FALSE)</f>
        <v>Chacabuco</v>
      </c>
      <c r="I431" t="str">
        <f>VLOOKUP(F431,'[1]Sheet 1'!$B$2:$E$347,4,FALSE)</f>
        <v>Colina</v>
      </c>
      <c r="J431" t="s">
        <v>140</v>
      </c>
      <c r="K431" s="3" t="s">
        <v>20</v>
      </c>
      <c r="L431" s="12" t="str">
        <f>VLOOKUP(K431,[2]Hoja4!$A$2:$C$443,2,FALSE)</f>
        <v>Intentional self-poisoning by and exposure to other and unspecified drugs, medicaments and biological substances</v>
      </c>
      <c r="M431" s="12" t="str">
        <f>VLOOKUP(K431,[2]Hoja4!$A$2:$C$443,3,FALSE)</f>
        <v>Unspecified place</v>
      </c>
      <c r="N431" s="1">
        <v>9.3000000000000007</v>
      </c>
      <c r="O431" s="1">
        <v>22.2</v>
      </c>
      <c r="P431" s="1">
        <v>16.5</v>
      </c>
      <c r="Q431" s="1">
        <v>937.7</v>
      </c>
      <c r="R431" s="1"/>
      <c r="S431" s="1">
        <v>63.2</v>
      </c>
      <c r="T431" s="5">
        <v>8.2299999999999998E-2</v>
      </c>
      <c r="U431" s="10">
        <v>3.0000000000000001E-3</v>
      </c>
    </row>
    <row r="432" spans="1:21" customFormat="1">
      <c r="A432">
        <v>2</v>
      </c>
      <c r="B432">
        <v>81</v>
      </c>
      <c r="C432">
        <v>22</v>
      </c>
      <c r="D432">
        <v>3</v>
      </c>
      <c r="E432">
        <v>2020</v>
      </c>
      <c r="F432">
        <v>5801</v>
      </c>
      <c r="G432" t="str">
        <f>VLOOKUP(F432,'[1]Sheet 1'!$B$2:$E$347,2,FALSE)</f>
        <v>Valparaíso</v>
      </c>
      <c r="H432" t="str">
        <f>VLOOKUP(F432,'[1]Sheet 1'!$B$2:$E$347,3,FALSE)</f>
        <v>Marga Marga</v>
      </c>
      <c r="I432" t="str">
        <f>VLOOKUP(F432,'[1]Sheet 1'!$B$2:$E$347,4,FALSE)</f>
        <v>Quilpué</v>
      </c>
      <c r="J432" t="s">
        <v>159</v>
      </c>
      <c r="K432" s="3" t="s">
        <v>12</v>
      </c>
      <c r="L432" s="12" t="str">
        <f>VLOOKUP(K432,[2]Hoja4!$A$2:$C$443,2,FALSE)</f>
        <v>Intentional self-poisoning by and exposure to other and unspecified chemicals and noxious substances</v>
      </c>
      <c r="M432" s="12" t="str">
        <f>VLOOKUP(K432,[2]Hoja4!$A$2:$C$443,3,FALSE)</f>
        <v>Unspecified place</v>
      </c>
      <c r="N432" s="1">
        <v>9.1999999999999993</v>
      </c>
      <c r="O432" s="1">
        <v>23.5</v>
      </c>
      <c r="P432" s="1">
        <v>15.4</v>
      </c>
      <c r="Q432" s="1">
        <v>1014.7</v>
      </c>
      <c r="R432" s="1">
        <v>0</v>
      </c>
      <c r="S432" s="1">
        <v>71.3</v>
      </c>
      <c r="T432" s="5">
        <v>8.2299999999999998E-2</v>
      </c>
      <c r="U432" s="10">
        <v>3.0000000000000001E-3</v>
      </c>
    </row>
    <row r="433" spans="1:21" customFormat="1">
      <c r="A433">
        <v>1</v>
      </c>
      <c r="B433">
        <v>66</v>
      </c>
      <c r="C433">
        <v>22</v>
      </c>
      <c r="D433">
        <v>3</v>
      </c>
      <c r="E433">
        <v>2020</v>
      </c>
      <c r="F433">
        <v>3101</v>
      </c>
      <c r="G433" t="str">
        <f>VLOOKUP(F433,'[1]Sheet 1'!$B$2:$E$347,2,FALSE)</f>
        <v>Atacama</v>
      </c>
      <c r="H433" t="str">
        <f>VLOOKUP(F433,'[1]Sheet 1'!$B$2:$E$347,3,FALSE)</f>
        <v>Copiapó</v>
      </c>
      <c r="I433" t="str">
        <f>VLOOKUP(F433,'[1]Sheet 1'!$B$2:$E$347,4,FALSE)</f>
        <v>Copiapó</v>
      </c>
      <c r="J433" t="s">
        <v>153</v>
      </c>
      <c r="K433" s="3" t="s">
        <v>15</v>
      </c>
      <c r="L433" s="12" t="str">
        <f>VLOOKUP(K433,[2]Hoja4!$A$2:$C$443,2,FALSE)</f>
        <v>Intentional self-poisoning by and exposure to carbon monoxide and other gases and vapours</v>
      </c>
      <c r="M433" s="12" t="str">
        <f>VLOOKUP(K433,[2]Hoja4!$A$2:$C$443,3,FALSE)</f>
        <v>At home</v>
      </c>
      <c r="N433" s="1">
        <v>13.3</v>
      </c>
      <c r="O433" s="1">
        <v>24</v>
      </c>
      <c r="P433" s="1">
        <v>18.100000000000001</v>
      </c>
      <c r="Q433" s="1">
        <v>993.5</v>
      </c>
      <c r="R433" s="1">
        <v>0</v>
      </c>
      <c r="S433" s="1">
        <v>69.5</v>
      </c>
      <c r="T433" s="5">
        <v>8.2299999999999998E-2</v>
      </c>
      <c r="U433" s="10">
        <v>3.0000000000000001E-3</v>
      </c>
    </row>
    <row r="434" spans="1:21" customFormat="1">
      <c r="A434">
        <v>2</v>
      </c>
      <c r="B434">
        <v>68</v>
      </c>
      <c r="C434">
        <v>22</v>
      </c>
      <c r="D434">
        <v>3</v>
      </c>
      <c r="E434">
        <v>2020</v>
      </c>
      <c r="F434">
        <v>5702</v>
      </c>
      <c r="G434" t="str">
        <f>VLOOKUP(F434,'[1]Sheet 1'!$B$2:$E$347,2,FALSE)</f>
        <v>Valparaíso</v>
      </c>
      <c r="H434" t="str">
        <f>VLOOKUP(F434,'[1]Sheet 1'!$B$2:$E$347,3,FALSE)</f>
        <v>San Felipe de Aconcagua</v>
      </c>
      <c r="I434" t="str">
        <f>VLOOKUP(F434,'[1]Sheet 1'!$B$2:$E$347,4,FALSE)</f>
        <v>Catemu</v>
      </c>
      <c r="J434" t="s">
        <v>136</v>
      </c>
      <c r="K434" s="3" t="s">
        <v>4</v>
      </c>
      <c r="L434" s="12" t="str">
        <f>VLOOKUP(K434,[2]Hoja4!$A$2:$C$443,2,FALSE)</f>
        <v>Intentional self-harm by hanging, strangulation and suffocation</v>
      </c>
      <c r="M434" s="12" t="str">
        <f>VLOOKUP(K434,[2]Hoja4!$A$2:$C$443,3,FALSE)</f>
        <v>At home</v>
      </c>
      <c r="N434" s="1">
        <v>7.5</v>
      </c>
      <c r="O434" s="1">
        <v>28.8</v>
      </c>
      <c r="P434" s="1">
        <v>16.399999999999999</v>
      </c>
      <c r="Q434" s="1">
        <v>940.6</v>
      </c>
      <c r="R434" s="1">
        <v>0</v>
      </c>
      <c r="S434" s="1">
        <v>66.400000000000006</v>
      </c>
      <c r="T434" s="5">
        <v>8.2299999999999998E-2</v>
      </c>
      <c r="U434" s="10">
        <v>3.0000000000000001E-3</v>
      </c>
    </row>
    <row r="435" spans="1:21" customFormat="1">
      <c r="A435">
        <v>1</v>
      </c>
      <c r="B435">
        <v>60</v>
      </c>
      <c r="C435">
        <v>22</v>
      </c>
      <c r="D435">
        <v>3</v>
      </c>
      <c r="E435">
        <v>2020</v>
      </c>
      <c r="F435">
        <v>14101</v>
      </c>
      <c r="G435" t="str">
        <f>VLOOKUP(F435,'[1]Sheet 1'!$B$2:$E$347,2,FALSE)</f>
        <v>Los Ríos</v>
      </c>
      <c r="H435" t="str">
        <f>VLOOKUP(F435,'[1]Sheet 1'!$B$2:$E$347,3,FALSE)</f>
        <v>Valdivia</v>
      </c>
      <c r="I435" t="str">
        <f>VLOOKUP(F435,'[1]Sheet 1'!$B$2:$E$347,4,FALSE)</f>
        <v>Valdivia</v>
      </c>
      <c r="J435" t="s">
        <v>136</v>
      </c>
      <c r="K435" s="3" t="s">
        <v>4</v>
      </c>
      <c r="L435" s="12" t="str">
        <f>VLOOKUP(K435,[2]Hoja4!$A$2:$C$443,2,FALSE)</f>
        <v>Intentional self-harm by hanging, strangulation and suffocation</v>
      </c>
      <c r="M435" s="12" t="str">
        <f>VLOOKUP(K435,[2]Hoja4!$A$2:$C$443,3,FALSE)</f>
        <v>At home</v>
      </c>
      <c r="N435" s="1">
        <v>10.7</v>
      </c>
      <c r="O435" s="1">
        <v>22.5</v>
      </c>
      <c r="P435" s="1">
        <v>15.8</v>
      </c>
      <c r="Q435" s="1">
        <v>1012.1</v>
      </c>
      <c r="R435" s="1">
        <v>0</v>
      </c>
      <c r="S435" s="1">
        <v>67.2</v>
      </c>
      <c r="T435" s="5">
        <v>8.2299999999999998E-2</v>
      </c>
      <c r="U435" s="10">
        <v>3.0000000000000001E-3</v>
      </c>
    </row>
    <row r="436" spans="1:21" customFormat="1">
      <c r="A436">
        <v>1</v>
      </c>
      <c r="B436">
        <v>36</v>
      </c>
      <c r="C436">
        <v>22</v>
      </c>
      <c r="D436">
        <v>3</v>
      </c>
      <c r="E436">
        <v>2020</v>
      </c>
      <c r="F436">
        <v>4101</v>
      </c>
      <c r="G436" t="str">
        <f>VLOOKUP(F436,'[1]Sheet 1'!$B$2:$E$347,2,FALSE)</f>
        <v>Coquimbo</v>
      </c>
      <c r="H436" t="str">
        <f>VLOOKUP(F436,'[1]Sheet 1'!$B$2:$E$347,3,FALSE)</f>
        <v>Elqui</v>
      </c>
      <c r="I436" t="str">
        <f>VLOOKUP(F436,'[1]Sheet 1'!$B$2:$E$347,4,FALSE)</f>
        <v>La Serena</v>
      </c>
      <c r="J436" t="s">
        <v>136</v>
      </c>
      <c r="K436" s="3" t="s">
        <v>0</v>
      </c>
      <c r="L436" s="12" t="str">
        <f>VLOOKUP(K436,[2]Hoja4!$A$2:$C$443,2,FALSE)</f>
        <v>Intentional self-harm by hanging, strangulation and suffocation</v>
      </c>
      <c r="M436" s="12" t="str">
        <f>VLOOKUP(K436,[2]Hoja4!$A$2:$C$443,3,FALSE)</f>
        <v>Unspecified place</v>
      </c>
      <c r="N436" s="1">
        <v>13.3</v>
      </c>
      <c r="O436" s="1">
        <v>22.2</v>
      </c>
      <c r="P436" s="1">
        <v>17.5</v>
      </c>
      <c r="Q436" s="1">
        <v>1000.8</v>
      </c>
      <c r="R436" s="1">
        <v>0</v>
      </c>
      <c r="S436" s="1">
        <v>74.2</v>
      </c>
      <c r="T436" s="5">
        <v>8.2299999999999998E-2</v>
      </c>
      <c r="U436" s="10">
        <v>3.0000000000000001E-3</v>
      </c>
    </row>
    <row r="437" spans="1:21" customFormat="1">
      <c r="A437">
        <v>2</v>
      </c>
      <c r="B437">
        <v>22</v>
      </c>
      <c r="C437">
        <v>22</v>
      </c>
      <c r="D437">
        <v>3</v>
      </c>
      <c r="E437">
        <v>2020</v>
      </c>
      <c r="F437">
        <v>10205</v>
      </c>
      <c r="G437" t="str">
        <f>VLOOKUP(F437,'[1]Sheet 1'!$B$2:$E$347,2,FALSE)</f>
        <v>Los Lagos</v>
      </c>
      <c r="H437" t="str">
        <f>VLOOKUP(F437,'[1]Sheet 1'!$B$2:$E$347,3,FALSE)</f>
        <v>Chiloé</v>
      </c>
      <c r="I437" t="str">
        <f>VLOOKUP(F437,'[1]Sheet 1'!$B$2:$E$347,4,FALSE)</f>
        <v>Dalcahue</v>
      </c>
      <c r="J437" t="s">
        <v>136</v>
      </c>
      <c r="K437" s="3" t="s">
        <v>4</v>
      </c>
      <c r="L437" s="12" t="str">
        <f>VLOOKUP(K437,[2]Hoja4!$A$2:$C$443,2,FALSE)</f>
        <v>Intentional self-harm by hanging, strangulation and suffocation</v>
      </c>
      <c r="M437" s="12" t="str">
        <f>VLOOKUP(K437,[2]Hoja4!$A$2:$C$443,3,FALSE)</f>
        <v>At home</v>
      </c>
      <c r="N437" s="1">
        <v>11.1</v>
      </c>
      <c r="O437" s="1">
        <v>16.100000000000001</v>
      </c>
      <c r="P437" s="1">
        <v>13.1</v>
      </c>
      <c r="Q437" s="1">
        <v>991.3</v>
      </c>
      <c r="R437" s="1">
        <v>0.8</v>
      </c>
      <c r="S437" s="1">
        <v>90.8</v>
      </c>
      <c r="T437" s="5">
        <v>8.2299999999999998E-2</v>
      </c>
      <c r="U437" s="10">
        <v>3.0000000000000001E-3</v>
      </c>
    </row>
    <row r="438" spans="1:21" customFormat="1">
      <c r="A438">
        <v>1</v>
      </c>
      <c r="B438">
        <v>61</v>
      </c>
      <c r="C438">
        <v>23</v>
      </c>
      <c r="D438">
        <v>3</v>
      </c>
      <c r="E438">
        <v>2020</v>
      </c>
      <c r="F438">
        <v>13201</v>
      </c>
      <c r="G438" t="str">
        <f>VLOOKUP(F438,'[1]Sheet 1'!$B$2:$E$347,2,FALSE)</f>
        <v>Metropolitana de Santiago</v>
      </c>
      <c r="H438" t="str">
        <f>VLOOKUP(F438,'[1]Sheet 1'!$B$2:$E$347,3,FALSE)</f>
        <v>Cordillera</v>
      </c>
      <c r="I438" t="str">
        <f>VLOOKUP(F438,'[1]Sheet 1'!$B$2:$E$347,4,FALSE)</f>
        <v>Puente Alto</v>
      </c>
      <c r="J438" t="s">
        <v>136</v>
      </c>
      <c r="K438" s="3" t="s">
        <v>0</v>
      </c>
      <c r="L438" s="12" t="str">
        <f>VLOOKUP(K438,[2]Hoja4!$A$2:$C$443,2,FALSE)</f>
        <v>Intentional self-harm by hanging, strangulation and suffocation</v>
      </c>
      <c r="M438" s="12" t="str">
        <f>VLOOKUP(K438,[2]Hoja4!$A$2:$C$443,3,FALSE)</f>
        <v>Unspecified place</v>
      </c>
      <c r="N438" s="1">
        <v>5.4</v>
      </c>
      <c r="O438" s="1">
        <v>31.6</v>
      </c>
      <c r="P438" s="1">
        <v>17.5</v>
      </c>
      <c r="Q438" s="1">
        <v>941.6</v>
      </c>
      <c r="R438" s="1">
        <v>0</v>
      </c>
      <c r="S438" s="1">
        <v>61</v>
      </c>
      <c r="T438" s="5">
        <v>8.2299999999999998E-2</v>
      </c>
      <c r="U438" s="10">
        <v>3.0000000000000001E-3</v>
      </c>
    </row>
    <row r="439" spans="1:21" customFormat="1">
      <c r="A439">
        <v>1</v>
      </c>
      <c r="B439">
        <v>58</v>
      </c>
      <c r="C439">
        <v>23</v>
      </c>
      <c r="D439">
        <v>3</v>
      </c>
      <c r="E439">
        <v>2020</v>
      </c>
      <c r="F439">
        <v>13401</v>
      </c>
      <c r="G439" t="str">
        <f>VLOOKUP(F439,'[1]Sheet 1'!$B$2:$E$347,2,FALSE)</f>
        <v>Metropolitana de Santiago</v>
      </c>
      <c r="H439" t="str">
        <f>VLOOKUP(F439,'[1]Sheet 1'!$B$2:$E$347,3,FALSE)</f>
        <v>Maipo</v>
      </c>
      <c r="I439" t="str">
        <f>VLOOKUP(F439,'[1]Sheet 1'!$B$2:$E$347,4,FALSE)</f>
        <v>San Bernardo</v>
      </c>
      <c r="J439" t="s">
        <v>136</v>
      </c>
      <c r="K439" s="3" t="s">
        <v>0</v>
      </c>
      <c r="L439" s="12" t="str">
        <f>VLOOKUP(K439,[2]Hoja4!$A$2:$C$443,2,FALSE)</f>
        <v>Intentional self-harm by hanging, strangulation and suffocation</v>
      </c>
      <c r="M439" s="12" t="str">
        <f>VLOOKUP(K439,[2]Hoja4!$A$2:$C$443,3,FALSE)</f>
        <v>Unspecified place</v>
      </c>
      <c r="N439" s="1">
        <v>6.3</v>
      </c>
      <c r="O439" s="1">
        <v>30.6</v>
      </c>
      <c r="P439" s="1">
        <v>17.5</v>
      </c>
      <c r="Q439" s="1">
        <v>966.9</v>
      </c>
      <c r="R439" s="1">
        <v>0</v>
      </c>
      <c r="S439" s="1">
        <v>66</v>
      </c>
      <c r="T439" s="5">
        <v>8.2299999999999998E-2</v>
      </c>
      <c r="U439" s="10">
        <v>3.0000000000000001E-3</v>
      </c>
    </row>
    <row r="440" spans="1:21" customFormat="1">
      <c r="A440">
        <v>1</v>
      </c>
      <c r="B440">
        <v>48</v>
      </c>
      <c r="C440">
        <v>23</v>
      </c>
      <c r="D440">
        <v>3</v>
      </c>
      <c r="E440">
        <v>2020</v>
      </c>
      <c r="F440">
        <v>6115</v>
      </c>
      <c r="G440" t="str">
        <f>VLOOKUP(F440,'[1]Sheet 1'!$B$2:$E$347,2,FALSE)</f>
        <v>Libertador General Bernardo O'Higgins</v>
      </c>
      <c r="H440" t="str">
        <f>VLOOKUP(F440,'[1]Sheet 1'!$B$2:$E$347,3,FALSE)</f>
        <v>Cachapoal</v>
      </c>
      <c r="I440" t="str">
        <f>VLOOKUP(F440,'[1]Sheet 1'!$B$2:$E$347,4,FALSE)</f>
        <v>Rengo</v>
      </c>
      <c r="J440" t="s">
        <v>136</v>
      </c>
      <c r="K440" s="3" t="s">
        <v>0</v>
      </c>
      <c r="L440" s="12" t="str">
        <f>VLOOKUP(K440,[2]Hoja4!$A$2:$C$443,2,FALSE)</f>
        <v>Intentional self-harm by hanging, strangulation and suffocation</v>
      </c>
      <c r="M440" s="12" t="str">
        <f>VLOOKUP(K440,[2]Hoja4!$A$2:$C$443,3,FALSE)</f>
        <v>Unspecified place</v>
      </c>
      <c r="N440" s="1">
        <v>9.6</v>
      </c>
      <c r="O440" s="1">
        <v>29.6</v>
      </c>
      <c r="P440" s="1">
        <v>18.399999999999999</v>
      </c>
      <c r="Q440" s="1">
        <v>961.2</v>
      </c>
      <c r="R440" s="1">
        <v>0</v>
      </c>
      <c r="S440" s="1">
        <v>54.3</v>
      </c>
      <c r="T440" s="5">
        <v>8.2299999999999998E-2</v>
      </c>
      <c r="U440" s="10">
        <v>3.0000000000000001E-3</v>
      </c>
    </row>
    <row r="441" spans="1:21" customFormat="1">
      <c r="A441">
        <v>1</v>
      </c>
      <c r="B441">
        <v>33</v>
      </c>
      <c r="C441">
        <v>23</v>
      </c>
      <c r="D441">
        <v>3</v>
      </c>
      <c r="E441">
        <v>2020</v>
      </c>
      <c r="F441">
        <v>2101</v>
      </c>
      <c r="G441" t="str">
        <f>VLOOKUP(F441,'[1]Sheet 1'!$B$2:$E$347,2,FALSE)</f>
        <v>Antofagasta</v>
      </c>
      <c r="H441" t="str">
        <f>VLOOKUP(F441,'[1]Sheet 1'!$B$2:$E$347,3,FALSE)</f>
        <v>Antofagasta</v>
      </c>
      <c r="I441" t="str">
        <f>VLOOKUP(F441,'[1]Sheet 1'!$B$2:$E$347,4,FALSE)</f>
        <v>Antofagasta</v>
      </c>
      <c r="J441" t="s">
        <v>136</v>
      </c>
      <c r="K441" s="3" t="s">
        <v>4</v>
      </c>
      <c r="L441" s="12" t="str">
        <f>VLOOKUP(K441,[2]Hoja4!$A$2:$C$443,2,FALSE)</f>
        <v>Intentional self-harm by hanging, strangulation and suffocation</v>
      </c>
      <c r="M441" s="12" t="str">
        <f>VLOOKUP(K441,[2]Hoja4!$A$2:$C$443,3,FALSE)</f>
        <v>At home</v>
      </c>
      <c r="N441" s="1">
        <v>15.3</v>
      </c>
      <c r="O441" s="1">
        <v>21.6</v>
      </c>
      <c r="P441" s="1">
        <v>18</v>
      </c>
      <c r="Q441" s="1">
        <v>999.3</v>
      </c>
      <c r="R441" s="1">
        <v>0</v>
      </c>
      <c r="S441" s="1">
        <v>83.5</v>
      </c>
      <c r="T441" s="5">
        <v>8.2299999999999998E-2</v>
      </c>
      <c r="U441" s="10">
        <v>3.0000000000000001E-3</v>
      </c>
    </row>
    <row r="442" spans="1:21" customFormat="1">
      <c r="A442">
        <v>1</v>
      </c>
      <c r="B442">
        <v>29</v>
      </c>
      <c r="C442">
        <v>23</v>
      </c>
      <c r="D442">
        <v>3</v>
      </c>
      <c r="E442">
        <v>2020</v>
      </c>
      <c r="F442">
        <v>13102</v>
      </c>
      <c r="G442" t="str">
        <f>VLOOKUP(F442,'[1]Sheet 1'!$B$2:$E$347,2,FALSE)</f>
        <v>Metropolitana de Santiago</v>
      </c>
      <c r="H442" t="str">
        <f>VLOOKUP(F442,'[1]Sheet 1'!$B$2:$E$347,3,FALSE)</f>
        <v>Santiago</v>
      </c>
      <c r="I442" t="str">
        <f>VLOOKUP(F442,'[1]Sheet 1'!$B$2:$E$347,4,FALSE)</f>
        <v>Cerrillos</v>
      </c>
      <c r="J442" t="s">
        <v>136</v>
      </c>
      <c r="K442" s="3" t="s">
        <v>0</v>
      </c>
      <c r="L442" s="12" t="str">
        <f>VLOOKUP(K442,[2]Hoja4!$A$2:$C$443,2,FALSE)</f>
        <v>Intentional self-harm by hanging, strangulation and suffocation</v>
      </c>
      <c r="M442" s="12" t="str">
        <f>VLOOKUP(K442,[2]Hoja4!$A$2:$C$443,3,FALSE)</f>
        <v>Unspecified place</v>
      </c>
      <c r="N442" s="1">
        <v>9.4</v>
      </c>
      <c r="O442" s="1">
        <v>30.7</v>
      </c>
      <c r="P442" s="1">
        <v>19</v>
      </c>
      <c r="Q442" s="1">
        <v>957.7</v>
      </c>
      <c r="R442" s="1"/>
      <c r="S442" s="1">
        <v>57.8</v>
      </c>
      <c r="T442" s="5">
        <v>8.2299999999999998E-2</v>
      </c>
      <c r="U442" s="10">
        <v>3.0000000000000001E-3</v>
      </c>
    </row>
    <row r="443" spans="1:21" customFormat="1">
      <c r="A443">
        <v>1</v>
      </c>
      <c r="B443">
        <v>29</v>
      </c>
      <c r="C443">
        <v>23</v>
      </c>
      <c r="D443">
        <v>3</v>
      </c>
      <c r="E443">
        <v>2020</v>
      </c>
      <c r="F443">
        <v>10101</v>
      </c>
      <c r="G443" t="str">
        <f>VLOOKUP(F443,'[1]Sheet 1'!$B$2:$E$347,2,FALSE)</f>
        <v>Los Lagos</v>
      </c>
      <c r="H443" t="str">
        <f>VLOOKUP(F443,'[1]Sheet 1'!$B$2:$E$347,3,FALSE)</f>
        <v>Llanquihue</v>
      </c>
      <c r="I443" t="str">
        <f>VLOOKUP(F443,'[1]Sheet 1'!$B$2:$E$347,4,FALSE)</f>
        <v>Puerto Montt</v>
      </c>
      <c r="J443" t="s">
        <v>136</v>
      </c>
      <c r="K443" s="3" t="s">
        <v>4</v>
      </c>
      <c r="L443" s="12" t="str">
        <f>VLOOKUP(K443,[2]Hoja4!$A$2:$C$443,2,FALSE)</f>
        <v>Intentional self-harm by hanging, strangulation and suffocation</v>
      </c>
      <c r="M443" s="12" t="str">
        <f>VLOOKUP(K443,[2]Hoja4!$A$2:$C$443,3,FALSE)</f>
        <v>At home</v>
      </c>
      <c r="N443" s="1">
        <v>14.7</v>
      </c>
      <c r="O443" s="1">
        <v>15.8</v>
      </c>
      <c r="P443" s="1">
        <v>15.4</v>
      </c>
      <c r="Q443" s="1">
        <v>999.1</v>
      </c>
      <c r="R443" s="1">
        <v>19.8</v>
      </c>
      <c r="S443" s="1">
        <v>84.5</v>
      </c>
      <c r="T443" s="5">
        <v>8.2299999999999998E-2</v>
      </c>
      <c r="U443" s="10">
        <v>3.0000000000000001E-3</v>
      </c>
    </row>
    <row r="444" spans="1:21" customFormat="1">
      <c r="A444">
        <v>1</v>
      </c>
      <c r="B444">
        <v>75</v>
      </c>
      <c r="C444">
        <v>24</v>
      </c>
      <c r="D444">
        <v>3</v>
      </c>
      <c r="E444">
        <v>2020</v>
      </c>
      <c r="F444">
        <v>13113</v>
      </c>
      <c r="G444" t="str">
        <f>VLOOKUP(F444,'[1]Sheet 1'!$B$2:$E$347,2,FALSE)</f>
        <v>Metropolitana de Santiago</v>
      </c>
      <c r="H444" t="str">
        <f>VLOOKUP(F444,'[1]Sheet 1'!$B$2:$E$347,3,FALSE)</f>
        <v>Santiago</v>
      </c>
      <c r="I444" t="str">
        <f>VLOOKUP(F444,'[1]Sheet 1'!$B$2:$E$347,4,FALSE)</f>
        <v>La Reina</v>
      </c>
      <c r="J444" t="s">
        <v>136</v>
      </c>
      <c r="K444" s="3" t="s">
        <v>0</v>
      </c>
      <c r="L444" s="12" t="str">
        <f>VLOOKUP(K444,[2]Hoja4!$A$2:$C$443,2,FALSE)</f>
        <v>Intentional self-harm by hanging, strangulation and suffocation</v>
      </c>
      <c r="M444" s="12" t="str">
        <f>VLOOKUP(K444,[2]Hoja4!$A$2:$C$443,3,FALSE)</f>
        <v>Unspecified place</v>
      </c>
      <c r="N444" s="1">
        <v>9.1999999999999993</v>
      </c>
      <c r="O444" s="1">
        <v>29.8</v>
      </c>
      <c r="P444" s="1">
        <v>18.7</v>
      </c>
      <c r="Q444" s="1">
        <v>956.1</v>
      </c>
      <c r="R444" s="1"/>
      <c r="S444" s="1">
        <v>54.5</v>
      </c>
      <c r="T444" s="5">
        <v>8.2299999999999998E-2</v>
      </c>
      <c r="U444" s="10">
        <v>3.0000000000000001E-3</v>
      </c>
    </row>
    <row r="445" spans="1:21" customFormat="1">
      <c r="A445">
        <v>2</v>
      </c>
      <c r="B445">
        <v>88</v>
      </c>
      <c r="C445">
        <v>24</v>
      </c>
      <c r="D445">
        <v>3</v>
      </c>
      <c r="E445">
        <v>2020</v>
      </c>
      <c r="F445">
        <v>13123</v>
      </c>
      <c r="G445" t="str">
        <f>VLOOKUP(F445,'[1]Sheet 1'!$B$2:$E$347,2,FALSE)</f>
        <v>Metropolitana de Santiago</v>
      </c>
      <c r="H445" t="str">
        <f>VLOOKUP(F445,'[1]Sheet 1'!$B$2:$E$347,3,FALSE)</f>
        <v>Santiago</v>
      </c>
      <c r="I445" t="str">
        <f>VLOOKUP(F445,'[1]Sheet 1'!$B$2:$E$347,4,FALSE)</f>
        <v>Providencia</v>
      </c>
      <c r="J445" t="s">
        <v>136</v>
      </c>
      <c r="K445" s="3" t="s">
        <v>0</v>
      </c>
      <c r="L445" s="12" t="str">
        <f>VLOOKUP(K445,[2]Hoja4!$A$2:$C$443,2,FALSE)</f>
        <v>Intentional self-harm by hanging, strangulation and suffocation</v>
      </c>
      <c r="M445" s="12" t="str">
        <f>VLOOKUP(K445,[2]Hoja4!$A$2:$C$443,3,FALSE)</f>
        <v>Unspecified place</v>
      </c>
      <c r="N445" s="1">
        <v>9.1999999999999993</v>
      </c>
      <c r="O445" s="1">
        <v>29.8</v>
      </c>
      <c r="P445" s="1">
        <v>18.7</v>
      </c>
      <c r="Q445" s="1">
        <v>956.1</v>
      </c>
      <c r="R445" s="1"/>
      <c r="S445" s="1">
        <v>54.5</v>
      </c>
      <c r="T445" s="5">
        <v>8.2299999999999998E-2</v>
      </c>
      <c r="U445" s="10">
        <v>3.0000000000000001E-3</v>
      </c>
    </row>
    <row r="446" spans="1:21" customFormat="1">
      <c r="A446">
        <v>2</v>
      </c>
      <c r="B446">
        <v>77</v>
      </c>
      <c r="C446">
        <v>24</v>
      </c>
      <c r="D446">
        <v>3</v>
      </c>
      <c r="E446">
        <v>2020</v>
      </c>
      <c r="F446">
        <v>16301</v>
      </c>
      <c r="G446" t="str">
        <f>VLOOKUP(F446,'[1]Sheet 1'!$B$2:$E$347,2,FALSE)</f>
        <v>Ñuble</v>
      </c>
      <c r="H446" t="str">
        <f>VLOOKUP(F446,'[1]Sheet 1'!$B$2:$E$347,3,FALSE)</f>
        <v>Punilla</v>
      </c>
      <c r="I446" t="str">
        <f>VLOOKUP(F446,'[1]Sheet 1'!$B$2:$E$347,4,FALSE)</f>
        <v>San Carlos</v>
      </c>
      <c r="J446" t="s">
        <v>136</v>
      </c>
      <c r="K446" s="3" t="s">
        <v>4</v>
      </c>
      <c r="L446" s="12" t="str">
        <f>VLOOKUP(K446,[2]Hoja4!$A$2:$C$443,2,FALSE)</f>
        <v>Intentional self-harm by hanging, strangulation and suffocation</v>
      </c>
      <c r="M446" s="12" t="str">
        <f>VLOOKUP(K446,[2]Hoja4!$A$2:$C$443,3,FALSE)</f>
        <v>At home</v>
      </c>
      <c r="N446" s="1"/>
      <c r="O446" s="1"/>
      <c r="P446" s="1"/>
      <c r="Q446" s="1"/>
      <c r="R446" s="1"/>
      <c r="S446" s="1"/>
      <c r="T446" s="5">
        <v>8.2299999999999998E-2</v>
      </c>
      <c r="U446" s="10">
        <v>3.0000000000000001E-3</v>
      </c>
    </row>
    <row r="447" spans="1:21" customFormat="1">
      <c r="A447">
        <v>1</v>
      </c>
      <c r="B447">
        <v>61</v>
      </c>
      <c r="C447">
        <v>24</v>
      </c>
      <c r="D447">
        <v>3</v>
      </c>
      <c r="E447">
        <v>2020</v>
      </c>
      <c r="F447">
        <v>8203</v>
      </c>
      <c r="G447" t="str">
        <f>VLOOKUP(F447,'[1]Sheet 1'!$B$2:$E$347,2,FALSE)</f>
        <v>Biobío</v>
      </c>
      <c r="H447" t="str">
        <f>VLOOKUP(F447,'[1]Sheet 1'!$B$2:$E$347,3,FALSE)</f>
        <v>Arauco</v>
      </c>
      <c r="I447" t="str">
        <f>VLOOKUP(F447,'[1]Sheet 1'!$B$2:$E$347,4,FALSE)</f>
        <v>Cañete</v>
      </c>
      <c r="J447" t="s">
        <v>136</v>
      </c>
      <c r="K447" s="3" t="s">
        <v>4</v>
      </c>
      <c r="L447" s="12" t="str">
        <f>VLOOKUP(K447,[2]Hoja4!$A$2:$C$443,2,FALSE)</f>
        <v>Intentional self-harm by hanging, strangulation and suffocation</v>
      </c>
      <c r="M447" s="12" t="str">
        <f>VLOOKUP(K447,[2]Hoja4!$A$2:$C$443,3,FALSE)</f>
        <v>At home</v>
      </c>
      <c r="N447" s="1" t="s">
        <v>52</v>
      </c>
      <c r="O447" s="1">
        <v>20.5</v>
      </c>
      <c r="P447" s="1">
        <v>16.3</v>
      </c>
      <c r="Q447" s="1">
        <v>1015.1</v>
      </c>
      <c r="R447" s="1">
        <v>0</v>
      </c>
      <c r="S447" s="1">
        <v>94</v>
      </c>
      <c r="T447" s="5">
        <v>8.2299999999999998E-2</v>
      </c>
      <c r="U447" s="10">
        <v>3.0000000000000001E-3</v>
      </c>
    </row>
    <row r="448" spans="1:21" customFormat="1">
      <c r="A448">
        <v>1</v>
      </c>
      <c r="B448">
        <v>52</v>
      </c>
      <c r="C448">
        <v>25</v>
      </c>
      <c r="D448">
        <v>3</v>
      </c>
      <c r="E448">
        <v>2020</v>
      </c>
      <c r="F448">
        <v>10101</v>
      </c>
      <c r="G448" t="str">
        <f>VLOOKUP(F448,'[1]Sheet 1'!$B$2:$E$347,2,FALSE)</f>
        <v>Los Lagos</v>
      </c>
      <c r="H448" t="str">
        <f>VLOOKUP(F448,'[1]Sheet 1'!$B$2:$E$347,3,FALSE)</f>
        <v>Llanquihue</v>
      </c>
      <c r="I448" t="str">
        <f>VLOOKUP(F448,'[1]Sheet 1'!$B$2:$E$347,4,FALSE)</f>
        <v>Puerto Montt</v>
      </c>
      <c r="J448" t="s">
        <v>136</v>
      </c>
      <c r="K448" s="3" t="s">
        <v>4</v>
      </c>
      <c r="L448" s="12" t="str">
        <f>VLOOKUP(K448,[2]Hoja4!$A$2:$C$443,2,FALSE)</f>
        <v>Intentional self-harm by hanging, strangulation and suffocation</v>
      </c>
      <c r="M448" s="12" t="str">
        <f>VLOOKUP(K448,[2]Hoja4!$A$2:$C$443,3,FALSE)</f>
        <v>At home</v>
      </c>
      <c r="N448" s="1">
        <v>8.6</v>
      </c>
      <c r="O448" s="1">
        <v>20.5</v>
      </c>
      <c r="P448" s="1">
        <v>14.2</v>
      </c>
      <c r="Q448" s="1">
        <v>1009.8</v>
      </c>
      <c r="R448" s="1">
        <v>0</v>
      </c>
      <c r="S448" s="1">
        <v>84.8</v>
      </c>
      <c r="T448" s="5">
        <v>8.2299999999999998E-2</v>
      </c>
      <c r="U448" s="10">
        <v>3.0000000000000001E-3</v>
      </c>
    </row>
    <row r="449" spans="1:21" customFormat="1">
      <c r="A449">
        <v>1</v>
      </c>
      <c r="B449">
        <v>55</v>
      </c>
      <c r="C449">
        <v>25</v>
      </c>
      <c r="D449">
        <v>3</v>
      </c>
      <c r="E449">
        <v>2020</v>
      </c>
      <c r="F449">
        <v>7406</v>
      </c>
      <c r="G449" t="str">
        <f>VLOOKUP(F449,'[1]Sheet 1'!$B$2:$E$347,2,FALSE)</f>
        <v>Maule</v>
      </c>
      <c r="H449" t="str">
        <f>VLOOKUP(F449,'[1]Sheet 1'!$B$2:$E$347,3,FALSE)</f>
        <v>Linares</v>
      </c>
      <c r="I449" t="str">
        <f>VLOOKUP(F449,'[1]Sheet 1'!$B$2:$E$347,4,FALSE)</f>
        <v>San Javier</v>
      </c>
      <c r="J449" t="s">
        <v>139</v>
      </c>
      <c r="K449" s="3" t="s">
        <v>12</v>
      </c>
      <c r="L449" s="12" t="str">
        <f>VLOOKUP(K449,[2]Hoja4!$A$2:$C$443,2,FALSE)</f>
        <v>Intentional self-poisoning by and exposure to other and unspecified chemicals and noxious substances</v>
      </c>
      <c r="M449" s="12" t="str">
        <f>VLOOKUP(K449,[2]Hoja4!$A$2:$C$443,3,FALSE)</f>
        <v>Unspecified place</v>
      </c>
      <c r="N449" s="1">
        <v>13.6</v>
      </c>
      <c r="O449" s="1">
        <v>29.1</v>
      </c>
      <c r="P449" s="1">
        <v>18.7</v>
      </c>
      <c r="Q449" s="1">
        <v>994.3</v>
      </c>
      <c r="R449" s="1">
        <v>0</v>
      </c>
      <c r="S449" s="1">
        <v>80.099999999999994</v>
      </c>
      <c r="T449" s="5">
        <v>8.2299999999999998E-2</v>
      </c>
      <c r="U449" s="10">
        <v>3.0000000000000001E-3</v>
      </c>
    </row>
    <row r="450" spans="1:21" customFormat="1">
      <c r="A450">
        <v>1</v>
      </c>
      <c r="B450">
        <v>55</v>
      </c>
      <c r="C450">
        <v>25</v>
      </c>
      <c r="D450">
        <v>3</v>
      </c>
      <c r="E450">
        <v>2020</v>
      </c>
      <c r="F450">
        <v>6107</v>
      </c>
      <c r="G450" t="str">
        <f>VLOOKUP(F450,'[1]Sheet 1'!$B$2:$E$347,2,FALSE)</f>
        <v>Libertador General Bernardo O'Higgins</v>
      </c>
      <c r="H450" t="str">
        <f>VLOOKUP(F450,'[1]Sheet 1'!$B$2:$E$347,3,FALSE)</f>
        <v>Cachapoal</v>
      </c>
      <c r="I450" t="str">
        <f>VLOOKUP(F450,'[1]Sheet 1'!$B$2:$E$347,4,FALSE)</f>
        <v>Las Cabras</v>
      </c>
      <c r="J450" t="s">
        <v>136</v>
      </c>
      <c r="K450" s="3" t="s">
        <v>0</v>
      </c>
      <c r="L450" s="12" t="str">
        <f>VLOOKUP(K450,[2]Hoja4!$A$2:$C$443,2,FALSE)</f>
        <v>Intentional self-harm by hanging, strangulation and suffocation</v>
      </c>
      <c r="M450" s="12" t="str">
        <f>VLOOKUP(K450,[2]Hoja4!$A$2:$C$443,3,FALSE)</f>
        <v>Unspecified place</v>
      </c>
      <c r="N450" s="1">
        <v>9.8000000000000007</v>
      </c>
      <c r="O450" s="1">
        <v>28.7</v>
      </c>
      <c r="P450" s="1">
        <v>19.600000000000001</v>
      </c>
      <c r="Q450" s="1">
        <v>957.8</v>
      </c>
      <c r="R450" s="1">
        <v>0</v>
      </c>
      <c r="S450" s="1">
        <v>54</v>
      </c>
      <c r="T450" s="5">
        <v>8.2299999999999998E-2</v>
      </c>
      <c r="U450" s="10">
        <v>3.0000000000000001E-3</v>
      </c>
    </row>
    <row r="451" spans="1:21" customFormat="1">
      <c r="A451">
        <v>1</v>
      </c>
      <c r="B451">
        <v>52</v>
      </c>
      <c r="C451">
        <v>25</v>
      </c>
      <c r="D451">
        <v>3</v>
      </c>
      <c r="E451">
        <v>2020</v>
      </c>
      <c r="F451">
        <v>6201</v>
      </c>
      <c r="G451" t="str">
        <f>VLOOKUP(F451,'[1]Sheet 1'!$B$2:$E$347,2,FALSE)</f>
        <v>Libertador General Bernardo O'Higgins</v>
      </c>
      <c r="H451" t="str">
        <f>VLOOKUP(F451,'[1]Sheet 1'!$B$2:$E$347,3,FALSE)</f>
        <v>Cardenal Caro</v>
      </c>
      <c r="I451" t="str">
        <f>VLOOKUP(F451,'[1]Sheet 1'!$B$2:$E$347,4,FALSE)</f>
        <v>Pichilemu</v>
      </c>
      <c r="J451" t="s">
        <v>136</v>
      </c>
      <c r="K451" s="3" t="s">
        <v>0</v>
      </c>
      <c r="L451" s="12" t="str">
        <f>VLOOKUP(K451,[2]Hoja4!$A$2:$C$443,2,FALSE)</f>
        <v>Intentional self-harm by hanging, strangulation and suffocation</v>
      </c>
      <c r="M451" s="12" t="str">
        <f>VLOOKUP(K451,[2]Hoja4!$A$2:$C$443,3,FALSE)</f>
        <v>Unspecified place</v>
      </c>
      <c r="N451" s="1">
        <v>12.3</v>
      </c>
      <c r="O451" s="1">
        <v>16.600000000000001</v>
      </c>
      <c r="P451" s="1">
        <v>15.1</v>
      </c>
      <c r="Q451" s="1">
        <v>1011.9</v>
      </c>
      <c r="R451" s="1">
        <v>0</v>
      </c>
      <c r="S451" s="1">
        <v>93.7</v>
      </c>
      <c r="T451" s="5">
        <v>8.2299999999999998E-2</v>
      </c>
      <c r="U451" s="10">
        <v>3.0000000000000001E-3</v>
      </c>
    </row>
    <row r="452" spans="1:21" customFormat="1">
      <c r="A452">
        <v>1</v>
      </c>
      <c r="B452">
        <v>48</v>
      </c>
      <c r="C452">
        <v>25</v>
      </c>
      <c r="D452">
        <v>3</v>
      </c>
      <c r="E452">
        <v>2020</v>
      </c>
      <c r="F452">
        <v>15101</v>
      </c>
      <c r="G452" t="str">
        <f>VLOOKUP(F452,'[1]Sheet 1'!$B$2:$E$347,2,FALSE)</f>
        <v>Arica y Parinacota</v>
      </c>
      <c r="H452" t="str">
        <f>VLOOKUP(F452,'[1]Sheet 1'!$B$2:$E$347,3,FALSE)</f>
        <v>Arica</v>
      </c>
      <c r="I452" t="str">
        <f>VLOOKUP(F452,'[1]Sheet 1'!$B$2:$E$347,4,FALSE)</f>
        <v>Arica</v>
      </c>
      <c r="J452" t="s">
        <v>160</v>
      </c>
      <c r="K452" s="3" t="s">
        <v>23</v>
      </c>
      <c r="L452" s="12" t="str">
        <f>VLOOKUP(K452,[2]Hoja4!$A$2:$C$443,2,FALSE)</f>
        <v>Intentional self-poisoning by and exposure to pesticides</v>
      </c>
      <c r="M452" s="12" t="str">
        <f>VLOOKUP(K452,[2]Hoja4!$A$2:$C$443,3,FALSE)</f>
        <v>At home</v>
      </c>
      <c r="N452" s="1">
        <v>21.4</v>
      </c>
      <c r="O452" s="1">
        <v>25.5</v>
      </c>
      <c r="P452" s="1">
        <v>22.7</v>
      </c>
      <c r="Q452" s="1">
        <v>1008.1</v>
      </c>
      <c r="R452" s="1">
        <v>0</v>
      </c>
      <c r="S452" s="1">
        <v>63</v>
      </c>
      <c r="T452" s="5">
        <v>8.2299999999999998E-2</v>
      </c>
      <c r="U452" s="10">
        <v>3.0000000000000001E-3</v>
      </c>
    </row>
    <row r="453" spans="1:21" customFormat="1">
      <c r="A453">
        <v>2</v>
      </c>
      <c r="B453">
        <v>28</v>
      </c>
      <c r="C453">
        <v>25</v>
      </c>
      <c r="D453">
        <v>3</v>
      </c>
      <c r="E453">
        <v>2020</v>
      </c>
      <c r="F453">
        <v>13116</v>
      </c>
      <c r="G453" t="str">
        <f>VLOOKUP(F453,'[1]Sheet 1'!$B$2:$E$347,2,FALSE)</f>
        <v>Metropolitana de Santiago</v>
      </c>
      <c r="H453" t="str">
        <f>VLOOKUP(F453,'[1]Sheet 1'!$B$2:$E$347,3,FALSE)</f>
        <v>Santiago</v>
      </c>
      <c r="I453" t="str">
        <f>VLOOKUP(F453,'[1]Sheet 1'!$B$2:$E$347,4,FALSE)</f>
        <v>Lo Espejo</v>
      </c>
      <c r="J453" t="s">
        <v>136</v>
      </c>
      <c r="K453" s="3" t="s">
        <v>0</v>
      </c>
      <c r="L453" s="12" t="str">
        <f>VLOOKUP(K453,[2]Hoja4!$A$2:$C$443,2,FALSE)</f>
        <v>Intentional self-harm by hanging, strangulation and suffocation</v>
      </c>
      <c r="M453" s="12" t="str">
        <f>VLOOKUP(K453,[2]Hoja4!$A$2:$C$443,3,FALSE)</f>
        <v>Unspecified place</v>
      </c>
      <c r="N453" s="1">
        <v>11.2</v>
      </c>
      <c r="O453" s="1">
        <v>29.1</v>
      </c>
      <c r="P453" s="1">
        <v>19.5</v>
      </c>
      <c r="Q453" s="1">
        <v>954.2</v>
      </c>
      <c r="R453" s="1"/>
      <c r="S453" s="1">
        <v>66.2</v>
      </c>
      <c r="T453" s="5">
        <v>8.2299999999999998E-2</v>
      </c>
      <c r="U453" s="10">
        <v>3.0000000000000001E-3</v>
      </c>
    </row>
    <row r="454" spans="1:21" customFormat="1">
      <c r="A454">
        <v>1</v>
      </c>
      <c r="B454">
        <v>35</v>
      </c>
      <c r="C454">
        <v>25</v>
      </c>
      <c r="D454">
        <v>3</v>
      </c>
      <c r="E454">
        <v>2020</v>
      </c>
      <c r="F454">
        <v>10202</v>
      </c>
      <c r="G454" t="str">
        <f>VLOOKUP(F454,'[1]Sheet 1'!$B$2:$E$347,2,FALSE)</f>
        <v>Los Lagos</v>
      </c>
      <c r="H454" t="str">
        <f>VLOOKUP(F454,'[1]Sheet 1'!$B$2:$E$347,3,FALSE)</f>
        <v>Chiloé</v>
      </c>
      <c r="I454" t="str">
        <f>VLOOKUP(F454,'[1]Sheet 1'!$B$2:$E$347,4,FALSE)</f>
        <v>Ancud</v>
      </c>
      <c r="J454" t="s">
        <v>136</v>
      </c>
      <c r="K454" s="3" t="s">
        <v>4</v>
      </c>
      <c r="L454" s="12" t="str">
        <f>VLOOKUP(K454,[2]Hoja4!$A$2:$C$443,2,FALSE)</f>
        <v>Intentional self-harm by hanging, strangulation and suffocation</v>
      </c>
      <c r="M454" s="12" t="str">
        <f>VLOOKUP(K454,[2]Hoja4!$A$2:$C$443,3,FALSE)</f>
        <v>At home</v>
      </c>
      <c r="N454" s="1">
        <v>8.1</v>
      </c>
      <c r="O454" s="1">
        <v>21.5</v>
      </c>
      <c r="P454" s="1">
        <v>14.8</v>
      </c>
      <c r="Q454" s="1">
        <v>1002.6</v>
      </c>
      <c r="R454" s="1"/>
      <c r="S454" s="1">
        <v>96.2</v>
      </c>
      <c r="T454" s="5">
        <v>8.2299999999999998E-2</v>
      </c>
      <c r="U454" s="10">
        <v>3.0000000000000001E-3</v>
      </c>
    </row>
    <row r="455" spans="1:21" customFormat="1">
      <c r="A455">
        <v>1</v>
      </c>
      <c r="B455">
        <v>80</v>
      </c>
      <c r="C455">
        <v>26</v>
      </c>
      <c r="D455">
        <v>3</v>
      </c>
      <c r="E455">
        <v>2020</v>
      </c>
      <c r="F455">
        <v>13118</v>
      </c>
      <c r="G455" t="str">
        <f>VLOOKUP(F455,'[1]Sheet 1'!$B$2:$E$347,2,FALSE)</f>
        <v>Metropolitana de Santiago</v>
      </c>
      <c r="H455" t="str">
        <f>VLOOKUP(F455,'[1]Sheet 1'!$B$2:$E$347,3,FALSE)</f>
        <v>Santiago</v>
      </c>
      <c r="I455" t="str">
        <f>VLOOKUP(F455,'[1]Sheet 1'!$B$2:$E$347,4,FALSE)</f>
        <v>Macul</v>
      </c>
      <c r="J455" t="s">
        <v>136</v>
      </c>
      <c r="K455" s="3" t="s">
        <v>0</v>
      </c>
      <c r="L455" s="12" t="str">
        <f>VLOOKUP(K455,[2]Hoja4!$A$2:$C$443,2,FALSE)</f>
        <v>Intentional self-harm by hanging, strangulation and suffocation</v>
      </c>
      <c r="M455" s="12" t="str">
        <f>VLOOKUP(K455,[2]Hoja4!$A$2:$C$443,3,FALSE)</f>
        <v>Unspecified place</v>
      </c>
      <c r="N455" s="1">
        <v>11.3</v>
      </c>
      <c r="O455" s="1">
        <v>27</v>
      </c>
      <c r="P455" s="1">
        <v>19.100000000000001</v>
      </c>
      <c r="Q455" s="1">
        <v>952.3</v>
      </c>
      <c r="R455" s="1"/>
      <c r="S455" s="1">
        <v>72</v>
      </c>
      <c r="T455" s="5">
        <v>8.2299999999999998E-2</v>
      </c>
      <c r="U455" s="10">
        <v>3.0000000000000001E-3</v>
      </c>
    </row>
    <row r="456" spans="1:21" customFormat="1">
      <c r="A456">
        <v>1</v>
      </c>
      <c r="B456">
        <v>65</v>
      </c>
      <c r="C456">
        <v>26</v>
      </c>
      <c r="D456">
        <v>3</v>
      </c>
      <c r="E456">
        <v>2020</v>
      </c>
      <c r="F456">
        <v>9109</v>
      </c>
      <c r="G456" t="str">
        <f>VLOOKUP(F456,'[1]Sheet 1'!$B$2:$E$347,2,FALSE)</f>
        <v>La Araucanía</v>
      </c>
      <c r="H456" t="str">
        <f>VLOOKUP(F456,'[1]Sheet 1'!$B$2:$E$347,3,FALSE)</f>
        <v>Cautín</v>
      </c>
      <c r="I456" t="str">
        <f>VLOOKUP(F456,'[1]Sheet 1'!$B$2:$E$347,4,FALSE)</f>
        <v>Loncoche</v>
      </c>
      <c r="J456" t="s">
        <v>136</v>
      </c>
      <c r="K456" s="3" t="s">
        <v>0</v>
      </c>
      <c r="L456" s="12" t="str">
        <f>VLOOKUP(K456,[2]Hoja4!$A$2:$C$443,2,FALSE)</f>
        <v>Intentional self-harm by hanging, strangulation and suffocation</v>
      </c>
      <c r="M456" s="12" t="str">
        <f>VLOOKUP(K456,[2]Hoja4!$A$2:$C$443,3,FALSE)</f>
        <v>Unspecified place</v>
      </c>
      <c r="N456" s="1"/>
      <c r="O456" s="1">
        <v>28.1</v>
      </c>
      <c r="P456" s="1">
        <v>24.3</v>
      </c>
      <c r="Q456" s="1">
        <v>998.5</v>
      </c>
      <c r="R456" s="1">
        <v>0</v>
      </c>
      <c r="S456" s="1"/>
      <c r="T456" s="5">
        <v>8.2299999999999998E-2</v>
      </c>
      <c r="U456" s="10">
        <v>3.0000000000000001E-3</v>
      </c>
    </row>
    <row r="457" spans="1:21" customFormat="1">
      <c r="A457">
        <v>1</v>
      </c>
      <c r="B457">
        <v>49</v>
      </c>
      <c r="C457">
        <v>26</v>
      </c>
      <c r="D457">
        <v>3</v>
      </c>
      <c r="E457">
        <v>2020</v>
      </c>
      <c r="F457">
        <v>7401</v>
      </c>
      <c r="G457" t="str">
        <f>VLOOKUP(F457,'[1]Sheet 1'!$B$2:$E$347,2,FALSE)</f>
        <v>Maule</v>
      </c>
      <c r="H457" t="str">
        <f>VLOOKUP(F457,'[1]Sheet 1'!$B$2:$E$347,3,FALSE)</f>
        <v>Linares</v>
      </c>
      <c r="I457" t="str">
        <f>VLOOKUP(F457,'[1]Sheet 1'!$B$2:$E$347,4,FALSE)</f>
        <v>Linares</v>
      </c>
      <c r="J457" t="s">
        <v>136</v>
      </c>
      <c r="K457" s="3" t="s">
        <v>0</v>
      </c>
      <c r="L457" s="12" t="str">
        <f>VLOOKUP(K457,[2]Hoja4!$A$2:$C$443,2,FALSE)</f>
        <v>Intentional self-harm by hanging, strangulation and suffocation</v>
      </c>
      <c r="M457" s="12" t="str">
        <f>VLOOKUP(K457,[2]Hoja4!$A$2:$C$443,3,FALSE)</f>
        <v>Unspecified place</v>
      </c>
      <c r="N457" s="1">
        <v>8.1999999999999993</v>
      </c>
      <c r="O457" s="1">
        <v>31.4</v>
      </c>
      <c r="P457" s="1">
        <v>18.600000000000001</v>
      </c>
      <c r="Q457" s="1">
        <v>991.3</v>
      </c>
      <c r="R457" s="1">
        <v>0</v>
      </c>
      <c r="S457" s="1">
        <v>75.2</v>
      </c>
      <c r="T457" s="5">
        <v>8.2299999999999998E-2</v>
      </c>
      <c r="U457" s="10">
        <v>3.0000000000000001E-3</v>
      </c>
    </row>
    <row r="458" spans="1:21" customFormat="1">
      <c r="A458">
        <v>2</v>
      </c>
      <c r="B458">
        <v>47</v>
      </c>
      <c r="C458">
        <v>26</v>
      </c>
      <c r="D458">
        <v>3</v>
      </c>
      <c r="E458">
        <v>2020</v>
      </c>
      <c r="F458">
        <v>5101</v>
      </c>
      <c r="G458" t="str">
        <f>VLOOKUP(F458,'[1]Sheet 1'!$B$2:$E$347,2,FALSE)</f>
        <v>Valparaíso</v>
      </c>
      <c r="H458" t="str">
        <f>VLOOKUP(F458,'[1]Sheet 1'!$B$2:$E$347,3,FALSE)</f>
        <v>Valparaíso</v>
      </c>
      <c r="I458" t="str">
        <f>VLOOKUP(F458,'[1]Sheet 1'!$B$2:$E$347,4,FALSE)</f>
        <v>Valparaíso</v>
      </c>
      <c r="J458" t="s">
        <v>136</v>
      </c>
      <c r="K458" s="3" t="s">
        <v>4</v>
      </c>
      <c r="L458" s="12" t="str">
        <f>VLOOKUP(K458,[2]Hoja4!$A$2:$C$443,2,FALSE)</f>
        <v>Intentional self-harm by hanging, strangulation and suffocation</v>
      </c>
      <c r="M458" s="12" t="str">
        <f>VLOOKUP(K458,[2]Hoja4!$A$2:$C$443,3,FALSE)</f>
        <v>At home</v>
      </c>
      <c r="N458" s="1">
        <v>11.9</v>
      </c>
      <c r="O458" s="1">
        <v>16.5</v>
      </c>
      <c r="P458" s="1">
        <v>13.8</v>
      </c>
      <c r="Q458" s="1">
        <v>974.4</v>
      </c>
      <c r="R458" s="1">
        <v>0.2</v>
      </c>
      <c r="S458" s="1">
        <v>97.5</v>
      </c>
      <c r="T458" s="5">
        <v>8.2299999999999998E-2</v>
      </c>
      <c r="U458" s="10">
        <v>3.0000000000000001E-3</v>
      </c>
    </row>
    <row r="459" spans="1:21" customFormat="1">
      <c r="A459">
        <v>1</v>
      </c>
      <c r="B459">
        <v>41</v>
      </c>
      <c r="C459">
        <v>26</v>
      </c>
      <c r="D459">
        <v>3</v>
      </c>
      <c r="E459">
        <v>2020</v>
      </c>
      <c r="F459">
        <v>5606</v>
      </c>
      <c r="G459" t="str">
        <f>VLOOKUP(F459,'[1]Sheet 1'!$B$2:$E$347,2,FALSE)</f>
        <v>Valparaíso</v>
      </c>
      <c r="H459" t="str">
        <f>VLOOKUP(F459,'[1]Sheet 1'!$B$2:$E$347,3,FALSE)</f>
        <v>San Antonio</v>
      </c>
      <c r="I459" t="str">
        <f>VLOOKUP(F459,'[1]Sheet 1'!$B$2:$E$347,4,FALSE)</f>
        <v>Santo Domingo</v>
      </c>
      <c r="J459" t="s">
        <v>136</v>
      </c>
      <c r="K459" s="3" t="s">
        <v>2</v>
      </c>
      <c r="L459" s="12" t="str">
        <f>VLOOKUP(K459,[2]Hoja4!$A$2:$C$443,2,FALSE)</f>
        <v>Intentional self-harm by hanging, strangulation and suffocation</v>
      </c>
      <c r="M459" s="12" t="str">
        <f>VLOOKUP(K459,[2]Hoja4!$A$2:$C$443,3,FALSE)</f>
        <v>Street and highway</v>
      </c>
      <c r="N459" s="1">
        <v>12.2</v>
      </c>
      <c r="O459" s="1">
        <v>17.5</v>
      </c>
      <c r="P459" s="1">
        <v>15</v>
      </c>
      <c r="Q459" s="1">
        <v>1005.9</v>
      </c>
      <c r="R459" s="1">
        <v>0</v>
      </c>
      <c r="S459" s="1">
        <v>92.5</v>
      </c>
      <c r="T459" s="5">
        <v>8.2299999999999998E-2</v>
      </c>
      <c r="U459" s="10">
        <v>3.0000000000000001E-3</v>
      </c>
    </row>
    <row r="460" spans="1:21" customFormat="1">
      <c r="A460">
        <v>1</v>
      </c>
      <c r="B460">
        <v>42</v>
      </c>
      <c r="C460">
        <v>27</v>
      </c>
      <c r="D460">
        <v>3</v>
      </c>
      <c r="E460">
        <v>2020</v>
      </c>
      <c r="F460">
        <v>10306</v>
      </c>
      <c r="G460" t="str">
        <f>VLOOKUP(F460,'[1]Sheet 1'!$B$2:$E$347,2,FALSE)</f>
        <v>Los Lagos</v>
      </c>
      <c r="H460" t="str">
        <f>VLOOKUP(F460,'[1]Sheet 1'!$B$2:$E$347,3,FALSE)</f>
        <v>Osorno</v>
      </c>
      <c r="I460" t="str">
        <f>VLOOKUP(F460,'[1]Sheet 1'!$B$2:$E$347,4,FALSE)</f>
        <v>San Juan de la Costa</v>
      </c>
      <c r="J460" t="s">
        <v>136</v>
      </c>
      <c r="K460" s="3" t="s">
        <v>4</v>
      </c>
      <c r="L460" s="12" t="str">
        <f>VLOOKUP(K460,[2]Hoja4!$A$2:$C$443,2,FALSE)</f>
        <v>Intentional self-harm by hanging, strangulation and suffocation</v>
      </c>
      <c r="M460" s="12" t="str">
        <f>VLOOKUP(K460,[2]Hoja4!$A$2:$C$443,3,FALSE)</f>
        <v>At home</v>
      </c>
      <c r="N460" s="1">
        <v>6.8</v>
      </c>
      <c r="O460" s="1">
        <v>21.9</v>
      </c>
      <c r="P460" s="1">
        <v>14.3</v>
      </c>
      <c r="Q460" s="1">
        <v>1006.4</v>
      </c>
      <c r="R460" s="1">
        <v>2.4</v>
      </c>
      <c r="S460" s="1">
        <v>77</v>
      </c>
      <c r="T460" s="5">
        <v>8.2299999999999998E-2</v>
      </c>
      <c r="U460" s="10">
        <v>3.0000000000000001E-3</v>
      </c>
    </row>
    <row r="461" spans="1:21" customFormat="1">
      <c r="A461">
        <v>2</v>
      </c>
      <c r="B461">
        <v>39</v>
      </c>
      <c r="C461">
        <v>27</v>
      </c>
      <c r="D461">
        <v>3</v>
      </c>
      <c r="E461">
        <v>2020</v>
      </c>
      <c r="F461">
        <v>13102</v>
      </c>
      <c r="G461" t="str">
        <f>VLOOKUP(F461,'[1]Sheet 1'!$B$2:$E$347,2,FALSE)</f>
        <v>Metropolitana de Santiago</v>
      </c>
      <c r="H461" t="str">
        <f>VLOOKUP(F461,'[1]Sheet 1'!$B$2:$E$347,3,FALSE)</f>
        <v>Santiago</v>
      </c>
      <c r="I461" t="str">
        <f>VLOOKUP(F461,'[1]Sheet 1'!$B$2:$E$347,4,FALSE)</f>
        <v>Cerrillos</v>
      </c>
      <c r="J461" t="s">
        <v>136</v>
      </c>
      <c r="K461" s="3" t="s">
        <v>0</v>
      </c>
      <c r="L461" s="12" t="str">
        <f>VLOOKUP(K461,[2]Hoja4!$A$2:$C$443,2,FALSE)</f>
        <v>Intentional self-harm by hanging, strangulation and suffocation</v>
      </c>
      <c r="M461" s="12" t="str">
        <f>VLOOKUP(K461,[2]Hoja4!$A$2:$C$443,3,FALSE)</f>
        <v>Unspecified place</v>
      </c>
      <c r="N461" s="1">
        <v>12.2</v>
      </c>
      <c r="O461" s="1">
        <v>21.1</v>
      </c>
      <c r="P461" s="1">
        <v>15.8</v>
      </c>
      <c r="Q461" s="1">
        <v>953.8</v>
      </c>
      <c r="R461" s="1"/>
      <c r="S461" s="1">
        <v>83.5</v>
      </c>
      <c r="T461" s="5">
        <v>8.2299999999999998E-2</v>
      </c>
      <c r="U461" s="10">
        <v>3.0000000000000001E-3</v>
      </c>
    </row>
    <row r="462" spans="1:21" customFormat="1">
      <c r="A462">
        <v>2</v>
      </c>
      <c r="B462">
        <v>41</v>
      </c>
      <c r="C462">
        <v>27</v>
      </c>
      <c r="D462">
        <v>3</v>
      </c>
      <c r="E462">
        <v>2020</v>
      </c>
      <c r="F462">
        <v>13119</v>
      </c>
      <c r="G462" t="str">
        <f>VLOOKUP(F462,'[1]Sheet 1'!$B$2:$E$347,2,FALSE)</f>
        <v>Metropolitana de Santiago</v>
      </c>
      <c r="H462" t="str">
        <f>VLOOKUP(F462,'[1]Sheet 1'!$B$2:$E$347,3,FALSE)</f>
        <v>Santiago</v>
      </c>
      <c r="I462" t="str">
        <f>VLOOKUP(F462,'[1]Sheet 1'!$B$2:$E$347,4,FALSE)</f>
        <v>Maipú</v>
      </c>
      <c r="J462" t="s">
        <v>136</v>
      </c>
      <c r="K462" s="3" t="s">
        <v>0</v>
      </c>
      <c r="L462" s="12" t="str">
        <f>VLOOKUP(K462,[2]Hoja4!$A$2:$C$443,2,FALSE)</f>
        <v>Intentional self-harm by hanging, strangulation and suffocation</v>
      </c>
      <c r="M462" s="12" t="str">
        <f>VLOOKUP(K462,[2]Hoja4!$A$2:$C$443,3,FALSE)</f>
        <v>Unspecified place</v>
      </c>
      <c r="N462" s="1">
        <v>12.2</v>
      </c>
      <c r="O462" s="1">
        <v>21.1</v>
      </c>
      <c r="P462" s="1">
        <v>15.8</v>
      </c>
      <c r="Q462" s="1">
        <v>953.8</v>
      </c>
      <c r="R462" s="1"/>
      <c r="S462" s="1">
        <v>83.5</v>
      </c>
      <c r="T462" s="5">
        <v>8.2299999999999998E-2</v>
      </c>
      <c r="U462" s="10">
        <v>3.0000000000000001E-3</v>
      </c>
    </row>
    <row r="463" spans="1:21" customFormat="1">
      <c r="A463">
        <v>1</v>
      </c>
      <c r="B463">
        <v>22</v>
      </c>
      <c r="C463">
        <v>27</v>
      </c>
      <c r="D463">
        <v>3</v>
      </c>
      <c r="E463">
        <v>2020</v>
      </c>
      <c r="F463">
        <v>9101</v>
      </c>
      <c r="G463" t="str">
        <f>VLOOKUP(F463,'[1]Sheet 1'!$B$2:$E$347,2,FALSE)</f>
        <v>La Araucanía</v>
      </c>
      <c r="H463" t="str">
        <f>VLOOKUP(F463,'[1]Sheet 1'!$B$2:$E$347,3,FALSE)</f>
        <v>Cautín</v>
      </c>
      <c r="I463" t="str">
        <f>VLOOKUP(F463,'[1]Sheet 1'!$B$2:$E$347,4,FALSE)</f>
        <v>Temuco</v>
      </c>
      <c r="J463" t="s">
        <v>136</v>
      </c>
      <c r="K463" s="3" t="s">
        <v>4</v>
      </c>
      <c r="L463" s="12" t="str">
        <f>VLOOKUP(K463,[2]Hoja4!$A$2:$C$443,2,FALSE)</f>
        <v>Intentional self-harm by hanging, strangulation and suffocation</v>
      </c>
      <c r="M463" s="12" t="str">
        <f>VLOOKUP(K463,[2]Hoja4!$A$2:$C$443,3,FALSE)</f>
        <v>At home</v>
      </c>
      <c r="N463" s="1">
        <v>11.6</v>
      </c>
      <c r="O463" s="1">
        <v>22.6</v>
      </c>
      <c r="P463" s="1">
        <v>16.399999999999999</v>
      </c>
      <c r="Q463" s="1">
        <v>1002.2</v>
      </c>
      <c r="R463" s="1">
        <v>0</v>
      </c>
      <c r="S463" s="1">
        <v>83.2</v>
      </c>
      <c r="T463" s="5">
        <v>8.2299999999999998E-2</v>
      </c>
      <c r="U463" s="10">
        <v>3.0000000000000001E-3</v>
      </c>
    </row>
    <row r="464" spans="1:21" customFormat="1">
      <c r="A464">
        <v>1</v>
      </c>
      <c r="B464">
        <v>60</v>
      </c>
      <c r="C464">
        <v>28</v>
      </c>
      <c r="D464">
        <v>3</v>
      </c>
      <c r="E464">
        <v>2020</v>
      </c>
      <c r="F464">
        <v>13106</v>
      </c>
      <c r="G464" t="str">
        <f>VLOOKUP(F464,'[1]Sheet 1'!$B$2:$E$347,2,FALSE)</f>
        <v>Metropolitana de Santiago</v>
      </c>
      <c r="H464" t="str">
        <f>VLOOKUP(F464,'[1]Sheet 1'!$B$2:$E$347,3,FALSE)</f>
        <v>Santiago</v>
      </c>
      <c r="I464" t="str">
        <f>VLOOKUP(F464,'[1]Sheet 1'!$B$2:$E$347,4,FALSE)</f>
        <v>Estación Central</v>
      </c>
      <c r="J464" t="s">
        <v>136</v>
      </c>
      <c r="K464" s="3" t="s">
        <v>0</v>
      </c>
      <c r="L464" s="12" t="str">
        <f>VLOOKUP(K464,[2]Hoja4!$A$2:$C$443,2,FALSE)</f>
        <v>Intentional self-harm by hanging, strangulation and suffocation</v>
      </c>
      <c r="M464" s="12" t="str">
        <f>VLOOKUP(K464,[2]Hoja4!$A$2:$C$443,3,FALSE)</f>
        <v>Unspecified place</v>
      </c>
      <c r="N464" s="1">
        <v>10.9</v>
      </c>
      <c r="O464" s="1">
        <v>22.9</v>
      </c>
      <c r="P464" s="1">
        <v>15.9</v>
      </c>
      <c r="Q464" s="1">
        <v>955</v>
      </c>
      <c r="R464" s="1"/>
      <c r="S464" s="1">
        <v>76.2</v>
      </c>
      <c r="T464" s="5">
        <v>8.2299999999999998E-2</v>
      </c>
      <c r="U464" s="10">
        <v>3.0000000000000001E-3</v>
      </c>
    </row>
    <row r="465" spans="1:21" customFormat="1">
      <c r="A465">
        <v>1</v>
      </c>
      <c r="B465">
        <v>51</v>
      </c>
      <c r="C465">
        <v>28</v>
      </c>
      <c r="D465">
        <v>3</v>
      </c>
      <c r="E465">
        <v>2020</v>
      </c>
      <c r="F465">
        <v>16108</v>
      </c>
      <c r="G465" t="str">
        <f>VLOOKUP(F465,'[1]Sheet 1'!$B$2:$E$347,2,FALSE)</f>
        <v>Ñuble</v>
      </c>
      <c r="H465" t="str">
        <f>VLOOKUP(F465,'[1]Sheet 1'!$B$2:$E$347,3,FALSE)</f>
        <v>Diguillín</v>
      </c>
      <c r="I465" t="str">
        <f>VLOOKUP(F465,'[1]Sheet 1'!$B$2:$E$347,4,FALSE)</f>
        <v>San Ignacio</v>
      </c>
      <c r="J465" t="s">
        <v>136</v>
      </c>
      <c r="K465" s="3" t="s">
        <v>0</v>
      </c>
      <c r="L465" s="12" t="str">
        <f>VLOOKUP(K465,[2]Hoja4!$A$2:$C$443,2,FALSE)</f>
        <v>Intentional self-harm by hanging, strangulation and suffocation</v>
      </c>
      <c r="M465" s="12" t="str">
        <f>VLOOKUP(K465,[2]Hoja4!$A$2:$C$443,3,FALSE)</f>
        <v>Unspecified place</v>
      </c>
      <c r="N465" s="1">
        <v>7.9</v>
      </c>
      <c r="O465" s="1" t="s">
        <v>115</v>
      </c>
      <c r="P465" s="1">
        <v>13.6</v>
      </c>
      <c r="Q465" s="1">
        <v>997.9</v>
      </c>
      <c r="R465" s="1">
        <v>0</v>
      </c>
      <c r="S465" s="1">
        <v>84.5</v>
      </c>
      <c r="T465" s="5">
        <v>8.2299999999999998E-2</v>
      </c>
      <c r="U465" s="10">
        <v>3.0000000000000001E-3</v>
      </c>
    </row>
    <row r="466" spans="1:21" customFormat="1">
      <c r="A466">
        <v>1</v>
      </c>
      <c r="B466">
        <v>43</v>
      </c>
      <c r="C466">
        <v>28</v>
      </c>
      <c r="D466">
        <v>3</v>
      </c>
      <c r="E466">
        <v>2020</v>
      </c>
      <c r="F466">
        <v>10109</v>
      </c>
      <c r="G466" t="str">
        <f>VLOOKUP(F466,'[1]Sheet 1'!$B$2:$E$347,2,FALSE)</f>
        <v>Los Lagos</v>
      </c>
      <c r="H466" t="str">
        <f>VLOOKUP(F466,'[1]Sheet 1'!$B$2:$E$347,3,FALSE)</f>
        <v>Llanquihue</v>
      </c>
      <c r="I466" t="str">
        <f>VLOOKUP(F466,'[1]Sheet 1'!$B$2:$E$347,4,FALSE)</f>
        <v>Puerto Varas</v>
      </c>
      <c r="J466" t="s">
        <v>136</v>
      </c>
      <c r="K466" s="3" t="s">
        <v>4</v>
      </c>
      <c r="L466" s="12" t="str">
        <f>VLOOKUP(K466,[2]Hoja4!$A$2:$C$443,2,FALSE)</f>
        <v>Intentional self-harm by hanging, strangulation and suffocation</v>
      </c>
      <c r="M466" s="12" t="str">
        <f>VLOOKUP(K466,[2]Hoja4!$A$2:$C$443,3,FALSE)</f>
        <v>At home</v>
      </c>
      <c r="N466" s="1">
        <v>9.6999999999999993</v>
      </c>
      <c r="O466" s="1">
        <v>17.100000000000001</v>
      </c>
      <c r="P466" s="1">
        <v>12.4</v>
      </c>
      <c r="Q466" s="1">
        <v>1007.7</v>
      </c>
      <c r="R466" s="1">
        <v>0</v>
      </c>
      <c r="S466" s="1">
        <v>83</v>
      </c>
      <c r="T466" s="5">
        <v>8.2299999999999998E-2</v>
      </c>
      <c r="U466" s="10">
        <v>3.0000000000000001E-3</v>
      </c>
    </row>
    <row r="467" spans="1:21" customFormat="1">
      <c r="A467">
        <v>1</v>
      </c>
      <c r="B467">
        <v>40</v>
      </c>
      <c r="C467">
        <v>28</v>
      </c>
      <c r="D467">
        <v>3</v>
      </c>
      <c r="E467">
        <v>2020</v>
      </c>
      <c r="F467">
        <v>8204</v>
      </c>
      <c r="G467" t="str">
        <f>VLOOKUP(F467,'[1]Sheet 1'!$B$2:$E$347,2,FALSE)</f>
        <v>Biobío</v>
      </c>
      <c r="H467" t="str">
        <f>VLOOKUP(F467,'[1]Sheet 1'!$B$2:$E$347,3,FALSE)</f>
        <v>Arauco</v>
      </c>
      <c r="I467" t="str">
        <f>VLOOKUP(F467,'[1]Sheet 1'!$B$2:$E$347,4,FALSE)</f>
        <v>Contulmo</v>
      </c>
      <c r="J467" t="s">
        <v>136</v>
      </c>
      <c r="K467" s="3" t="s">
        <v>0</v>
      </c>
      <c r="L467" s="12" t="str">
        <f>VLOOKUP(K467,[2]Hoja4!$A$2:$C$443,2,FALSE)</f>
        <v>Intentional self-harm by hanging, strangulation and suffocation</v>
      </c>
      <c r="M467" s="12" t="str">
        <f>VLOOKUP(K467,[2]Hoja4!$A$2:$C$443,3,FALSE)</f>
        <v>Unspecified place</v>
      </c>
      <c r="N467" s="1">
        <v>9.1999999999999993</v>
      </c>
      <c r="O467" s="1">
        <v>19.5</v>
      </c>
      <c r="P467" s="1">
        <v>14.9</v>
      </c>
      <c r="Q467" s="1">
        <v>1013.6</v>
      </c>
      <c r="R467" s="1">
        <v>0</v>
      </c>
      <c r="S467" s="1">
        <v>92.8</v>
      </c>
      <c r="T467" s="5">
        <v>8.2299999999999998E-2</v>
      </c>
      <c r="U467" s="10">
        <v>3.0000000000000001E-3</v>
      </c>
    </row>
    <row r="468" spans="1:21" customFormat="1">
      <c r="A468">
        <v>1</v>
      </c>
      <c r="B468">
        <v>46</v>
      </c>
      <c r="C468">
        <v>28</v>
      </c>
      <c r="D468">
        <v>3</v>
      </c>
      <c r="E468">
        <v>2020</v>
      </c>
      <c r="F468">
        <v>5109</v>
      </c>
      <c r="G468" t="str">
        <f>VLOOKUP(F468,'[1]Sheet 1'!$B$2:$E$347,2,FALSE)</f>
        <v>Valparaíso</v>
      </c>
      <c r="H468" t="str">
        <f>VLOOKUP(F468,'[1]Sheet 1'!$B$2:$E$347,3,FALSE)</f>
        <v>Valparaíso</v>
      </c>
      <c r="I468" t="str">
        <f>VLOOKUP(F468,'[1]Sheet 1'!$B$2:$E$347,4,FALSE)</f>
        <v>Viña del Mar</v>
      </c>
      <c r="J468" t="s">
        <v>136</v>
      </c>
      <c r="K468" s="3" t="s">
        <v>2</v>
      </c>
      <c r="L468" s="12" t="str">
        <f>VLOOKUP(K468,[2]Hoja4!$A$2:$C$443,2,FALSE)</f>
        <v>Intentional self-harm by hanging, strangulation and suffocation</v>
      </c>
      <c r="M468" s="12" t="str">
        <f>VLOOKUP(K468,[2]Hoja4!$A$2:$C$443,3,FALSE)</f>
        <v>Street and highway</v>
      </c>
      <c r="N468" s="1">
        <v>14.1</v>
      </c>
      <c r="O468" s="1">
        <v>19.399999999999999</v>
      </c>
      <c r="P468" s="1">
        <v>15.4</v>
      </c>
      <c r="Q468" s="1">
        <v>976.4</v>
      </c>
      <c r="R468" s="1">
        <v>0</v>
      </c>
      <c r="S468" s="1">
        <v>85.5</v>
      </c>
      <c r="T468" s="5">
        <v>8.2299999999999998E-2</v>
      </c>
      <c r="U468" s="10">
        <v>3.0000000000000001E-3</v>
      </c>
    </row>
    <row r="469" spans="1:21" customFormat="1">
      <c r="A469">
        <v>1</v>
      </c>
      <c r="B469">
        <v>19</v>
      </c>
      <c r="C469">
        <v>28</v>
      </c>
      <c r="D469">
        <v>3</v>
      </c>
      <c r="E469">
        <v>2020</v>
      </c>
      <c r="F469">
        <v>7401</v>
      </c>
      <c r="G469" t="str">
        <f>VLOOKUP(F469,'[1]Sheet 1'!$B$2:$E$347,2,FALSE)</f>
        <v>Maule</v>
      </c>
      <c r="H469" t="str">
        <f>VLOOKUP(F469,'[1]Sheet 1'!$B$2:$E$347,3,FALSE)</f>
        <v>Linares</v>
      </c>
      <c r="I469" t="str">
        <f>VLOOKUP(F469,'[1]Sheet 1'!$B$2:$E$347,4,FALSE)</f>
        <v>Linares</v>
      </c>
      <c r="J469" t="s">
        <v>136</v>
      </c>
      <c r="K469" s="3" t="s">
        <v>4</v>
      </c>
      <c r="L469" s="12" t="str">
        <f>VLOOKUP(K469,[2]Hoja4!$A$2:$C$443,2,FALSE)</f>
        <v>Intentional self-harm by hanging, strangulation and suffocation</v>
      </c>
      <c r="M469" s="12" t="str">
        <f>VLOOKUP(K469,[2]Hoja4!$A$2:$C$443,3,FALSE)</f>
        <v>At home</v>
      </c>
      <c r="N469" s="1" t="s">
        <v>86</v>
      </c>
      <c r="O469" s="1">
        <v>22.9</v>
      </c>
      <c r="P469" s="1">
        <v>13.9</v>
      </c>
      <c r="Q469" s="1">
        <v>995.9</v>
      </c>
      <c r="R469" s="1">
        <v>0</v>
      </c>
      <c r="S469" s="1">
        <v>84.3</v>
      </c>
      <c r="T469" s="5">
        <v>8.2299999999999998E-2</v>
      </c>
      <c r="U469" s="10">
        <v>3.0000000000000001E-3</v>
      </c>
    </row>
    <row r="470" spans="1:21" customFormat="1">
      <c r="A470">
        <v>1</v>
      </c>
      <c r="B470">
        <v>52</v>
      </c>
      <c r="C470">
        <v>29</v>
      </c>
      <c r="D470">
        <v>3</v>
      </c>
      <c r="E470">
        <v>2020</v>
      </c>
      <c r="F470">
        <v>9201</v>
      </c>
      <c r="G470" t="str">
        <f>VLOOKUP(F470,'[1]Sheet 1'!$B$2:$E$347,2,FALSE)</f>
        <v>La Araucanía</v>
      </c>
      <c r="H470" t="str">
        <f>VLOOKUP(F470,'[1]Sheet 1'!$B$2:$E$347,3,FALSE)</f>
        <v>Malleco</v>
      </c>
      <c r="I470" t="str">
        <f>VLOOKUP(F470,'[1]Sheet 1'!$B$2:$E$347,4,FALSE)</f>
        <v>Angol</v>
      </c>
      <c r="J470" t="s">
        <v>136</v>
      </c>
      <c r="K470" s="3" t="s">
        <v>0</v>
      </c>
      <c r="L470" s="12" t="str">
        <f>VLOOKUP(K470,[2]Hoja4!$A$2:$C$443,2,FALSE)</f>
        <v>Intentional self-harm by hanging, strangulation and suffocation</v>
      </c>
      <c r="M470" s="12" t="str">
        <f>VLOOKUP(K470,[2]Hoja4!$A$2:$C$443,3,FALSE)</f>
        <v>Unspecified place</v>
      </c>
      <c r="N470" s="1">
        <v>8.6</v>
      </c>
      <c r="O470" s="1">
        <v>22.5</v>
      </c>
      <c r="P470" s="1">
        <v>16</v>
      </c>
      <c r="Q470" s="1">
        <v>1011.6</v>
      </c>
      <c r="R470" s="1">
        <v>0</v>
      </c>
      <c r="S470" s="1">
        <v>54.7</v>
      </c>
      <c r="T470" s="5">
        <v>8.2299999999999998E-2</v>
      </c>
      <c r="U470" s="10">
        <v>3.0000000000000001E-3</v>
      </c>
    </row>
    <row r="471" spans="1:21" customFormat="1">
      <c r="A471">
        <v>1</v>
      </c>
      <c r="B471">
        <v>21</v>
      </c>
      <c r="C471">
        <v>29</v>
      </c>
      <c r="D471">
        <v>3</v>
      </c>
      <c r="E471">
        <v>2020</v>
      </c>
      <c r="F471">
        <v>5301</v>
      </c>
      <c r="G471" t="str">
        <f>VLOOKUP(F471,'[1]Sheet 1'!$B$2:$E$347,2,FALSE)</f>
        <v>Valparaíso</v>
      </c>
      <c r="H471" t="str">
        <f>VLOOKUP(F471,'[1]Sheet 1'!$B$2:$E$347,3,FALSE)</f>
        <v>Los Andes</v>
      </c>
      <c r="I471" t="str">
        <f>VLOOKUP(F471,'[1]Sheet 1'!$B$2:$E$347,4,FALSE)</f>
        <v>Los Andes</v>
      </c>
      <c r="J471" t="s">
        <v>136</v>
      </c>
      <c r="K471" s="3" t="s">
        <v>0</v>
      </c>
      <c r="L471" s="12" t="str">
        <f>VLOOKUP(K471,[2]Hoja4!$A$2:$C$443,2,FALSE)</f>
        <v>Intentional self-harm by hanging, strangulation and suffocation</v>
      </c>
      <c r="M471" s="12" t="str">
        <f>VLOOKUP(K471,[2]Hoja4!$A$2:$C$443,3,FALSE)</f>
        <v>Unspecified place</v>
      </c>
      <c r="N471" s="1">
        <v>8.9</v>
      </c>
      <c r="O471" s="1" t="s">
        <v>113</v>
      </c>
      <c r="P471" s="1">
        <v>18.399999999999999</v>
      </c>
      <c r="Q471" s="1">
        <v>927.1</v>
      </c>
      <c r="R471" s="1">
        <v>0</v>
      </c>
      <c r="S471" s="1">
        <v>62.4</v>
      </c>
      <c r="T471" s="5">
        <v>8.2299999999999998E-2</v>
      </c>
      <c r="U471" s="10">
        <v>3.0000000000000001E-3</v>
      </c>
    </row>
    <row r="472" spans="1:21" customFormat="1">
      <c r="A472">
        <v>2</v>
      </c>
      <c r="B472">
        <v>75</v>
      </c>
      <c r="C472">
        <v>30</v>
      </c>
      <c r="D472">
        <v>3</v>
      </c>
      <c r="E472">
        <v>2020</v>
      </c>
      <c r="F472">
        <v>9101</v>
      </c>
      <c r="G472" t="str">
        <f>VLOOKUP(F472,'[1]Sheet 1'!$B$2:$E$347,2,FALSE)</f>
        <v>La Araucanía</v>
      </c>
      <c r="H472" t="str">
        <f>VLOOKUP(F472,'[1]Sheet 1'!$B$2:$E$347,3,FALSE)</f>
        <v>Cautín</v>
      </c>
      <c r="I472" t="str">
        <f>VLOOKUP(F472,'[1]Sheet 1'!$B$2:$E$347,4,FALSE)</f>
        <v>Temuco</v>
      </c>
      <c r="J472" t="s">
        <v>136</v>
      </c>
      <c r="K472" s="3" t="s">
        <v>0</v>
      </c>
      <c r="L472" s="12" t="str">
        <f>VLOOKUP(K472,[2]Hoja4!$A$2:$C$443,2,FALSE)</f>
        <v>Intentional self-harm by hanging, strangulation and suffocation</v>
      </c>
      <c r="M472" s="12" t="str">
        <f>VLOOKUP(K472,[2]Hoja4!$A$2:$C$443,3,FALSE)</f>
        <v>Unspecified place</v>
      </c>
      <c r="N472" s="1">
        <v>0.2</v>
      </c>
      <c r="O472" s="1">
        <v>23.4</v>
      </c>
      <c r="P472" s="1">
        <v>11.2</v>
      </c>
      <c r="Q472" s="1">
        <v>1006.9</v>
      </c>
      <c r="R472" s="1">
        <v>0</v>
      </c>
      <c r="S472" s="1">
        <v>78</v>
      </c>
      <c r="T472" s="5">
        <v>8.2299999999999998E-2</v>
      </c>
      <c r="U472" s="10">
        <v>3.0000000000000001E-3</v>
      </c>
    </row>
    <row r="473" spans="1:21" customFormat="1">
      <c r="A473">
        <v>1</v>
      </c>
      <c r="B473">
        <v>60</v>
      </c>
      <c r="C473">
        <v>30</v>
      </c>
      <c r="D473">
        <v>3</v>
      </c>
      <c r="E473">
        <v>2020</v>
      </c>
      <c r="F473">
        <v>5302</v>
      </c>
      <c r="G473" t="str">
        <f>VLOOKUP(F473,'[1]Sheet 1'!$B$2:$E$347,2,FALSE)</f>
        <v>Valparaíso</v>
      </c>
      <c r="H473" t="str">
        <f>VLOOKUP(F473,'[1]Sheet 1'!$B$2:$E$347,3,FALSE)</f>
        <v>Los Andes</v>
      </c>
      <c r="I473" t="str">
        <f>VLOOKUP(F473,'[1]Sheet 1'!$B$2:$E$347,4,FALSE)</f>
        <v>Calle Larga</v>
      </c>
      <c r="J473" t="s">
        <v>142</v>
      </c>
      <c r="K473" s="3" t="s">
        <v>5</v>
      </c>
      <c r="L473" s="12" t="str">
        <f>VLOOKUP(K473,[2]Hoja4!$A$2:$C$443,2,FALSE)</f>
        <v>Intentional self-harm by other and unspecified firearm discharge</v>
      </c>
      <c r="M473" s="12" t="str">
        <f>VLOOKUP(K473,[2]Hoja4!$A$2:$C$443,3,FALSE)</f>
        <v>At home</v>
      </c>
      <c r="N473" s="1">
        <v>10.8</v>
      </c>
      <c r="O473" s="1">
        <v>33</v>
      </c>
      <c r="P473" s="1">
        <v>21.9</v>
      </c>
      <c r="Q473" s="1">
        <v>926.1</v>
      </c>
      <c r="R473" s="1">
        <v>0</v>
      </c>
      <c r="S473" s="1">
        <v>53</v>
      </c>
      <c r="T473" s="5">
        <v>8.2299999999999998E-2</v>
      </c>
      <c r="U473" s="10">
        <v>3.0000000000000001E-3</v>
      </c>
    </row>
    <row r="474" spans="1:21" customFormat="1">
      <c r="A474">
        <v>2</v>
      </c>
      <c r="B474">
        <v>46</v>
      </c>
      <c r="C474">
        <v>30</v>
      </c>
      <c r="D474">
        <v>3</v>
      </c>
      <c r="E474">
        <v>2020</v>
      </c>
      <c r="F474">
        <v>13119</v>
      </c>
      <c r="G474" t="str">
        <f>VLOOKUP(F474,'[1]Sheet 1'!$B$2:$E$347,2,FALSE)</f>
        <v>Metropolitana de Santiago</v>
      </c>
      <c r="H474" t="str">
        <f>VLOOKUP(F474,'[1]Sheet 1'!$B$2:$E$347,3,FALSE)</f>
        <v>Santiago</v>
      </c>
      <c r="I474" t="str">
        <f>VLOOKUP(F474,'[1]Sheet 1'!$B$2:$E$347,4,FALSE)</f>
        <v>Maipú</v>
      </c>
      <c r="J474" t="s">
        <v>136</v>
      </c>
      <c r="K474" s="3" t="s">
        <v>0</v>
      </c>
      <c r="L474" s="12" t="str">
        <f>VLOOKUP(K474,[2]Hoja4!$A$2:$C$443,2,FALSE)</f>
        <v>Intentional self-harm by hanging, strangulation and suffocation</v>
      </c>
      <c r="M474" s="12" t="str">
        <f>VLOOKUP(K474,[2]Hoja4!$A$2:$C$443,3,FALSE)</f>
        <v>Unspecified place</v>
      </c>
      <c r="N474" s="1">
        <v>11.7</v>
      </c>
      <c r="O474" s="1">
        <v>31.1</v>
      </c>
      <c r="P474" s="1">
        <v>20.2</v>
      </c>
      <c r="Q474" s="1">
        <v>954.1</v>
      </c>
      <c r="R474" s="1"/>
      <c r="S474" s="1">
        <v>57.5</v>
      </c>
      <c r="T474" s="5">
        <v>8.2299999999999998E-2</v>
      </c>
      <c r="U474" s="10">
        <v>3.0000000000000001E-3</v>
      </c>
    </row>
    <row r="475" spans="1:21" customFormat="1">
      <c r="A475">
        <v>1</v>
      </c>
      <c r="B475">
        <v>34</v>
      </c>
      <c r="C475">
        <v>30</v>
      </c>
      <c r="D475">
        <v>3</v>
      </c>
      <c r="E475">
        <v>2020</v>
      </c>
      <c r="F475">
        <v>9109</v>
      </c>
      <c r="G475" t="str">
        <f>VLOOKUP(F475,'[1]Sheet 1'!$B$2:$E$347,2,FALSE)</f>
        <v>La Araucanía</v>
      </c>
      <c r="H475" t="str">
        <f>VLOOKUP(F475,'[1]Sheet 1'!$B$2:$E$347,3,FALSE)</f>
        <v>Cautín</v>
      </c>
      <c r="I475" t="str">
        <f>VLOOKUP(F475,'[1]Sheet 1'!$B$2:$E$347,4,FALSE)</f>
        <v>Loncoche</v>
      </c>
      <c r="J475" t="s">
        <v>136</v>
      </c>
      <c r="K475" s="3" t="s">
        <v>0</v>
      </c>
      <c r="L475" s="12" t="str">
        <f>VLOOKUP(K475,[2]Hoja4!$A$2:$C$443,2,FALSE)</f>
        <v>Intentional self-harm by hanging, strangulation and suffocation</v>
      </c>
      <c r="M475" s="12" t="str">
        <f>VLOOKUP(K475,[2]Hoja4!$A$2:$C$443,3,FALSE)</f>
        <v>Unspecified place</v>
      </c>
      <c r="N475" s="1">
        <v>0.2</v>
      </c>
      <c r="O475" s="1">
        <v>23.4</v>
      </c>
      <c r="P475" s="1">
        <v>11.2</v>
      </c>
      <c r="Q475" s="1">
        <v>1006.9</v>
      </c>
      <c r="R475" s="1">
        <v>0</v>
      </c>
      <c r="S475" s="1">
        <v>78</v>
      </c>
      <c r="T475" s="5">
        <v>8.2299999999999998E-2</v>
      </c>
      <c r="U475" s="10">
        <v>3.0000000000000001E-3</v>
      </c>
    </row>
    <row r="476" spans="1:21" customFormat="1">
      <c r="A476">
        <v>1</v>
      </c>
      <c r="B476">
        <v>15</v>
      </c>
      <c r="C476">
        <v>30</v>
      </c>
      <c r="D476">
        <v>3</v>
      </c>
      <c r="E476">
        <v>2020</v>
      </c>
      <c r="F476">
        <v>9120</v>
      </c>
      <c r="G476" t="str">
        <f>VLOOKUP(F476,'[1]Sheet 1'!$B$2:$E$347,2,FALSE)</f>
        <v>La Araucanía</v>
      </c>
      <c r="H476" t="str">
        <f>VLOOKUP(F476,'[1]Sheet 1'!$B$2:$E$347,3,FALSE)</f>
        <v>Cautín</v>
      </c>
      <c r="I476" t="str">
        <f>VLOOKUP(F476,'[1]Sheet 1'!$B$2:$E$347,4,FALSE)</f>
        <v>Villarrica</v>
      </c>
      <c r="J476" t="s">
        <v>136</v>
      </c>
      <c r="K476" s="3" t="s">
        <v>0</v>
      </c>
      <c r="L476" s="12" t="str">
        <f>VLOOKUP(K476,[2]Hoja4!$A$2:$C$443,2,FALSE)</f>
        <v>Intentional self-harm by hanging, strangulation and suffocation</v>
      </c>
      <c r="M476" s="12" t="str">
        <f>VLOOKUP(K476,[2]Hoja4!$A$2:$C$443,3,FALSE)</f>
        <v>Unspecified place</v>
      </c>
      <c r="N476" s="1">
        <v>0.2</v>
      </c>
      <c r="O476" s="1">
        <v>23.4</v>
      </c>
      <c r="P476" s="1">
        <v>11.2</v>
      </c>
      <c r="Q476" s="1">
        <v>1006.9</v>
      </c>
      <c r="R476" s="1">
        <v>0</v>
      </c>
      <c r="S476" s="1">
        <v>78</v>
      </c>
      <c r="T476" s="5">
        <v>8.2299999999999998E-2</v>
      </c>
      <c r="U476" s="10">
        <v>3.0000000000000001E-3</v>
      </c>
    </row>
    <row r="477" spans="1:21" customFormat="1">
      <c r="A477">
        <v>1</v>
      </c>
      <c r="B477">
        <v>24</v>
      </c>
      <c r="C477">
        <v>30</v>
      </c>
      <c r="D477">
        <v>3</v>
      </c>
      <c r="E477">
        <v>2020</v>
      </c>
      <c r="F477">
        <v>6107</v>
      </c>
      <c r="G477" t="str">
        <f>VLOOKUP(F477,'[1]Sheet 1'!$B$2:$E$347,2,FALSE)</f>
        <v>Libertador General Bernardo O'Higgins</v>
      </c>
      <c r="H477" t="str">
        <f>VLOOKUP(F477,'[1]Sheet 1'!$B$2:$E$347,3,FALSE)</f>
        <v>Cachapoal</v>
      </c>
      <c r="I477" t="str">
        <f>VLOOKUP(F477,'[1]Sheet 1'!$B$2:$E$347,4,FALSE)</f>
        <v>Las Cabras</v>
      </c>
      <c r="J477" t="s">
        <v>136</v>
      </c>
      <c r="K477" s="3" t="s">
        <v>0</v>
      </c>
      <c r="L477" s="12" t="str">
        <f>VLOOKUP(K477,[2]Hoja4!$A$2:$C$443,2,FALSE)</f>
        <v>Intentional self-harm by hanging, strangulation and suffocation</v>
      </c>
      <c r="M477" s="12" t="str">
        <f>VLOOKUP(K477,[2]Hoja4!$A$2:$C$443,3,FALSE)</f>
        <v>Unspecified place</v>
      </c>
      <c r="N477" s="1">
        <v>10.3</v>
      </c>
      <c r="O477" s="1">
        <v>29.3</v>
      </c>
      <c r="P477" s="1">
        <v>19.8</v>
      </c>
      <c r="Q477" s="1">
        <v>958.2</v>
      </c>
      <c r="R477" s="1">
        <v>0</v>
      </c>
      <c r="S477" s="1">
        <v>54.9</v>
      </c>
      <c r="T477" s="5">
        <v>8.2299999999999998E-2</v>
      </c>
      <c r="U477" s="10">
        <v>3.0000000000000001E-3</v>
      </c>
    </row>
    <row r="478" spans="1:21" customFormat="1">
      <c r="A478">
        <v>1</v>
      </c>
      <c r="B478">
        <v>39</v>
      </c>
      <c r="C478">
        <v>31</v>
      </c>
      <c r="D478">
        <v>3</v>
      </c>
      <c r="E478">
        <v>2020</v>
      </c>
      <c r="F478">
        <v>2201</v>
      </c>
      <c r="G478" t="str">
        <f>VLOOKUP(F478,'[1]Sheet 1'!$B$2:$E$347,2,FALSE)</f>
        <v>Antofagasta</v>
      </c>
      <c r="H478" t="str">
        <f>VLOOKUP(F478,'[1]Sheet 1'!$B$2:$E$347,3,FALSE)</f>
        <v>El Loa</v>
      </c>
      <c r="I478" t="str">
        <f>VLOOKUP(F478,'[1]Sheet 1'!$B$2:$E$347,4,FALSE)</f>
        <v>Calama</v>
      </c>
      <c r="J478" t="s">
        <v>136</v>
      </c>
      <c r="K478" s="3" t="s">
        <v>4</v>
      </c>
      <c r="L478" s="12" t="str">
        <f>VLOOKUP(K478,[2]Hoja4!$A$2:$C$443,2,FALSE)</f>
        <v>Intentional self-harm by hanging, strangulation and suffocation</v>
      </c>
      <c r="M478" s="12" t="str">
        <f>VLOOKUP(K478,[2]Hoja4!$A$2:$C$443,3,FALSE)</f>
        <v>At home</v>
      </c>
      <c r="N478" s="1">
        <v>8.9</v>
      </c>
      <c r="O478" s="1">
        <v>26.3</v>
      </c>
      <c r="P478" s="1">
        <v>17.399999999999999</v>
      </c>
      <c r="Q478" s="1">
        <v>772.3</v>
      </c>
      <c r="R478" s="1">
        <v>0</v>
      </c>
      <c r="S478" s="1">
        <v>33.5</v>
      </c>
      <c r="T478" s="5">
        <v>8.2299999999999998E-2</v>
      </c>
      <c r="U478" s="10">
        <v>3.0000000000000001E-3</v>
      </c>
    </row>
    <row r="479" spans="1:21" customFormat="1">
      <c r="A479">
        <v>1</v>
      </c>
      <c r="B479">
        <v>46</v>
      </c>
      <c r="C479">
        <v>31</v>
      </c>
      <c r="D479">
        <v>3</v>
      </c>
      <c r="E479">
        <v>2020</v>
      </c>
      <c r="F479">
        <v>13601</v>
      </c>
      <c r="G479" t="str">
        <f>VLOOKUP(F479,'[1]Sheet 1'!$B$2:$E$347,2,FALSE)</f>
        <v>Metropolitana de Santiago</v>
      </c>
      <c r="H479" t="str">
        <f>VLOOKUP(F479,'[1]Sheet 1'!$B$2:$E$347,3,FALSE)</f>
        <v>Talagante</v>
      </c>
      <c r="I479" t="str">
        <f>VLOOKUP(F479,'[1]Sheet 1'!$B$2:$E$347,4,FALSE)</f>
        <v>Talagante</v>
      </c>
      <c r="J479" t="s">
        <v>161</v>
      </c>
      <c r="K479" s="3" t="s">
        <v>6</v>
      </c>
      <c r="L479" s="12" t="str">
        <f>VLOOKUP(K479,[2]Hoja4!$A$2:$C$443,2,FALSE)</f>
        <v>Intentional self-harm by sharp object</v>
      </c>
      <c r="M479" s="12" t="str">
        <f>VLOOKUP(K479,[2]Hoja4!$A$2:$C$443,3,FALSE)</f>
        <v>At home</v>
      </c>
      <c r="N479" s="1">
        <v>9.1999999999999993</v>
      </c>
      <c r="O479" s="1">
        <v>29.4</v>
      </c>
      <c r="P479" s="1">
        <v>18.899999999999999</v>
      </c>
      <c r="Q479" s="1"/>
      <c r="R479" s="1">
        <v>0</v>
      </c>
      <c r="S479" s="1">
        <v>50.2</v>
      </c>
      <c r="T479" s="5">
        <v>8.2299999999999998E-2</v>
      </c>
      <c r="U479" s="10">
        <v>3.0000000000000001E-3</v>
      </c>
    </row>
    <row r="480" spans="1:21" customFormat="1">
      <c r="A480">
        <v>1</v>
      </c>
      <c r="B480">
        <v>29</v>
      </c>
      <c r="C480">
        <v>31</v>
      </c>
      <c r="D480">
        <v>3</v>
      </c>
      <c r="E480">
        <v>2020</v>
      </c>
      <c r="F480">
        <v>8110</v>
      </c>
      <c r="G480" t="str">
        <f>VLOOKUP(F480,'[1]Sheet 1'!$B$2:$E$347,2,FALSE)</f>
        <v>Biobío</v>
      </c>
      <c r="H480" t="str">
        <f>VLOOKUP(F480,'[1]Sheet 1'!$B$2:$E$347,3,FALSE)</f>
        <v>Concepción</v>
      </c>
      <c r="I480" t="str">
        <f>VLOOKUP(F480,'[1]Sheet 1'!$B$2:$E$347,4,FALSE)</f>
        <v>Talcahuano</v>
      </c>
      <c r="J480" t="s">
        <v>136</v>
      </c>
      <c r="K480" s="3" t="s">
        <v>4</v>
      </c>
      <c r="L480" s="12" t="str">
        <f>VLOOKUP(K480,[2]Hoja4!$A$2:$C$443,2,FALSE)</f>
        <v>Intentional self-harm by hanging, strangulation and suffocation</v>
      </c>
      <c r="M480" s="12" t="str">
        <f>VLOOKUP(K480,[2]Hoja4!$A$2:$C$443,3,FALSE)</f>
        <v>At home</v>
      </c>
      <c r="N480" s="1">
        <v>6.6</v>
      </c>
      <c r="O480" s="1">
        <v>21</v>
      </c>
      <c r="P480" s="1">
        <v>14.5</v>
      </c>
      <c r="Q480" s="1">
        <v>1016.6</v>
      </c>
      <c r="R480" s="1">
        <v>0</v>
      </c>
      <c r="S480" s="1">
        <v>72.8</v>
      </c>
      <c r="T480" s="5">
        <v>8.2299999999999998E-2</v>
      </c>
      <c r="U480" s="10">
        <v>3.0000000000000001E-3</v>
      </c>
    </row>
    <row r="481" spans="1:21" customFormat="1">
      <c r="A481">
        <v>1</v>
      </c>
      <c r="B481">
        <v>16</v>
      </c>
      <c r="C481">
        <v>31</v>
      </c>
      <c r="D481">
        <v>3</v>
      </c>
      <c r="E481">
        <v>2020</v>
      </c>
      <c r="F481">
        <v>13501</v>
      </c>
      <c r="G481" t="str">
        <f>VLOOKUP(F481,'[1]Sheet 1'!$B$2:$E$347,2,FALSE)</f>
        <v>Metropolitana de Santiago</v>
      </c>
      <c r="H481" t="str">
        <f>VLOOKUP(F481,'[1]Sheet 1'!$B$2:$E$347,3,FALSE)</f>
        <v>Melipilla</v>
      </c>
      <c r="I481" t="str">
        <f>VLOOKUP(F481,'[1]Sheet 1'!$B$2:$E$347,4,FALSE)</f>
        <v>Melipilla</v>
      </c>
      <c r="J481" t="s">
        <v>144</v>
      </c>
      <c r="K481" s="3" t="s">
        <v>1</v>
      </c>
      <c r="L481" s="12" t="str">
        <f>VLOOKUP(K481,[2]Hoja4!$A$2:$C$443,2,FALSE)</f>
        <v>Intentional self-harm by unspecified means</v>
      </c>
      <c r="M481" s="12" t="str">
        <f>VLOOKUP(K481,[2]Hoja4!$A$2:$C$443,3,FALSE)</f>
        <v>Unspecified place</v>
      </c>
      <c r="N481" s="1">
        <v>8.1</v>
      </c>
      <c r="O481" s="1">
        <v>28.7</v>
      </c>
      <c r="P481" s="1">
        <v>16.600000000000001</v>
      </c>
      <c r="Q481" s="1">
        <v>1014.4</v>
      </c>
      <c r="R481" s="1">
        <v>0</v>
      </c>
      <c r="S481" s="1">
        <v>57.5</v>
      </c>
      <c r="T481" s="5">
        <v>8.2299999999999998E-2</v>
      </c>
      <c r="U481" s="10">
        <v>3.0000000000000001E-3</v>
      </c>
    </row>
    <row r="482" spans="1:21" customFormat="1">
      <c r="A482">
        <v>1</v>
      </c>
      <c r="B482">
        <v>24</v>
      </c>
      <c r="C482">
        <v>31</v>
      </c>
      <c r="D482">
        <v>3</v>
      </c>
      <c r="E482">
        <v>2020</v>
      </c>
      <c r="F482">
        <v>8301</v>
      </c>
      <c r="G482" t="str">
        <f>VLOOKUP(F482,'[1]Sheet 1'!$B$2:$E$347,2,FALSE)</f>
        <v>Biobío</v>
      </c>
      <c r="H482" t="str">
        <f>VLOOKUP(F482,'[1]Sheet 1'!$B$2:$E$347,3,FALSE)</f>
        <v>Biobío</v>
      </c>
      <c r="I482" t="str">
        <f>VLOOKUP(F482,'[1]Sheet 1'!$B$2:$E$347,4,FALSE)</f>
        <v>Los Angeles</v>
      </c>
      <c r="J482" t="s">
        <v>136</v>
      </c>
      <c r="K482" s="3" t="s">
        <v>4</v>
      </c>
      <c r="L482" s="12" t="str">
        <f>VLOOKUP(K482,[2]Hoja4!$A$2:$C$443,2,FALSE)</f>
        <v>Intentional self-harm by hanging, strangulation and suffocation</v>
      </c>
      <c r="M482" s="12" t="str">
        <f>VLOOKUP(K482,[2]Hoja4!$A$2:$C$443,3,FALSE)</f>
        <v>At home</v>
      </c>
      <c r="N482" s="1">
        <v>7.6</v>
      </c>
      <c r="O482" s="1">
        <v>24.3</v>
      </c>
      <c r="P482" s="1">
        <v>15.9</v>
      </c>
      <c r="Q482" s="1">
        <v>1003.9</v>
      </c>
      <c r="R482" s="1">
        <v>0</v>
      </c>
      <c r="S482" s="1">
        <v>67.5</v>
      </c>
      <c r="T482" s="5">
        <v>8.2299999999999998E-2</v>
      </c>
      <c r="U482" s="10">
        <v>3.0000000000000001E-3</v>
      </c>
    </row>
    <row r="483" spans="1:21" customFormat="1">
      <c r="A483">
        <v>1</v>
      </c>
      <c r="B483">
        <v>66</v>
      </c>
      <c r="C483">
        <v>2</v>
      </c>
      <c r="D483">
        <v>4</v>
      </c>
      <c r="E483">
        <v>2020</v>
      </c>
      <c r="F483">
        <v>9105</v>
      </c>
      <c r="G483" t="str">
        <f>VLOOKUP(F483,'[1]Sheet 1'!$B$2:$E$347,2,FALSE)</f>
        <v>La Araucanía</v>
      </c>
      <c r="H483" t="str">
        <f>VLOOKUP(F483,'[1]Sheet 1'!$B$2:$E$347,3,FALSE)</f>
        <v>Cautín</v>
      </c>
      <c r="I483" t="str">
        <f>VLOOKUP(F483,'[1]Sheet 1'!$B$2:$E$347,4,FALSE)</f>
        <v>Freire</v>
      </c>
      <c r="J483" t="s">
        <v>136</v>
      </c>
      <c r="K483" s="3" t="s">
        <v>0</v>
      </c>
      <c r="L483" s="12" t="str">
        <f>VLOOKUP(K483,[2]Hoja4!$A$2:$C$443,2,FALSE)</f>
        <v>Intentional self-harm by hanging, strangulation and suffocation</v>
      </c>
      <c r="M483" s="12" t="str">
        <f>VLOOKUP(K483,[2]Hoja4!$A$2:$C$443,3,FALSE)</f>
        <v>Unspecified place</v>
      </c>
      <c r="N483" s="1">
        <v>7.2</v>
      </c>
      <c r="O483" s="1">
        <v>26.1</v>
      </c>
      <c r="P483" s="1">
        <v>16.100000000000001</v>
      </c>
      <c r="Q483" s="1">
        <v>1007.1</v>
      </c>
      <c r="R483" s="1">
        <v>0</v>
      </c>
      <c r="S483" s="1">
        <v>62.8</v>
      </c>
      <c r="T483" s="6">
        <v>0.09</v>
      </c>
      <c r="U483" s="6">
        <v>0</v>
      </c>
    </row>
    <row r="484" spans="1:21" customFormat="1">
      <c r="A484">
        <v>1</v>
      </c>
      <c r="B484">
        <v>58</v>
      </c>
      <c r="C484">
        <v>2</v>
      </c>
      <c r="D484">
        <v>4</v>
      </c>
      <c r="E484">
        <v>2020</v>
      </c>
      <c r="F484">
        <v>5101</v>
      </c>
      <c r="G484" t="str">
        <f>VLOOKUP(F484,'[1]Sheet 1'!$B$2:$E$347,2,FALSE)</f>
        <v>Valparaíso</v>
      </c>
      <c r="H484" t="str">
        <f>VLOOKUP(F484,'[1]Sheet 1'!$B$2:$E$347,3,FALSE)</f>
        <v>Valparaíso</v>
      </c>
      <c r="I484" t="str">
        <f>VLOOKUP(F484,'[1]Sheet 1'!$B$2:$E$347,4,FALSE)</f>
        <v>Valparaíso</v>
      </c>
      <c r="J484" t="s">
        <v>136</v>
      </c>
      <c r="K484" s="3" t="s">
        <v>0</v>
      </c>
      <c r="L484" s="12" t="str">
        <f>VLOOKUP(K484,[2]Hoja4!$A$2:$C$443,2,FALSE)</f>
        <v>Intentional self-harm by hanging, strangulation and suffocation</v>
      </c>
      <c r="M484" s="12" t="str">
        <f>VLOOKUP(K484,[2]Hoja4!$A$2:$C$443,3,FALSE)</f>
        <v>Unspecified place</v>
      </c>
      <c r="N484" s="1">
        <v>15</v>
      </c>
      <c r="O484" s="1">
        <v>21.4</v>
      </c>
      <c r="P484" s="1">
        <v>17.600000000000001</v>
      </c>
      <c r="Q484" s="1">
        <v>974.3</v>
      </c>
      <c r="R484" s="1">
        <v>0</v>
      </c>
      <c r="S484" s="1">
        <v>44.8</v>
      </c>
      <c r="T484" s="6">
        <v>0.09</v>
      </c>
      <c r="U484" s="6">
        <v>0</v>
      </c>
    </row>
    <row r="485" spans="1:21" customFormat="1">
      <c r="A485">
        <v>1</v>
      </c>
      <c r="B485">
        <v>57</v>
      </c>
      <c r="C485">
        <v>2</v>
      </c>
      <c r="D485">
        <v>4</v>
      </c>
      <c r="E485">
        <v>2020</v>
      </c>
      <c r="F485">
        <v>6205</v>
      </c>
      <c r="G485" t="str">
        <f>VLOOKUP(F485,'[1]Sheet 1'!$B$2:$E$347,2,FALSE)</f>
        <v>Libertador General Bernardo O'Higgins</v>
      </c>
      <c r="H485" t="str">
        <f>VLOOKUP(F485,'[1]Sheet 1'!$B$2:$E$347,3,FALSE)</f>
        <v>Cardenal Caro</v>
      </c>
      <c r="I485" t="str">
        <f>VLOOKUP(F485,'[1]Sheet 1'!$B$2:$E$347,4,FALSE)</f>
        <v>Navidad</v>
      </c>
      <c r="J485" t="s">
        <v>136</v>
      </c>
      <c r="K485" s="3" t="s">
        <v>0</v>
      </c>
      <c r="L485" s="12" t="str">
        <f>VLOOKUP(K485,[2]Hoja4!$A$2:$C$443,2,FALSE)</f>
        <v>Intentional self-harm by hanging, strangulation and suffocation</v>
      </c>
      <c r="M485" s="12" t="str">
        <f>VLOOKUP(K485,[2]Hoja4!$A$2:$C$443,3,FALSE)</f>
        <v>Unspecified place</v>
      </c>
      <c r="N485" s="1" t="s">
        <v>65</v>
      </c>
      <c r="O485" s="1">
        <v>19.399999999999999</v>
      </c>
      <c r="P485" s="1">
        <v>14.9</v>
      </c>
      <c r="Q485" s="1">
        <v>1009.6</v>
      </c>
      <c r="R485" s="1">
        <v>0</v>
      </c>
      <c r="S485" s="1">
        <v>69.400000000000006</v>
      </c>
      <c r="T485" s="6">
        <v>0.09</v>
      </c>
      <c r="U485" s="6">
        <v>0</v>
      </c>
    </row>
    <row r="486" spans="1:21" customFormat="1">
      <c r="A486">
        <v>1</v>
      </c>
      <c r="B486">
        <v>49</v>
      </c>
      <c r="C486">
        <v>2</v>
      </c>
      <c r="D486">
        <v>4</v>
      </c>
      <c r="E486">
        <v>2020</v>
      </c>
      <c r="F486">
        <v>8203</v>
      </c>
      <c r="G486" t="str">
        <f>VLOOKUP(F486,'[1]Sheet 1'!$B$2:$E$347,2,FALSE)</f>
        <v>Biobío</v>
      </c>
      <c r="H486" t="str">
        <f>VLOOKUP(F486,'[1]Sheet 1'!$B$2:$E$347,3,FALSE)</f>
        <v>Arauco</v>
      </c>
      <c r="I486" t="str">
        <f>VLOOKUP(F486,'[1]Sheet 1'!$B$2:$E$347,4,FALSE)</f>
        <v>Cañete</v>
      </c>
      <c r="J486" t="s">
        <v>136</v>
      </c>
      <c r="K486" s="3" t="s">
        <v>4</v>
      </c>
      <c r="L486" s="12" t="str">
        <f>VLOOKUP(K486,[2]Hoja4!$A$2:$C$443,2,FALSE)</f>
        <v>Intentional self-harm by hanging, strangulation and suffocation</v>
      </c>
      <c r="M486" s="12" t="str">
        <f>VLOOKUP(K486,[2]Hoja4!$A$2:$C$443,3,FALSE)</f>
        <v>At home</v>
      </c>
      <c r="N486" s="1">
        <v>9.4</v>
      </c>
      <c r="O486" s="1">
        <v>24.8</v>
      </c>
      <c r="P486" s="1">
        <v>16.399999999999999</v>
      </c>
      <c r="Q486" s="1">
        <v>1013.5</v>
      </c>
      <c r="R486" s="1">
        <v>0</v>
      </c>
      <c r="S486" s="1">
        <v>63.8</v>
      </c>
      <c r="T486" s="6">
        <v>0.09</v>
      </c>
      <c r="U486" s="6">
        <v>0</v>
      </c>
    </row>
    <row r="487" spans="1:21" customFormat="1">
      <c r="A487">
        <v>1</v>
      </c>
      <c r="B487">
        <v>20</v>
      </c>
      <c r="C487">
        <v>2</v>
      </c>
      <c r="D487">
        <v>4</v>
      </c>
      <c r="E487">
        <v>2020</v>
      </c>
      <c r="F487">
        <v>3301</v>
      </c>
      <c r="G487" t="str">
        <f>VLOOKUP(F487,'[1]Sheet 1'!$B$2:$E$347,2,FALSE)</f>
        <v>Atacama</v>
      </c>
      <c r="H487" t="str">
        <f>VLOOKUP(F487,'[1]Sheet 1'!$B$2:$E$347,3,FALSE)</f>
        <v>Huasco</v>
      </c>
      <c r="I487" t="str">
        <f>VLOOKUP(F487,'[1]Sheet 1'!$B$2:$E$347,4,FALSE)</f>
        <v>Vallenar</v>
      </c>
      <c r="J487" t="s">
        <v>136</v>
      </c>
      <c r="K487" s="3" t="s">
        <v>0</v>
      </c>
      <c r="L487" s="12" t="str">
        <f>VLOOKUP(K487,[2]Hoja4!$A$2:$C$443,2,FALSE)</f>
        <v>Intentional self-harm by hanging, strangulation and suffocation</v>
      </c>
      <c r="M487" s="12" t="str">
        <f>VLOOKUP(K487,[2]Hoja4!$A$2:$C$443,3,FALSE)</f>
        <v>Unspecified place</v>
      </c>
      <c r="N487" s="1">
        <v>10.6</v>
      </c>
      <c r="O487" s="1">
        <v>24.1</v>
      </c>
      <c r="P487" s="1">
        <v>15.6</v>
      </c>
      <c r="Q487" s="1">
        <v>960.3</v>
      </c>
      <c r="R487" s="1">
        <v>0</v>
      </c>
      <c r="S487" s="1">
        <v>85.9</v>
      </c>
      <c r="T487" s="6">
        <v>0.09</v>
      </c>
      <c r="U487" s="6">
        <v>0</v>
      </c>
    </row>
    <row r="488" spans="1:21" customFormat="1">
      <c r="A488">
        <v>2</v>
      </c>
      <c r="B488">
        <v>60</v>
      </c>
      <c r="C488">
        <v>3</v>
      </c>
      <c r="D488">
        <v>4</v>
      </c>
      <c r="E488">
        <v>2020</v>
      </c>
      <c r="F488">
        <v>13125</v>
      </c>
      <c r="G488" t="str">
        <f>VLOOKUP(F488,'[1]Sheet 1'!$B$2:$E$347,2,FALSE)</f>
        <v>Metropolitana de Santiago</v>
      </c>
      <c r="H488" t="str">
        <f>VLOOKUP(F488,'[1]Sheet 1'!$B$2:$E$347,3,FALSE)</f>
        <v>Santiago</v>
      </c>
      <c r="I488" t="str">
        <f>VLOOKUP(F488,'[1]Sheet 1'!$B$2:$E$347,4,FALSE)</f>
        <v>Quilicura</v>
      </c>
      <c r="J488" t="s">
        <v>136</v>
      </c>
      <c r="K488" s="3" t="s">
        <v>0</v>
      </c>
      <c r="L488" s="12" t="str">
        <f>VLOOKUP(K488,[2]Hoja4!$A$2:$C$443,2,FALSE)</f>
        <v>Intentional self-harm by hanging, strangulation and suffocation</v>
      </c>
      <c r="M488" s="12" t="str">
        <f>VLOOKUP(K488,[2]Hoja4!$A$2:$C$443,3,FALSE)</f>
        <v>Unspecified place</v>
      </c>
      <c r="N488" s="1">
        <v>9.1999999999999993</v>
      </c>
      <c r="O488" s="1">
        <v>27.4</v>
      </c>
      <c r="P488" s="1">
        <v>18.3</v>
      </c>
      <c r="Q488" s="1">
        <v>952.1</v>
      </c>
      <c r="R488" s="1"/>
      <c r="S488" s="1">
        <v>57</v>
      </c>
      <c r="T488" s="6">
        <v>0.09</v>
      </c>
      <c r="U488" s="6">
        <v>0</v>
      </c>
    </row>
    <row r="489" spans="1:21" customFormat="1">
      <c r="A489">
        <v>1</v>
      </c>
      <c r="B489">
        <v>57</v>
      </c>
      <c r="C489">
        <v>3</v>
      </c>
      <c r="D489">
        <v>4</v>
      </c>
      <c r="E489">
        <v>2020</v>
      </c>
      <c r="F489">
        <v>8109</v>
      </c>
      <c r="G489" t="str">
        <f>VLOOKUP(F489,'[1]Sheet 1'!$B$2:$E$347,2,FALSE)</f>
        <v>Biobío</v>
      </c>
      <c r="H489" t="str">
        <f>VLOOKUP(F489,'[1]Sheet 1'!$B$2:$E$347,3,FALSE)</f>
        <v>Concepción</v>
      </c>
      <c r="I489" t="str">
        <f>VLOOKUP(F489,'[1]Sheet 1'!$B$2:$E$347,4,FALSE)</f>
        <v>Santa Juana</v>
      </c>
      <c r="J489" t="s">
        <v>136</v>
      </c>
      <c r="K489" s="3" t="s">
        <v>4</v>
      </c>
      <c r="L489" s="12" t="str">
        <f>VLOOKUP(K489,[2]Hoja4!$A$2:$C$443,2,FALSE)</f>
        <v>Intentional self-harm by hanging, strangulation and suffocation</v>
      </c>
      <c r="M489" s="12" t="str">
        <f>VLOOKUP(K489,[2]Hoja4!$A$2:$C$443,3,FALSE)</f>
        <v>At home</v>
      </c>
      <c r="N489" s="1">
        <v>8.6999999999999993</v>
      </c>
      <c r="O489" s="1">
        <v>23.2</v>
      </c>
      <c r="P489" s="1">
        <v>15.6</v>
      </c>
      <c r="Q489" s="1">
        <v>1012.7</v>
      </c>
      <c r="R489" s="1">
        <v>0</v>
      </c>
      <c r="S489" s="1">
        <v>73</v>
      </c>
      <c r="T489" s="6">
        <v>0.09</v>
      </c>
      <c r="U489" s="6">
        <v>0</v>
      </c>
    </row>
    <row r="490" spans="1:21" customFormat="1">
      <c r="A490">
        <v>1</v>
      </c>
      <c r="B490">
        <v>54</v>
      </c>
      <c r="C490">
        <v>3</v>
      </c>
      <c r="D490">
        <v>4</v>
      </c>
      <c r="E490">
        <v>2020</v>
      </c>
      <c r="F490">
        <v>6110</v>
      </c>
      <c r="G490" t="str">
        <f>VLOOKUP(F490,'[1]Sheet 1'!$B$2:$E$347,2,FALSE)</f>
        <v>Libertador General Bernardo O'Higgins</v>
      </c>
      <c r="H490" t="str">
        <f>VLOOKUP(F490,'[1]Sheet 1'!$B$2:$E$347,3,FALSE)</f>
        <v>Cachapoal</v>
      </c>
      <c r="I490" t="str">
        <f>VLOOKUP(F490,'[1]Sheet 1'!$B$2:$E$347,4,FALSE)</f>
        <v>Mostazal</v>
      </c>
      <c r="J490" t="s">
        <v>136</v>
      </c>
      <c r="K490" s="3" t="s">
        <v>0</v>
      </c>
      <c r="L490" s="12" t="str">
        <f>VLOOKUP(K490,[2]Hoja4!$A$2:$C$443,2,FALSE)</f>
        <v>Intentional self-harm by hanging, strangulation and suffocation</v>
      </c>
      <c r="M490" s="12" t="str">
        <f>VLOOKUP(K490,[2]Hoja4!$A$2:$C$443,3,FALSE)</f>
        <v>Unspecified place</v>
      </c>
      <c r="N490" s="1"/>
      <c r="O490" s="1">
        <v>27.8</v>
      </c>
      <c r="P490" s="1">
        <v>25.2</v>
      </c>
      <c r="Q490" s="1">
        <v>955.5</v>
      </c>
      <c r="R490" s="1">
        <v>0</v>
      </c>
      <c r="S490" s="1"/>
      <c r="T490" s="6">
        <v>0.09</v>
      </c>
      <c r="U490" s="6">
        <v>0</v>
      </c>
    </row>
    <row r="491" spans="1:21" customFormat="1">
      <c r="A491">
        <v>1</v>
      </c>
      <c r="B491">
        <v>20</v>
      </c>
      <c r="C491">
        <v>3</v>
      </c>
      <c r="D491">
        <v>4</v>
      </c>
      <c r="E491">
        <v>2020</v>
      </c>
      <c r="F491">
        <v>8314</v>
      </c>
      <c r="G491" t="str">
        <f>VLOOKUP(F491,'[1]Sheet 1'!$B$2:$E$347,2,FALSE)</f>
        <v>Biobío</v>
      </c>
      <c r="H491" t="str">
        <f>VLOOKUP(F491,'[1]Sheet 1'!$B$2:$E$347,3,FALSE)</f>
        <v>Biobío</v>
      </c>
      <c r="I491" t="str">
        <f>VLOOKUP(F491,'[1]Sheet 1'!$B$2:$E$347,4,FALSE)</f>
        <v>Alto Biobío</v>
      </c>
      <c r="J491" t="s">
        <v>136</v>
      </c>
      <c r="K491" s="3" t="s">
        <v>4</v>
      </c>
      <c r="L491" s="12" t="str">
        <f>VLOOKUP(K491,[2]Hoja4!$A$2:$C$443,2,FALSE)</f>
        <v>Intentional self-harm by hanging, strangulation and suffocation</v>
      </c>
      <c r="M491" s="12" t="str">
        <f>VLOOKUP(K491,[2]Hoja4!$A$2:$C$443,3,FALSE)</f>
        <v>At home</v>
      </c>
      <c r="N491" s="1">
        <v>12</v>
      </c>
      <c r="O491" s="1">
        <v>25</v>
      </c>
      <c r="P491" s="1">
        <v>18.5</v>
      </c>
      <c r="Q491" s="1">
        <v>1000.6</v>
      </c>
      <c r="R491" s="1">
        <v>0</v>
      </c>
      <c r="S491" s="1">
        <v>66.5</v>
      </c>
      <c r="T491" s="6">
        <v>0.09</v>
      </c>
      <c r="U491" s="6">
        <v>0</v>
      </c>
    </row>
    <row r="492" spans="1:21" customFormat="1">
      <c r="A492">
        <v>2</v>
      </c>
      <c r="B492">
        <v>23</v>
      </c>
      <c r="C492">
        <v>3</v>
      </c>
      <c r="D492">
        <v>4</v>
      </c>
      <c r="E492">
        <v>2020</v>
      </c>
      <c r="F492">
        <v>9201</v>
      </c>
      <c r="G492" t="str">
        <f>VLOOKUP(F492,'[1]Sheet 1'!$B$2:$E$347,2,FALSE)</f>
        <v>La Araucanía</v>
      </c>
      <c r="H492" t="str">
        <f>VLOOKUP(F492,'[1]Sheet 1'!$B$2:$E$347,3,FALSE)</f>
        <v>Malleco</v>
      </c>
      <c r="I492" t="str">
        <f>VLOOKUP(F492,'[1]Sheet 1'!$B$2:$E$347,4,FALSE)</f>
        <v>Angol</v>
      </c>
      <c r="J492" t="s">
        <v>136</v>
      </c>
      <c r="K492" s="3" t="s">
        <v>0</v>
      </c>
      <c r="L492" s="12" t="str">
        <f>VLOOKUP(K492,[2]Hoja4!$A$2:$C$443,2,FALSE)</f>
        <v>Intentional self-harm by hanging, strangulation and suffocation</v>
      </c>
      <c r="M492" s="12" t="str">
        <f>VLOOKUP(K492,[2]Hoja4!$A$2:$C$443,3,FALSE)</f>
        <v>Unspecified place</v>
      </c>
      <c r="N492" s="1">
        <v>13</v>
      </c>
      <c r="O492" s="1">
        <v>27.8</v>
      </c>
      <c r="P492" s="1">
        <v>20.100000000000001</v>
      </c>
      <c r="Q492" s="1">
        <v>1006</v>
      </c>
      <c r="R492" s="1">
        <v>0</v>
      </c>
      <c r="S492" s="1">
        <v>47.5</v>
      </c>
      <c r="T492" s="6">
        <v>0.09</v>
      </c>
      <c r="U492" s="6">
        <v>0</v>
      </c>
    </row>
    <row r="493" spans="1:21" customFormat="1">
      <c r="A493">
        <v>2</v>
      </c>
      <c r="B493">
        <v>57</v>
      </c>
      <c r="C493">
        <v>4</v>
      </c>
      <c r="D493">
        <v>4</v>
      </c>
      <c r="E493">
        <v>2020</v>
      </c>
      <c r="F493">
        <v>9102</v>
      </c>
      <c r="G493" t="str">
        <f>VLOOKUP(F493,'[1]Sheet 1'!$B$2:$E$347,2,FALSE)</f>
        <v>La Araucanía</v>
      </c>
      <c r="H493" t="str">
        <f>VLOOKUP(F493,'[1]Sheet 1'!$B$2:$E$347,3,FALSE)</f>
        <v>Cautín</v>
      </c>
      <c r="I493" t="str">
        <f>VLOOKUP(F493,'[1]Sheet 1'!$B$2:$E$347,4,FALSE)</f>
        <v>Carahue</v>
      </c>
      <c r="J493" t="s">
        <v>136</v>
      </c>
      <c r="K493" s="3" t="s">
        <v>0</v>
      </c>
      <c r="L493" s="12" t="str">
        <f>VLOOKUP(K493,[2]Hoja4!$A$2:$C$443,2,FALSE)</f>
        <v>Intentional self-harm by hanging, strangulation and suffocation</v>
      </c>
      <c r="M493" s="12" t="str">
        <f>VLOOKUP(K493,[2]Hoja4!$A$2:$C$443,3,FALSE)</f>
        <v>Unspecified place</v>
      </c>
      <c r="N493" s="1">
        <v>5.3</v>
      </c>
      <c r="O493" s="1">
        <v>19.899999999999999</v>
      </c>
      <c r="P493" s="1">
        <v>14.1</v>
      </c>
      <c r="Q493" s="1">
        <v>1002.9</v>
      </c>
      <c r="R493" s="1">
        <v>0</v>
      </c>
      <c r="S493" s="1">
        <v>77.5</v>
      </c>
      <c r="T493" s="6">
        <v>0.09</v>
      </c>
      <c r="U493" s="6">
        <v>0</v>
      </c>
    </row>
    <row r="494" spans="1:21" customFormat="1">
      <c r="A494">
        <v>1</v>
      </c>
      <c r="B494">
        <v>45</v>
      </c>
      <c r="C494">
        <v>4</v>
      </c>
      <c r="D494">
        <v>4</v>
      </c>
      <c r="E494">
        <v>2020</v>
      </c>
      <c r="F494">
        <v>9211</v>
      </c>
      <c r="G494" t="str">
        <f>VLOOKUP(F494,'[1]Sheet 1'!$B$2:$E$347,2,FALSE)</f>
        <v>La Araucanía</v>
      </c>
      <c r="H494" t="str">
        <f>VLOOKUP(F494,'[1]Sheet 1'!$B$2:$E$347,3,FALSE)</f>
        <v>Malleco</v>
      </c>
      <c r="I494" t="str">
        <f>VLOOKUP(F494,'[1]Sheet 1'!$B$2:$E$347,4,FALSE)</f>
        <v>Victoria</v>
      </c>
      <c r="J494" t="s">
        <v>136</v>
      </c>
      <c r="K494" s="3" t="s">
        <v>4</v>
      </c>
      <c r="L494" s="12" t="str">
        <f>VLOOKUP(K494,[2]Hoja4!$A$2:$C$443,2,FALSE)</f>
        <v>Intentional self-harm by hanging, strangulation and suffocation</v>
      </c>
      <c r="M494" s="12" t="str">
        <f>VLOOKUP(K494,[2]Hoja4!$A$2:$C$443,3,FALSE)</f>
        <v>At home</v>
      </c>
      <c r="N494" s="1">
        <v>13</v>
      </c>
      <c r="O494" s="1">
        <v>22.8</v>
      </c>
      <c r="P494" s="1">
        <v>17.899999999999999</v>
      </c>
      <c r="Q494" s="1">
        <v>1004.9</v>
      </c>
      <c r="R494" s="1">
        <v>0</v>
      </c>
      <c r="S494" s="1">
        <v>54.2</v>
      </c>
      <c r="T494" s="6">
        <v>0.09</v>
      </c>
      <c r="U494" s="6">
        <v>0</v>
      </c>
    </row>
    <row r="495" spans="1:21" customFormat="1">
      <c r="A495">
        <v>1</v>
      </c>
      <c r="B495">
        <v>29</v>
      </c>
      <c r="C495">
        <v>4</v>
      </c>
      <c r="D495">
        <v>4</v>
      </c>
      <c r="E495">
        <v>2020</v>
      </c>
      <c r="F495">
        <v>13201</v>
      </c>
      <c r="G495" t="str">
        <f>VLOOKUP(F495,'[1]Sheet 1'!$B$2:$E$347,2,FALSE)</f>
        <v>Metropolitana de Santiago</v>
      </c>
      <c r="H495" t="str">
        <f>VLOOKUP(F495,'[1]Sheet 1'!$B$2:$E$347,3,FALSE)</f>
        <v>Cordillera</v>
      </c>
      <c r="I495" t="str">
        <f>VLOOKUP(F495,'[1]Sheet 1'!$B$2:$E$347,4,FALSE)</f>
        <v>Puente Alto</v>
      </c>
      <c r="J495" t="s">
        <v>136</v>
      </c>
      <c r="K495" s="3" t="s">
        <v>0</v>
      </c>
      <c r="L495" s="12" t="str">
        <f>VLOOKUP(K495,[2]Hoja4!$A$2:$C$443,2,FALSE)</f>
        <v>Intentional self-harm by hanging, strangulation and suffocation</v>
      </c>
      <c r="M495" s="12" t="str">
        <f>VLOOKUP(K495,[2]Hoja4!$A$2:$C$443,3,FALSE)</f>
        <v>Unspecified place</v>
      </c>
      <c r="N495" s="1">
        <v>4</v>
      </c>
      <c r="O495" s="1">
        <v>26.6</v>
      </c>
      <c r="P495" s="1">
        <v>14.7</v>
      </c>
      <c r="Q495" s="1">
        <v>934.4</v>
      </c>
      <c r="R495" s="1">
        <v>0</v>
      </c>
      <c r="S495" s="1">
        <v>62.9</v>
      </c>
      <c r="T495" s="6">
        <v>0.09</v>
      </c>
      <c r="U495" s="6">
        <v>0</v>
      </c>
    </row>
    <row r="496" spans="1:21" customFormat="1">
      <c r="A496">
        <v>1</v>
      </c>
      <c r="B496">
        <v>16</v>
      </c>
      <c r="C496">
        <v>4</v>
      </c>
      <c r="D496">
        <v>4</v>
      </c>
      <c r="E496">
        <v>2020</v>
      </c>
      <c r="F496">
        <v>13110</v>
      </c>
      <c r="G496" t="str">
        <f>VLOOKUP(F496,'[1]Sheet 1'!$B$2:$E$347,2,FALSE)</f>
        <v>Metropolitana de Santiago</v>
      </c>
      <c r="H496" t="str">
        <f>VLOOKUP(F496,'[1]Sheet 1'!$B$2:$E$347,3,FALSE)</f>
        <v>Santiago</v>
      </c>
      <c r="I496" t="str">
        <f>VLOOKUP(F496,'[1]Sheet 1'!$B$2:$E$347,4,FALSE)</f>
        <v>La Florida</v>
      </c>
      <c r="J496" t="s">
        <v>136</v>
      </c>
      <c r="K496" s="3" t="s">
        <v>0</v>
      </c>
      <c r="L496" s="12" t="str">
        <f>VLOOKUP(K496,[2]Hoja4!$A$2:$C$443,2,FALSE)</f>
        <v>Intentional self-harm by hanging, strangulation and suffocation</v>
      </c>
      <c r="M496" s="12" t="str">
        <f>VLOOKUP(K496,[2]Hoja4!$A$2:$C$443,3,FALSE)</f>
        <v>Unspecified place</v>
      </c>
      <c r="N496" s="1">
        <v>9.9</v>
      </c>
      <c r="O496" s="1">
        <v>26.3</v>
      </c>
      <c r="P496" s="1">
        <v>17.3</v>
      </c>
      <c r="Q496" s="1">
        <v>950.5</v>
      </c>
      <c r="R496" s="1"/>
      <c r="S496" s="1">
        <v>66.2</v>
      </c>
      <c r="T496" s="6">
        <v>0.09</v>
      </c>
      <c r="U496" s="6">
        <v>0</v>
      </c>
    </row>
    <row r="497" spans="1:21" customFormat="1">
      <c r="A497">
        <v>1</v>
      </c>
      <c r="B497">
        <v>21</v>
      </c>
      <c r="C497">
        <v>4</v>
      </c>
      <c r="D497">
        <v>4</v>
      </c>
      <c r="E497">
        <v>2020</v>
      </c>
      <c r="F497">
        <v>5502</v>
      </c>
      <c r="G497" t="str">
        <f>VLOOKUP(F497,'[1]Sheet 1'!$B$2:$E$347,2,FALSE)</f>
        <v>Valparaíso</v>
      </c>
      <c r="H497" t="str">
        <f>VLOOKUP(F497,'[1]Sheet 1'!$B$2:$E$347,3,FALSE)</f>
        <v>Quillota</v>
      </c>
      <c r="I497" t="str">
        <f>VLOOKUP(F497,'[1]Sheet 1'!$B$2:$E$347,4,FALSE)</f>
        <v>Calera</v>
      </c>
      <c r="J497" t="s">
        <v>136</v>
      </c>
      <c r="K497" s="3" t="s">
        <v>2</v>
      </c>
      <c r="L497" s="12" t="str">
        <f>VLOOKUP(K497,[2]Hoja4!$A$2:$C$443,2,FALSE)</f>
        <v>Intentional self-harm by hanging, strangulation and suffocation</v>
      </c>
      <c r="M497" s="12" t="str">
        <f>VLOOKUP(K497,[2]Hoja4!$A$2:$C$443,3,FALSE)</f>
        <v>Street and highway</v>
      </c>
      <c r="N497" s="1">
        <v>7</v>
      </c>
      <c r="O497" s="1">
        <v>22.9</v>
      </c>
      <c r="P497" s="1">
        <v>13.4</v>
      </c>
      <c r="Q497" s="1">
        <v>991.3</v>
      </c>
      <c r="R497" s="1">
        <v>0</v>
      </c>
      <c r="S497" s="1">
        <v>81.3</v>
      </c>
      <c r="T497" s="6">
        <v>0.09</v>
      </c>
      <c r="U497" s="6">
        <v>0</v>
      </c>
    </row>
    <row r="498" spans="1:21" customFormat="1">
      <c r="A498">
        <v>1</v>
      </c>
      <c r="B498">
        <v>36</v>
      </c>
      <c r="C498">
        <v>5</v>
      </c>
      <c r="D498">
        <v>4</v>
      </c>
      <c r="E498">
        <v>2020</v>
      </c>
      <c r="F498">
        <v>10301</v>
      </c>
      <c r="G498" t="str">
        <f>VLOOKUP(F498,'[1]Sheet 1'!$B$2:$E$347,2,FALSE)</f>
        <v>Los Lagos</v>
      </c>
      <c r="H498" t="str">
        <f>VLOOKUP(F498,'[1]Sheet 1'!$B$2:$E$347,3,FALSE)</f>
        <v>Osorno</v>
      </c>
      <c r="I498" t="str">
        <f>VLOOKUP(F498,'[1]Sheet 1'!$B$2:$E$347,4,FALSE)</f>
        <v>Osorno</v>
      </c>
      <c r="J498" t="s">
        <v>136</v>
      </c>
      <c r="K498" s="3" t="s">
        <v>0</v>
      </c>
      <c r="L498" s="12" t="str">
        <f>VLOOKUP(K498,[2]Hoja4!$A$2:$C$443,2,FALSE)</f>
        <v>Intentional self-harm by hanging, strangulation and suffocation</v>
      </c>
      <c r="M498" s="12" t="str">
        <f>VLOOKUP(K498,[2]Hoja4!$A$2:$C$443,3,FALSE)</f>
        <v>Unspecified place</v>
      </c>
      <c r="N498" s="1">
        <v>4.8</v>
      </c>
      <c r="O498" s="1">
        <v>15.5</v>
      </c>
      <c r="P498" s="1">
        <v>10.4</v>
      </c>
      <c r="Q498" s="1">
        <v>1013.5</v>
      </c>
      <c r="R498" s="1">
        <v>4.2</v>
      </c>
      <c r="S498" s="1">
        <v>81.5</v>
      </c>
      <c r="T498" s="6">
        <v>0.09</v>
      </c>
      <c r="U498" s="6">
        <v>0</v>
      </c>
    </row>
    <row r="499" spans="1:21" customFormat="1">
      <c r="A499">
        <v>2</v>
      </c>
      <c r="B499">
        <v>48</v>
      </c>
      <c r="C499">
        <v>6</v>
      </c>
      <c r="D499">
        <v>4</v>
      </c>
      <c r="E499">
        <v>2020</v>
      </c>
      <c r="F499">
        <v>13105</v>
      </c>
      <c r="G499" t="str">
        <f>VLOOKUP(F499,'[1]Sheet 1'!$B$2:$E$347,2,FALSE)</f>
        <v>Metropolitana de Santiago</v>
      </c>
      <c r="H499" t="str">
        <f>VLOOKUP(F499,'[1]Sheet 1'!$B$2:$E$347,3,FALSE)</f>
        <v>Santiago</v>
      </c>
      <c r="I499" t="str">
        <f>VLOOKUP(F499,'[1]Sheet 1'!$B$2:$E$347,4,FALSE)</f>
        <v>El Bosque</v>
      </c>
      <c r="J499" t="s">
        <v>136</v>
      </c>
      <c r="K499" s="3" t="s">
        <v>0</v>
      </c>
      <c r="L499" s="12" t="str">
        <f>VLOOKUP(K499,[2]Hoja4!$A$2:$C$443,2,FALSE)</f>
        <v>Intentional self-harm by hanging, strangulation and suffocation</v>
      </c>
      <c r="M499" s="12" t="str">
        <f>VLOOKUP(K499,[2]Hoja4!$A$2:$C$443,3,FALSE)</f>
        <v>Unspecified place</v>
      </c>
      <c r="N499" s="1">
        <v>9.6</v>
      </c>
      <c r="O499" s="1">
        <v>30</v>
      </c>
      <c r="P499" s="1">
        <v>18.2</v>
      </c>
      <c r="Q499" s="1">
        <v>955.2</v>
      </c>
      <c r="R499" s="1"/>
      <c r="S499" s="1">
        <v>54.2</v>
      </c>
      <c r="T499" s="6">
        <v>0.09</v>
      </c>
      <c r="U499" s="6">
        <v>0</v>
      </c>
    </row>
    <row r="500" spans="1:21" customFormat="1">
      <c r="A500">
        <v>1</v>
      </c>
      <c r="B500">
        <v>73</v>
      </c>
      <c r="C500">
        <v>7</v>
      </c>
      <c r="D500">
        <v>4</v>
      </c>
      <c r="E500">
        <v>2020</v>
      </c>
      <c r="F500">
        <v>9201</v>
      </c>
      <c r="G500" t="str">
        <f>VLOOKUP(F500,'[1]Sheet 1'!$B$2:$E$347,2,FALSE)</f>
        <v>La Araucanía</v>
      </c>
      <c r="H500" t="str">
        <f>VLOOKUP(F500,'[1]Sheet 1'!$B$2:$E$347,3,FALSE)</f>
        <v>Malleco</v>
      </c>
      <c r="I500" t="str">
        <f>VLOOKUP(F500,'[1]Sheet 1'!$B$2:$E$347,4,FALSE)</f>
        <v>Angol</v>
      </c>
      <c r="J500" t="s">
        <v>136</v>
      </c>
      <c r="K500" s="3" t="s">
        <v>0</v>
      </c>
      <c r="L500" s="12" t="str">
        <f>VLOOKUP(K500,[2]Hoja4!$A$2:$C$443,2,FALSE)</f>
        <v>Intentional self-harm by hanging, strangulation and suffocation</v>
      </c>
      <c r="M500" s="12" t="str">
        <f>VLOOKUP(K500,[2]Hoja4!$A$2:$C$443,3,FALSE)</f>
        <v>Unspecified place</v>
      </c>
      <c r="N500" s="1">
        <v>10.5</v>
      </c>
      <c r="O500" s="1">
        <v>27.1</v>
      </c>
      <c r="P500" s="1">
        <v>18</v>
      </c>
      <c r="Q500" s="1">
        <v>1004.8</v>
      </c>
      <c r="R500" s="1">
        <v>0</v>
      </c>
      <c r="S500" s="1">
        <v>41</v>
      </c>
      <c r="T500" s="6">
        <v>0.09</v>
      </c>
      <c r="U500" s="6">
        <v>0</v>
      </c>
    </row>
    <row r="501" spans="1:21" customFormat="1">
      <c r="A501">
        <v>1</v>
      </c>
      <c r="B501">
        <v>62</v>
      </c>
      <c r="C501">
        <v>7</v>
      </c>
      <c r="D501">
        <v>4</v>
      </c>
      <c r="E501">
        <v>2020</v>
      </c>
      <c r="F501">
        <v>8101</v>
      </c>
      <c r="G501" t="str">
        <f>VLOOKUP(F501,'[1]Sheet 1'!$B$2:$E$347,2,FALSE)</f>
        <v>Biobío</v>
      </c>
      <c r="H501" t="str">
        <f>VLOOKUP(F501,'[1]Sheet 1'!$B$2:$E$347,3,FALSE)</f>
        <v>Concepción</v>
      </c>
      <c r="I501" t="str">
        <f>VLOOKUP(F501,'[1]Sheet 1'!$B$2:$E$347,4,FALSE)</f>
        <v>Concepción</v>
      </c>
      <c r="J501" t="s">
        <v>142</v>
      </c>
      <c r="K501" s="3" t="s">
        <v>21</v>
      </c>
      <c r="L501" s="12" t="str">
        <f>VLOOKUP(K501,[2]Hoja4!$A$2:$C$443,2,FALSE)</f>
        <v>Intentional self-harm by other and unspecified firearm discharge</v>
      </c>
      <c r="M501" s="12" t="str">
        <f>VLOOKUP(K501,[2]Hoja4!$A$2:$C$443,3,FALSE)</f>
        <v>Street and highway</v>
      </c>
      <c r="N501" s="1">
        <v>5.6</v>
      </c>
      <c r="O501" s="1">
        <v>20.2</v>
      </c>
      <c r="P501" s="1">
        <v>12.8</v>
      </c>
      <c r="Q501" s="1">
        <v>1012.4</v>
      </c>
      <c r="R501" s="1">
        <v>0</v>
      </c>
      <c r="S501" s="1">
        <v>68</v>
      </c>
      <c r="T501" s="6">
        <v>0.09</v>
      </c>
      <c r="U501" s="6">
        <v>0</v>
      </c>
    </row>
    <row r="502" spans="1:21" customFormat="1">
      <c r="A502">
        <v>1</v>
      </c>
      <c r="B502">
        <v>56</v>
      </c>
      <c r="C502">
        <v>7</v>
      </c>
      <c r="D502">
        <v>4</v>
      </c>
      <c r="E502">
        <v>2020</v>
      </c>
      <c r="F502">
        <v>5101</v>
      </c>
      <c r="G502" t="str">
        <f>VLOOKUP(F502,'[1]Sheet 1'!$B$2:$E$347,2,FALSE)</f>
        <v>Valparaíso</v>
      </c>
      <c r="H502" t="str">
        <f>VLOOKUP(F502,'[1]Sheet 1'!$B$2:$E$347,3,FALSE)</f>
        <v>Valparaíso</v>
      </c>
      <c r="I502" t="str">
        <f>VLOOKUP(F502,'[1]Sheet 1'!$B$2:$E$347,4,FALSE)</f>
        <v>Valparaíso</v>
      </c>
      <c r="J502" t="s">
        <v>136</v>
      </c>
      <c r="K502" s="3" t="s">
        <v>4</v>
      </c>
      <c r="L502" s="12" t="str">
        <f>VLOOKUP(K502,[2]Hoja4!$A$2:$C$443,2,FALSE)</f>
        <v>Intentional self-harm by hanging, strangulation and suffocation</v>
      </c>
      <c r="M502" s="12" t="str">
        <f>VLOOKUP(K502,[2]Hoja4!$A$2:$C$443,3,FALSE)</f>
        <v>At home</v>
      </c>
      <c r="N502" s="1">
        <v>11.2</v>
      </c>
      <c r="O502" s="1">
        <v>19.3</v>
      </c>
      <c r="P502" s="1">
        <v>15.1</v>
      </c>
      <c r="Q502" s="1">
        <v>974.1</v>
      </c>
      <c r="R502" s="1">
        <v>0</v>
      </c>
      <c r="S502" s="1">
        <v>56.8</v>
      </c>
      <c r="T502" s="6">
        <v>0.09</v>
      </c>
      <c r="U502" s="6">
        <v>0</v>
      </c>
    </row>
    <row r="503" spans="1:21" customFormat="1">
      <c r="A503">
        <v>1</v>
      </c>
      <c r="B503">
        <v>46</v>
      </c>
      <c r="C503">
        <v>7</v>
      </c>
      <c r="D503">
        <v>4</v>
      </c>
      <c r="E503">
        <v>2020</v>
      </c>
      <c r="F503">
        <v>8301</v>
      </c>
      <c r="G503" t="str">
        <f>VLOOKUP(F503,'[1]Sheet 1'!$B$2:$E$347,2,FALSE)</f>
        <v>Biobío</v>
      </c>
      <c r="H503" t="str">
        <f>VLOOKUP(F503,'[1]Sheet 1'!$B$2:$E$347,3,FALSE)</f>
        <v>Biobío</v>
      </c>
      <c r="I503" t="str">
        <f>VLOOKUP(F503,'[1]Sheet 1'!$B$2:$E$347,4,FALSE)</f>
        <v>Los Angeles</v>
      </c>
      <c r="J503" t="s">
        <v>136</v>
      </c>
      <c r="K503" s="3" t="s">
        <v>4</v>
      </c>
      <c r="L503" s="12" t="str">
        <f>VLOOKUP(K503,[2]Hoja4!$A$2:$C$443,2,FALSE)</f>
        <v>Intentional self-harm by hanging, strangulation and suffocation</v>
      </c>
      <c r="M503" s="12" t="str">
        <f>VLOOKUP(K503,[2]Hoja4!$A$2:$C$443,3,FALSE)</f>
        <v>At home</v>
      </c>
      <c r="N503" s="1">
        <v>8</v>
      </c>
      <c r="O503" s="1">
        <v>25</v>
      </c>
      <c r="P503" s="1">
        <v>16.5</v>
      </c>
      <c r="Q503" s="1">
        <v>1000.2</v>
      </c>
      <c r="R503" s="1">
        <v>0</v>
      </c>
      <c r="S503" s="1">
        <v>76.8</v>
      </c>
      <c r="T503" s="6">
        <v>0.09</v>
      </c>
      <c r="U503" s="6">
        <v>0</v>
      </c>
    </row>
    <row r="504" spans="1:21" customFormat="1">
      <c r="A504">
        <v>2</v>
      </c>
      <c r="B504">
        <v>47</v>
      </c>
      <c r="C504">
        <v>7</v>
      </c>
      <c r="D504">
        <v>4</v>
      </c>
      <c r="E504">
        <v>2020</v>
      </c>
      <c r="F504">
        <v>13106</v>
      </c>
      <c r="G504" t="str">
        <f>VLOOKUP(F504,'[1]Sheet 1'!$B$2:$E$347,2,FALSE)</f>
        <v>Metropolitana de Santiago</v>
      </c>
      <c r="H504" t="str">
        <f>VLOOKUP(F504,'[1]Sheet 1'!$B$2:$E$347,3,FALSE)</f>
        <v>Santiago</v>
      </c>
      <c r="I504" t="str">
        <f>VLOOKUP(F504,'[1]Sheet 1'!$B$2:$E$347,4,FALSE)</f>
        <v>Estación Central</v>
      </c>
      <c r="J504" t="s">
        <v>136</v>
      </c>
      <c r="K504" s="3" t="s">
        <v>0</v>
      </c>
      <c r="L504" s="12" t="str">
        <f>VLOOKUP(K504,[2]Hoja4!$A$2:$C$443,2,FALSE)</f>
        <v>Intentional self-harm by hanging, strangulation and suffocation</v>
      </c>
      <c r="M504" s="12" t="str">
        <f>VLOOKUP(K504,[2]Hoja4!$A$2:$C$443,3,FALSE)</f>
        <v>Unspecified place</v>
      </c>
      <c r="N504" s="1">
        <v>10.6</v>
      </c>
      <c r="O504" s="1">
        <v>31.5</v>
      </c>
      <c r="P504" s="1">
        <v>19.8</v>
      </c>
      <c r="Q504" s="1">
        <v>952.5</v>
      </c>
      <c r="R504" s="1"/>
      <c r="S504" s="1">
        <v>47.5</v>
      </c>
      <c r="T504" s="6">
        <v>0.09</v>
      </c>
      <c r="U504" s="6">
        <v>0</v>
      </c>
    </row>
    <row r="505" spans="1:21" customFormat="1">
      <c r="A505">
        <v>1</v>
      </c>
      <c r="B505">
        <v>20</v>
      </c>
      <c r="C505">
        <v>7</v>
      </c>
      <c r="D505">
        <v>4</v>
      </c>
      <c r="E505">
        <v>2020</v>
      </c>
      <c r="F505">
        <v>13124</v>
      </c>
      <c r="G505" t="str">
        <f>VLOOKUP(F505,'[1]Sheet 1'!$B$2:$E$347,2,FALSE)</f>
        <v>Metropolitana de Santiago</v>
      </c>
      <c r="H505" t="str">
        <f>VLOOKUP(F505,'[1]Sheet 1'!$B$2:$E$347,3,FALSE)</f>
        <v>Santiago</v>
      </c>
      <c r="I505" t="str">
        <f>VLOOKUP(F505,'[1]Sheet 1'!$B$2:$E$347,4,FALSE)</f>
        <v>Pudahuel</v>
      </c>
      <c r="J505" t="s">
        <v>136</v>
      </c>
      <c r="K505" s="3" t="s">
        <v>0</v>
      </c>
      <c r="L505" s="12" t="str">
        <f>VLOOKUP(K505,[2]Hoja4!$A$2:$C$443,2,FALSE)</f>
        <v>Intentional self-harm by hanging, strangulation and suffocation</v>
      </c>
      <c r="M505" s="12" t="str">
        <f>VLOOKUP(K505,[2]Hoja4!$A$2:$C$443,3,FALSE)</f>
        <v>Unspecified place</v>
      </c>
      <c r="N505" s="1">
        <v>10.6</v>
      </c>
      <c r="O505" s="1">
        <v>31.5</v>
      </c>
      <c r="P505" s="1">
        <v>19.8</v>
      </c>
      <c r="Q505" s="1">
        <v>952.5</v>
      </c>
      <c r="R505" s="1"/>
      <c r="S505" s="1">
        <v>47.5</v>
      </c>
      <c r="T505" s="6">
        <v>0.09</v>
      </c>
      <c r="U505" s="6">
        <v>0</v>
      </c>
    </row>
    <row r="506" spans="1:21" customFormat="1">
      <c r="A506">
        <v>1</v>
      </c>
      <c r="B506">
        <v>62</v>
      </c>
      <c r="C506">
        <v>8</v>
      </c>
      <c r="D506">
        <v>4</v>
      </c>
      <c r="E506">
        <v>2020</v>
      </c>
      <c r="F506">
        <v>6301</v>
      </c>
      <c r="G506" t="str">
        <f>VLOOKUP(F506,'[1]Sheet 1'!$B$2:$E$347,2,FALSE)</f>
        <v>Libertador General Bernardo O'Higgins</v>
      </c>
      <c r="H506" t="str">
        <f>VLOOKUP(F506,'[1]Sheet 1'!$B$2:$E$347,3,FALSE)</f>
        <v>Colchagua</v>
      </c>
      <c r="I506" t="str">
        <f>VLOOKUP(F506,'[1]Sheet 1'!$B$2:$E$347,4,FALSE)</f>
        <v>San Fernando</v>
      </c>
      <c r="J506" t="s">
        <v>136</v>
      </c>
      <c r="K506" s="3" t="s">
        <v>0</v>
      </c>
      <c r="L506" s="12" t="str">
        <f>VLOOKUP(K506,[2]Hoja4!$A$2:$C$443,2,FALSE)</f>
        <v>Intentional self-harm by hanging, strangulation and suffocation</v>
      </c>
      <c r="M506" s="12" t="str">
        <f>VLOOKUP(K506,[2]Hoja4!$A$2:$C$443,3,FALSE)</f>
        <v>Unspecified place</v>
      </c>
      <c r="N506" s="1">
        <v>6.1</v>
      </c>
      <c r="O506" s="1">
        <v>26.1</v>
      </c>
      <c r="P506" s="1">
        <v>14.1</v>
      </c>
      <c r="Q506" s="1">
        <v>979.3</v>
      </c>
      <c r="R506" s="1">
        <v>0</v>
      </c>
      <c r="S506" s="1">
        <v>70.2</v>
      </c>
      <c r="T506" s="6">
        <v>0.09</v>
      </c>
      <c r="U506" s="6">
        <v>0</v>
      </c>
    </row>
    <row r="507" spans="1:21" customFormat="1">
      <c r="A507">
        <v>1</v>
      </c>
      <c r="B507">
        <v>31</v>
      </c>
      <c r="C507">
        <v>8</v>
      </c>
      <c r="D507">
        <v>4</v>
      </c>
      <c r="E507">
        <v>2020</v>
      </c>
      <c r="F507">
        <v>9118</v>
      </c>
      <c r="G507" t="str">
        <f>VLOOKUP(F507,'[1]Sheet 1'!$B$2:$E$347,2,FALSE)</f>
        <v>La Araucanía</v>
      </c>
      <c r="H507" t="str">
        <f>VLOOKUP(F507,'[1]Sheet 1'!$B$2:$E$347,3,FALSE)</f>
        <v>Cautín</v>
      </c>
      <c r="I507" t="str">
        <f>VLOOKUP(F507,'[1]Sheet 1'!$B$2:$E$347,4,FALSE)</f>
        <v>Toltén</v>
      </c>
      <c r="J507" t="s">
        <v>136</v>
      </c>
      <c r="K507" s="3" t="s">
        <v>4</v>
      </c>
      <c r="L507" s="12" t="str">
        <f>VLOOKUP(K507,[2]Hoja4!$A$2:$C$443,2,FALSE)</f>
        <v>Intentional self-harm by hanging, strangulation and suffocation</v>
      </c>
      <c r="M507" s="12" t="str">
        <f>VLOOKUP(K507,[2]Hoja4!$A$2:$C$443,3,FALSE)</f>
        <v>At home</v>
      </c>
      <c r="N507" s="1">
        <v>0.6</v>
      </c>
      <c r="O507" s="1">
        <v>28.4</v>
      </c>
      <c r="P507" s="1">
        <v>12.5</v>
      </c>
      <c r="Q507" s="1">
        <v>1001.3</v>
      </c>
      <c r="R507" s="1">
        <v>0</v>
      </c>
      <c r="S507" s="1">
        <v>73.5</v>
      </c>
      <c r="T507" s="6">
        <v>0.09</v>
      </c>
      <c r="U507" s="6">
        <v>0</v>
      </c>
    </row>
    <row r="508" spans="1:21" customFormat="1">
      <c r="A508">
        <v>1</v>
      </c>
      <c r="B508">
        <v>30</v>
      </c>
      <c r="C508">
        <v>8</v>
      </c>
      <c r="D508">
        <v>4</v>
      </c>
      <c r="E508">
        <v>2020</v>
      </c>
      <c r="F508">
        <v>10101</v>
      </c>
      <c r="G508" t="str">
        <f>VLOOKUP(F508,'[1]Sheet 1'!$B$2:$E$347,2,FALSE)</f>
        <v>Los Lagos</v>
      </c>
      <c r="H508" t="str">
        <f>VLOOKUP(F508,'[1]Sheet 1'!$B$2:$E$347,3,FALSE)</f>
        <v>Llanquihue</v>
      </c>
      <c r="I508" t="str">
        <f>VLOOKUP(F508,'[1]Sheet 1'!$B$2:$E$347,4,FALSE)</f>
        <v>Puerto Montt</v>
      </c>
      <c r="J508" t="s">
        <v>136</v>
      </c>
      <c r="K508" s="3" t="s">
        <v>4</v>
      </c>
      <c r="L508" s="12" t="str">
        <f>VLOOKUP(K508,[2]Hoja4!$A$2:$C$443,2,FALSE)</f>
        <v>Intentional self-harm by hanging, strangulation and suffocation</v>
      </c>
      <c r="M508" s="12" t="str">
        <f>VLOOKUP(K508,[2]Hoja4!$A$2:$C$443,3,FALSE)</f>
        <v>At home</v>
      </c>
      <c r="N508" s="1">
        <v>3.3</v>
      </c>
      <c r="O508" s="1">
        <v>24.1</v>
      </c>
      <c r="P508" s="1">
        <v>11</v>
      </c>
      <c r="Q508" s="1">
        <v>1002.8</v>
      </c>
      <c r="R508" s="1">
        <v>0</v>
      </c>
      <c r="S508" s="1">
        <v>81.8</v>
      </c>
      <c r="T508" s="6">
        <v>0.09</v>
      </c>
      <c r="U508" s="6">
        <v>0</v>
      </c>
    </row>
    <row r="509" spans="1:21" customFormat="1">
      <c r="A509">
        <v>1</v>
      </c>
      <c r="B509">
        <v>31</v>
      </c>
      <c r="C509">
        <v>8</v>
      </c>
      <c r="D509">
        <v>4</v>
      </c>
      <c r="E509">
        <v>2020</v>
      </c>
      <c r="F509">
        <v>13128</v>
      </c>
      <c r="G509" t="str">
        <f>VLOOKUP(F509,'[1]Sheet 1'!$B$2:$E$347,2,FALSE)</f>
        <v>Metropolitana de Santiago</v>
      </c>
      <c r="H509" t="str">
        <f>VLOOKUP(F509,'[1]Sheet 1'!$B$2:$E$347,3,FALSE)</f>
        <v>Santiago</v>
      </c>
      <c r="I509" t="str">
        <f>VLOOKUP(F509,'[1]Sheet 1'!$B$2:$E$347,4,FALSE)</f>
        <v>Renca</v>
      </c>
      <c r="J509" t="s">
        <v>136</v>
      </c>
      <c r="K509" s="3" t="s">
        <v>0</v>
      </c>
      <c r="L509" s="12" t="str">
        <f>VLOOKUP(K509,[2]Hoja4!$A$2:$C$443,2,FALSE)</f>
        <v>Intentional self-harm by hanging, strangulation and suffocation</v>
      </c>
      <c r="M509" s="12" t="str">
        <f>VLOOKUP(K509,[2]Hoja4!$A$2:$C$443,3,FALSE)</f>
        <v>Unspecified place</v>
      </c>
      <c r="N509" s="1">
        <v>9.6</v>
      </c>
      <c r="O509" s="1">
        <v>25.1</v>
      </c>
      <c r="P509" s="1">
        <v>17.5</v>
      </c>
      <c r="Q509" s="1">
        <v>954.2</v>
      </c>
      <c r="R509" s="1"/>
      <c r="S509" s="1">
        <v>60.8</v>
      </c>
      <c r="T509" s="6">
        <v>0.09</v>
      </c>
      <c r="U509" s="6">
        <v>0</v>
      </c>
    </row>
    <row r="510" spans="1:21" customFormat="1">
      <c r="A510">
        <v>1</v>
      </c>
      <c r="B510">
        <v>20</v>
      </c>
      <c r="C510">
        <v>9</v>
      </c>
      <c r="D510">
        <v>4</v>
      </c>
      <c r="E510">
        <v>2020</v>
      </c>
      <c r="F510">
        <v>5501</v>
      </c>
      <c r="G510" t="str">
        <f>VLOOKUP(F510,'[1]Sheet 1'!$B$2:$E$347,2,FALSE)</f>
        <v>Valparaíso</v>
      </c>
      <c r="H510" t="str">
        <f>VLOOKUP(F510,'[1]Sheet 1'!$B$2:$E$347,3,FALSE)</f>
        <v>Quillota</v>
      </c>
      <c r="I510" t="str">
        <f>VLOOKUP(F510,'[1]Sheet 1'!$B$2:$E$347,4,FALSE)</f>
        <v>Quillota</v>
      </c>
      <c r="J510" t="s">
        <v>136</v>
      </c>
      <c r="K510" s="3" t="s">
        <v>4</v>
      </c>
      <c r="L510" s="12" t="str">
        <f>VLOOKUP(K510,[2]Hoja4!$A$2:$C$443,2,FALSE)</f>
        <v>Intentional self-harm by hanging, strangulation and suffocation</v>
      </c>
      <c r="M510" s="12" t="str">
        <f>VLOOKUP(K510,[2]Hoja4!$A$2:$C$443,3,FALSE)</f>
        <v>At home</v>
      </c>
      <c r="N510" s="1">
        <v>13.9</v>
      </c>
      <c r="O510" s="1">
        <v>22.4</v>
      </c>
      <c r="P510" s="1">
        <v>18.100000000000001</v>
      </c>
      <c r="Q510" s="1">
        <v>996</v>
      </c>
      <c r="R510" s="1">
        <v>0</v>
      </c>
      <c r="S510" s="1">
        <v>72.2</v>
      </c>
      <c r="T510" s="6">
        <v>0.09</v>
      </c>
      <c r="U510" s="6">
        <v>0</v>
      </c>
    </row>
    <row r="511" spans="1:21" customFormat="1">
      <c r="A511">
        <v>2</v>
      </c>
      <c r="B511">
        <v>71</v>
      </c>
      <c r="C511">
        <v>10</v>
      </c>
      <c r="D511">
        <v>4</v>
      </c>
      <c r="E511">
        <v>2020</v>
      </c>
      <c r="F511">
        <v>10301</v>
      </c>
      <c r="G511" t="str">
        <f>VLOOKUP(F511,'[1]Sheet 1'!$B$2:$E$347,2,FALSE)</f>
        <v>Los Lagos</v>
      </c>
      <c r="H511" t="str">
        <f>VLOOKUP(F511,'[1]Sheet 1'!$B$2:$E$347,3,FALSE)</f>
        <v>Osorno</v>
      </c>
      <c r="I511" t="str">
        <f>VLOOKUP(F511,'[1]Sheet 1'!$B$2:$E$347,4,FALSE)</f>
        <v>Osorno</v>
      </c>
      <c r="J511" t="s">
        <v>144</v>
      </c>
      <c r="K511" s="3" t="s">
        <v>1</v>
      </c>
      <c r="L511" s="12" t="str">
        <f>VLOOKUP(K511,[2]Hoja4!$A$2:$C$443,2,FALSE)</f>
        <v>Intentional self-harm by unspecified means</v>
      </c>
      <c r="M511" s="12" t="str">
        <f>VLOOKUP(K511,[2]Hoja4!$A$2:$C$443,3,FALSE)</f>
        <v>Unspecified place</v>
      </c>
      <c r="N511" s="1">
        <v>9.1</v>
      </c>
      <c r="O511" s="1">
        <v>15.8</v>
      </c>
      <c r="P511" s="1">
        <v>13</v>
      </c>
      <c r="Q511" s="1">
        <v>1009</v>
      </c>
      <c r="R511" s="1">
        <v>1.2</v>
      </c>
      <c r="S511" s="1">
        <v>95.2</v>
      </c>
      <c r="T511" s="6">
        <v>0.09</v>
      </c>
      <c r="U511" s="6">
        <v>0</v>
      </c>
    </row>
    <row r="512" spans="1:21" customFormat="1">
      <c r="A512">
        <v>1</v>
      </c>
      <c r="B512">
        <v>62</v>
      </c>
      <c r="C512">
        <v>10</v>
      </c>
      <c r="D512">
        <v>4</v>
      </c>
      <c r="E512">
        <v>2020</v>
      </c>
      <c r="F512">
        <v>5601</v>
      </c>
      <c r="G512" t="str">
        <f>VLOOKUP(F512,'[1]Sheet 1'!$B$2:$E$347,2,FALSE)</f>
        <v>Valparaíso</v>
      </c>
      <c r="H512" t="str">
        <f>VLOOKUP(F512,'[1]Sheet 1'!$B$2:$E$347,3,FALSE)</f>
        <v>San Antonio</v>
      </c>
      <c r="I512" t="str">
        <f>VLOOKUP(F512,'[1]Sheet 1'!$B$2:$E$347,4,FALSE)</f>
        <v>San Antonio</v>
      </c>
      <c r="J512" t="s">
        <v>162</v>
      </c>
      <c r="K512" s="3" t="s">
        <v>1</v>
      </c>
      <c r="L512" s="12" t="str">
        <f>VLOOKUP(K512,[2]Hoja4!$A$2:$C$443,2,FALSE)</f>
        <v>Intentional self-harm by unspecified means</v>
      </c>
      <c r="M512" s="12" t="str">
        <f>VLOOKUP(K512,[2]Hoja4!$A$2:$C$443,3,FALSE)</f>
        <v>Unspecified place</v>
      </c>
      <c r="N512" s="1">
        <v>11.5</v>
      </c>
      <c r="O512" s="1">
        <v>17.5</v>
      </c>
      <c r="P512" s="1">
        <v>13.4</v>
      </c>
      <c r="Q512" s="1">
        <v>1008.3</v>
      </c>
      <c r="R512" s="1">
        <v>0</v>
      </c>
      <c r="S512" s="1">
        <v>90</v>
      </c>
      <c r="T512" s="6">
        <v>0.09</v>
      </c>
      <c r="U512" s="6">
        <v>0</v>
      </c>
    </row>
    <row r="513" spans="1:21" customFormat="1">
      <c r="A513">
        <v>2</v>
      </c>
      <c r="B513">
        <v>50</v>
      </c>
      <c r="C513">
        <v>10</v>
      </c>
      <c r="D513">
        <v>4</v>
      </c>
      <c r="E513">
        <v>2020</v>
      </c>
      <c r="F513">
        <v>13601</v>
      </c>
      <c r="G513" t="str">
        <f>VLOOKUP(F513,'[1]Sheet 1'!$B$2:$E$347,2,FALSE)</f>
        <v>Metropolitana de Santiago</v>
      </c>
      <c r="H513" t="str">
        <f>VLOOKUP(F513,'[1]Sheet 1'!$B$2:$E$347,3,FALSE)</f>
        <v>Talagante</v>
      </c>
      <c r="I513" t="str">
        <f>VLOOKUP(F513,'[1]Sheet 1'!$B$2:$E$347,4,FALSE)</f>
        <v>Talagante</v>
      </c>
      <c r="J513" t="s">
        <v>136</v>
      </c>
      <c r="K513" s="3" t="s">
        <v>4</v>
      </c>
      <c r="L513" s="12" t="str">
        <f>VLOOKUP(K513,[2]Hoja4!$A$2:$C$443,2,FALSE)</f>
        <v>Intentional self-harm by hanging, strangulation and suffocation</v>
      </c>
      <c r="M513" s="12" t="str">
        <f>VLOOKUP(K513,[2]Hoja4!$A$2:$C$443,3,FALSE)</f>
        <v>At home</v>
      </c>
      <c r="N513" s="1">
        <v>10.8</v>
      </c>
      <c r="O513" s="1">
        <v>21.7</v>
      </c>
      <c r="P513" s="1">
        <v>14.5</v>
      </c>
      <c r="Q513" s="1"/>
      <c r="R513" s="1">
        <v>0</v>
      </c>
      <c r="S513" s="1">
        <v>71</v>
      </c>
      <c r="T513" s="6">
        <v>0.09</v>
      </c>
      <c r="U513" s="6">
        <v>0</v>
      </c>
    </row>
    <row r="514" spans="1:21" customFormat="1">
      <c r="A514">
        <v>2</v>
      </c>
      <c r="B514">
        <v>43</v>
      </c>
      <c r="C514">
        <v>10</v>
      </c>
      <c r="D514">
        <v>4</v>
      </c>
      <c r="E514">
        <v>2020</v>
      </c>
      <c r="F514">
        <v>6303</v>
      </c>
      <c r="G514" t="str">
        <f>VLOOKUP(F514,'[1]Sheet 1'!$B$2:$E$347,2,FALSE)</f>
        <v>Libertador General Bernardo O'Higgins</v>
      </c>
      <c r="H514" t="str">
        <f>VLOOKUP(F514,'[1]Sheet 1'!$B$2:$E$347,3,FALSE)</f>
        <v>Colchagua</v>
      </c>
      <c r="I514" t="str">
        <f>VLOOKUP(F514,'[1]Sheet 1'!$B$2:$E$347,4,FALSE)</f>
        <v>Chimbarongo</v>
      </c>
      <c r="J514" t="s">
        <v>136</v>
      </c>
      <c r="K514" s="3" t="s">
        <v>0</v>
      </c>
      <c r="L514" s="12" t="str">
        <f>VLOOKUP(K514,[2]Hoja4!$A$2:$C$443,2,FALSE)</f>
        <v>Intentional self-harm by hanging, strangulation and suffocation</v>
      </c>
      <c r="M514" s="12" t="str">
        <f>VLOOKUP(K514,[2]Hoja4!$A$2:$C$443,3,FALSE)</f>
        <v>Unspecified place</v>
      </c>
      <c r="N514" s="1">
        <v>10.6</v>
      </c>
      <c r="O514" s="1" t="s">
        <v>69</v>
      </c>
      <c r="P514" s="1">
        <v>16.399999999999999</v>
      </c>
      <c r="Q514" s="1">
        <v>980.6</v>
      </c>
      <c r="R514" s="1">
        <v>0</v>
      </c>
      <c r="S514" s="1">
        <v>77.3</v>
      </c>
      <c r="T514" s="6">
        <v>0.09</v>
      </c>
      <c r="U514" s="6">
        <v>0</v>
      </c>
    </row>
    <row r="515" spans="1:21" customFormat="1">
      <c r="A515">
        <v>1</v>
      </c>
      <c r="B515">
        <v>42</v>
      </c>
      <c r="C515">
        <v>10</v>
      </c>
      <c r="D515">
        <v>4</v>
      </c>
      <c r="E515">
        <v>2020</v>
      </c>
      <c r="F515">
        <v>13119</v>
      </c>
      <c r="G515" t="str">
        <f>VLOOKUP(F515,'[1]Sheet 1'!$B$2:$E$347,2,FALSE)</f>
        <v>Metropolitana de Santiago</v>
      </c>
      <c r="H515" t="str">
        <f>VLOOKUP(F515,'[1]Sheet 1'!$B$2:$E$347,3,FALSE)</f>
        <v>Santiago</v>
      </c>
      <c r="I515" t="str">
        <f>VLOOKUP(F515,'[1]Sheet 1'!$B$2:$E$347,4,FALSE)</f>
        <v>Maipú</v>
      </c>
      <c r="J515" t="s">
        <v>136</v>
      </c>
      <c r="K515" s="3" t="s">
        <v>0</v>
      </c>
      <c r="L515" s="12" t="str">
        <f>VLOOKUP(K515,[2]Hoja4!$A$2:$C$443,2,FALSE)</f>
        <v>Intentional self-harm by hanging, strangulation and suffocation</v>
      </c>
      <c r="M515" s="12" t="str">
        <f>VLOOKUP(K515,[2]Hoja4!$A$2:$C$443,3,FALSE)</f>
        <v>Unspecified place</v>
      </c>
      <c r="N515" s="1">
        <v>10.5</v>
      </c>
      <c r="O515" s="1">
        <v>22.4</v>
      </c>
      <c r="P515" s="1">
        <v>14.9</v>
      </c>
      <c r="Q515" s="1">
        <v>955.1</v>
      </c>
      <c r="R515" s="1"/>
      <c r="S515" s="1">
        <v>75.5</v>
      </c>
      <c r="T515" s="6">
        <v>0.09</v>
      </c>
      <c r="U515" s="6">
        <v>0</v>
      </c>
    </row>
    <row r="516" spans="1:21" customFormat="1">
      <c r="A516">
        <v>1</v>
      </c>
      <c r="B516">
        <v>28</v>
      </c>
      <c r="C516">
        <v>10</v>
      </c>
      <c r="D516">
        <v>4</v>
      </c>
      <c r="E516">
        <v>2020</v>
      </c>
      <c r="F516">
        <v>6101</v>
      </c>
      <c r="G516" t="str">
        <f>VLOOKUP(F516,'[1]Sheet 1'!$B$2:$E$347,2,FALSE)</f>
        <v>Libertador General Bernardo O'Higgins</v>
      </c>
      <c r="H516" t="str">
        <f>VLOOKUP(F516,'[1]Sheet 1'!$B$2:$E$347,3,FALSE)</f>
        <v>Cachapoal</v>
      </c>
      <c r="I516" t="str">
        <f>VLOOKUP(F516,'[1]Sheet 1'!$B$2:$E$347,4,FALSE)</f>
        <v>Rancagua</v>
      </c>
      <c r="J516" t="s">
        <v>136</v>
      </c>
      <c r="K516" s="3" t="s">
        <v>0</v>
      </c>
      <c r="L516" s="12" t="str">
        <f>VLOOKUP(K516,[2]Hoja4!$A$2:$C$443,2,FALSE)</f>
        <v>Intentional self-harm by hanging, strangulation and suffocation</v>
      </c>
      <c r="M516" s="12" t="str">
        <f>VLOOKUP(K516,[2]Hoja4!$A$2:$C$443,3,FALSE)</f>
        <v>Unspecified place</v>
      </c>
      <c r="N516" s="1">
        <v>9.5</v>
      </c>
      <c r="O516" s="1">
        <v>20.6</v>
      </c>
      <c r="P516" s="1">
        <v>14</v>
      </c>
      <c r="Q516" s="1">
        <v>958.7</v>
      </c>
      <c r="R516" s="1">
        <v>0</v>
      </c>
      <c r="S516" s="1">
        <v>81.599999999999994</v>
      </c>
      <c r="T516" s="6">
        <v>0.09</v>
      </c>
      <c r="U516" s="6">
        <v>0</v>
      </c>
    </row>
    <row r="517" spans="1:21" customFormat="1">
      <c r="A517">
        <v>1</v>
      </c>
      <c r="B517">
        <v>27</v>
      </c>
      <c r="C517">
        <v>11</v>
      </c>
      <c r="D517">
        <v>4</v>
      </c>
      <c r="E517">
        <v>2020</v>
      </c>
      <c r="F517">
        <v>9201</v>
      </c>
      <c r="G517" t="str">
        <f>VLOOKUP(F517,'[1]Sheet 1'!$B$2:$E$347,2,FALSE)</f>
        <v>La Araucanía</v>
      </c>
      <c r="H517" t="str">
        <f>VLOOKUP(F517,'[1]Sheet 1'!$B$2:$E$347,3,FALSE)</f>
        <v>Malleco</v>
      </c>
      <c r="I517" t="str">
        <f>VLOOKUP(F517,'[1]Sheet 1'!$B$2:$E$347,4,FALSE)</f>
        <v>Angol</v>
      </c>
      <c r="J517" t="s">
        <v>136</v>
      </c>
      <c r="K517" s="3" t="s">
        <v>4</v>
      </c>
      <c r="L517" s="12" t="str">
        <f>VLOOKUP(K517,[2]Hoja4!$A$2:$C$443,2,FALSE)</f>
        <v>Intentional self-harm by hanging, strangulation and suffocation</v>
      </c>
      <c r="M517" s="12" t="str">
        <f>VLOOKUP(K517,[2]Hoja4!$A$2:$C$443,3,FALSE)</f>
        <v>At home</v>
      </c>
      <c r="N517" s="1">
        <v>13.7</v>
      </c>
      <c r="O517" s="1">
        <v>20.2</v>
      </c>
      <c r="P517" s="1">
        <v>16.2</v>
      </c>
      <c r="Q517" s="1">
        <v>1011.1</v>
      </c>
      <c r="R517" s="1">
        <v>0</v>
      </c>
      <c r="S517" s="1">
        <v>55.2</v>
      </c>
      <c r="T517" s="6">
        <v>0.09</v>
      </c>
      <c r="U517" s="6">
        <v>0</v>
      </c>
    </row>
    <row r="518" spans="1:21" customFormat="1">
      <c r="A518">
        <v>1</v>
      </c>
      <c r="B518">
        <v>82</v>
      </c>
      <c r="C518">
        <v>12</v>
      </c>
      <c r="D518">
        <v>4</v>
      </c>
      <c r="E518">
        <v>2020</v>
      </c>
      <c r="F518">
        <v>13110</v>
      </c>
      <c r="G518" t="str">
        <f>VLOOKUP(F518,'[1]Sheet 1'!$B$2:$E$347,2,FALSE)</f>
        <v>Metropolitana de Santiago</v>
      </c>
      <c r="H518" t="str">
        <f>VLOOKUP(F518,'[1]Sheet 1'!$B$2:$E$347,3,FALSE)</f>
        <v>Santiago</v>
      </c>
      <c r="I518" t="str">
        <f>VLOOKUP(F518,'[1]Sheet 1'!$B$2:$E$347,4,FALSE)</f>
        <v>La Florida</v>
      </c>
      <c r="J518" t="s">
        <v>136</v>
      </c>
      <c r="K518" s="3" t="s">
        <v>0</v>
      </c>
      <c r="L518" s="12" t="str">
        <f>VLOOKUP(K518,[2]Hoja4!$A$2:$C$443,2,FALSE)</f>
        <v>Intentional self-harm by hanging, strangulation and suffocation</v>
      </c>
      <c r="M518" s="12" t="str">
        <f>VLOOKUP(K518,[2]Hoja4!$A$2:$C$443,3,FALSE)</f>
        <v>Unspecified place</v>
      </c>
      <c r="N518" s="1">
        <v>12.9</v>
      </c>
      <c r="O518" s="1">
        <v>19.399999999999999</v>
      </c>
      <c r="P518" s="1">
        <v>14.8</v>
      </c>
      <c r="Q518" s="1">
        <v>958.3</v>
      </c>
      <c r="R518" s="1"/>
      <c r="S518" s="1">
        <v>81.5</v>
      </c>
      <c r="T518" s="6">
        <v>0.09</v>
      </c>
      <c r="U518" s="6">
        <v>0</v>
      </c>
    </row>
    <row r="519" spans="1:21" customFormat="1">
      <c r="A519">
        <v>1</v>
      </c>
      <c r="B519">
        <v>64</v>
      </c>
      <c r="C519">
        <v>12</v>
      </c>
      <c r="D519">
        <v>4</v>
      </c>
      <c r="E519">
        <v>2020</v>
      </c>
      <c r="F519">
        <v>9102</v>
      </c>
      <c r="G519" t="str">
        <f>VLOOKUP(F519,'[1]Sheet 1'!$B$2:$E$347,2,FALSE)</f>
        <v>La Araucanía</v>
      </c>
      <c r="H519" t="str">
        <f>VLOOKUP(F519,'[1]Sheet 1'!$B$2:$E$347,3,FALSE)</f>
        <v>Cautín</v>
      </c>
      <c r="I519" t="str">
        <f>VLOOKUP(F519,'[1]Sheet 1'!$B$2:$E$347,4,FALSE)</f>
        <v>Carahue</v>
      </c>
      <c r="J519" t="s">
        <v>136</v>
      </c>
      <c r="K519" s="3" t="s">
        <v>4</v>
      </c>
      <c r="L519" s="12" t="str">
        <f>VLOOKUP(K519,[2]Hoja4!$A$2:$C$443,2,FALSE)</f>
        <v>Intentional self-harm by hanging, strangulation and suffocation</v>
      </c>
      <c r="M519" s="12" t="str">
        <f>VLOOKUP(K519,[2]Hoja4!$A$2:$C$443,3,FALSE)</f>
        <v>At home</v>
      </c>
      <c r="N519" s="1">
        <v>-2.2000000000000002</v>
      </c>
      <c r="O519" s="1">
        <v>16.399999999999999</v>
      </c>
      <c r="P519" s="1">
        <v>6.9</v>
      </c>
      <c r="Q519" s="1">
        <v>1010.6</v>
      </c>
      <c r="R519" s="1">
        <v>0</v>
      </c>
      <c r="S519" s="1">
        <v>81.2</v>
      </c>
      <c r="T519" s="6">
        <v>0.09</v>
      </c>
      <c r="U519" s="6">
        <v>0</v>
      </c>
    </row>
    <row r="520" spans="1:21" customFormat="1">
      <c r="A520">
        <v>1</v>
      </c>
      <c r="B520">
        <v>37</v>
      </c>
      <c r="C520">
        <v>12</v>
      </c>
      <c r="D520">
        <v>4</v>
      </c>
      <c r="E520">
        <v>2020</v>
      </c>
      <c r="F520">
        <v>5109</v>
      </c>
      <c r="G520" t="str">
        <f>VLOOKUP(F520,'[1]Sheet 1'!$B$2:$E$347,2,FALSE)</f>
        <v>Valparaíso</v>
      </c>
      <c r="H520" t="str">
        <f>VLOOKUP(F520,'[1]Sheet 1'!$B$2:$E$347,3,FALSE)</f>
        <v>Valparaíso</v>
      </c>
      <c r="I520" t="str">
        <f>VLOOKUP(F520,'[1]Sheet 1'!$B$2:$E$347,4,FALSE)</f>
        <v>Viña del Mar</v>
      </c>
      <c r="J520" t="s">
        <v>136</v>
      </c>
      <c r="K520" s="3" t="s">
        <v>0</v>
      </c>
      <c r="L520" s="12" t="str">
        <f>VLOOKUP(K520,[2]Hoja4!$A$2:$C$443,2,FALSE)</f>
        <v>Intentional self-harm by hanging, strangulation and suffocation</v>
      </c>
      <c r="M520" s="12" t="str">
        <f>VLOOKUP(K520,[2]Hoja4!$A$2:$C$443,3,FALSE)</f>
        <v>Unspecified place</v>
      </c>
      <c r="N520" s="1" t="s">
        <v>95</v>
      </c>
      <c r="O520" s="1">
        <v>17.5</v>
      </c>
      <c r="P520" s="1">
        <v>13</v>
      </c>
      <c r="Q520" s="1">
        <v>980.3</v>
      </c>
      <c r="R520" s="1">
        <v>0</v>
      </c>
      <c r="S520" s="1">
        <v>80.2</v>
      </c>
      <c r="T520" s="6">
        <v>0.09</v>
      </c>
      <c r="U520" s="6">
        <v>0</v>
      </c>
    </row>
    <row r="521" spans="1:21" customFormat="1">
      <c r="A521">
        <v>1</v>
      </c>
      <c r="B521">
        <v>25</v>
      </c>
      <c r="C521">
        <v>12</v>
      </c>
      <c r="D521">
        <v>4</v>
      </c>
      <c r="E521">
        <v>2020</v>
      </c>
      <c r="F521">
        <v>5803</v>
      </c>
      <c r="G521" t="str">
        <f>VLOOKUP(F521,'[1]Sheet 1'!$B$2:$E$347,2,FALSE)</f>
        <v>Valparaíso</v>
      </c>
      <c r="H521" t="str">
        <f>VLOOKUP(F521,'[1]Sheet 1'!$B$2:$E$347,3,FALSE)</f>
        <v>Marga Marga</v>
      </c>
      <c r="I521" t="str">
        <f>VLOOKUP(F521,'[1]Sheet 1'!$B$2:$E$347,4,FALSE)</f>
        <v>Olmué</v>
      </c>
      <c r="J521" t="s">
        <v>136</v>
      </c>
      <c r="K521" s="3" t="s">
        <v>2</v>
      </c>
      <c r="L521" s="12" t="str">
        <f>VLOOKUP(K521,[2]Hoja4!$A$2:$C$443,2,FALSE)</f>
        <v>Intentional self-harm by hanging, strangulation and suffocation</v>
      </c>
      <c r="M521" s="12" t="str">
        <f>VLOOKUP(K521,[2]Hoja4!$A$2:$C$443,3,FALSE)</f>
        <v>Street and highway</v>
      </c>
      <c r="N521" s="1">
        <v>11.5</v>
      </c>
      <c r="O521" s="1">
        <v>18.5</v>
      </c>
      <c r="P521" s="1">
        <v>14</v>
      </c>
      <c r="Q521" s="1">
        <v>1016.9</v>
      </c>
      <c r="R521" s="1">
        <v>0.5</v>
      </c>
      <c r="S521" s="1">
        <v>83.9</v>
      </c>
      <c r="T521" s="6">
        <v>0.09</v>
      </c>
      <c r="U521" s="6">
        <v>0</v>
      </c>
    </row>
    <row r="522" spans="1:21" customFormat="1">
      <c r="A522">
        <v>1</v>
      </c>
      <c r="B522">
        <v>68</v>
      </c>
      <c r="C522">
        <v>13</v>
      </c>
      <c r="D522">
        <v>4</v>
      </c>
      <c r="E522">
        <v>2020</v>
      </c>
      <c r="F522">
        <v>2102</v>
      </c>
      <c r="G522" t="str">
        <f>VLOOKUP(F522,'[1]Sheet 1'!$B$2:$E$347,2,FALSE)</f>
        <v>Antofagasta</v>
      </c>
      <c r="H522" t="str">
        <f>VLOOKUP(F522,'[1]Sheet 1'!$B$2:$E$347,3,FALSE)</f>
        <v>Antofagasta</v>
      </c>
      <c r="I522" t="str">
        <f>VLOOKUP(F522,'[1]Sheet 1'!$B$2:$E$347,4,FALSE)</f>
        <v>Mejillones</v>
      </c>
      <c r="J522" t="s">
        <v>136</v>
      </c>
      <c r="K522" s="3" t="s">
        <v>17</v>
      </c>
      <c r="L522" s="12" t="str">
        <f>VLOOKUP(K522,[2]Hoja4!$A$2:$C$443,2,FALSE)</f>
        <v>Intentional self-harm by hanging, strangulation and suffocation</v>
      </c>
      <c r="M522" s="12" t="str">
        <f>VLOOKUP(K522,[2]Hoja4!$A$2:$C$443,3,FALSE)</f>
        <v>Industrial and construction area</v>
      </c>
      <c r="N522" s="1">
        <v>14.4</v>
      </c>
      <c r="O522" s="1">
        <v>19.899999999999999</v>
      </c>
      <c r="P522" s="1">
        <v>17.3</v>
      </c>
      <c r="Q522" s="1">
        <v>1000.2</v>
      </c>
      <c r="R522" s="1">
        <v>0</v>
      </c>
      <c r="S522" s="1">
        <v>76.2</v>
      </c>
      <c r="T522" s="6">
        <v>0.09</v>
      </c>
      <c r="U522" s="6">
        <v>0</v>
      </c>
    </row>
    <row r="523" spans="1:21" customFormat="1">
      <c r="A523">
        <v>1</v>
      </c>
      <c r="B523">
        <v>61</v>
      </c>
      <c r="C523">
        <v>13</v>
      </c>
      <c r="D523">
        <v>4</v>
      </c>
      <c r="E523">
        <v>2020</v>
      </c>
      <c r="F523">
        <v>8101</v>
      </c>
      <c r="G523" t="str">
        <f>VLOOKUP(F523,'[1]Sheet 1'!$B$2:$E$347,2,FALSE)</f>
        <v>Biobío</v>
      </c>
      <c r="H523" t="str">
        <f>VLOOKUP(F523,'[1]Sheet 1'!$B$2:$E$347,3,FALSE)</f>
        <v>Concepción</v>
      </c>
      <c r="I523" t="str">
        <f>VLOOKUP(F523,'[1]Sheet 1'!$B$2:$E$347,4,FALSE)</f>
        <v>Concepción</v>
      </c>
      <c r="J523" t="s">
        <v>163</v>
      </c>
      <c r="K523" s="3" t="s">
        <v>19</v>
      </c>
      <c r="L523" s="12" t="str">
        <f>VLOOKUP(K523,[2]Hoja4!$A$2:$C$443,2,FALSE)</f>
        <v>Intentional self-harm by smoke, fire and flames</v>
      </c>
      <c r="M523" s="12" t="str">
        <f>VLOOKUP(K523,[2]Hoja4!$A$2:$C$443,3,FALSE)</f>
        <v>At home</v>
      </c>
      <c r="N523" s="1">
        <v>4.0999999999999996</v>
      </c>
      <c r="O523" s="1">
        <v>18.5</v>
      </c>
      <c r="P523" s="1">
        <v>11.2</v>
      </c>
      <c r="Q523" s="1">
        <v>1021.4</v>
      </c>
      <c r="R523" s="1">
        <v>0</v>
      </c>
      <c r="S523" s="1">
        <v>71.2</v>
      </c>
      <c r="T523" s="6">
        <v>0.09</v>
      </c>
      <c r="U523" s="6">
        <v>0</v>
      </c>
    </row>
    <row r="524" spans="1:21" customFormat="1">
      <c r="A524">
        <v>2</v>
      </c>
      <c r="B524">
        <v>48</v>
      </c>
      <c r="C524">
        <v>13</v>
      </c>
      <c r="D524">
        <v>4</v>
      </c>
      <c r="E524">
        <v>2020</v>
      </c>
      <c r="F524">
        <v>7101</v>
      </c>
      <c r="G524" t="str">
        <f>VLOOKUP(F524,'[1]Sheet 1'!$B$2:$E$347,2,FALSE)</f>
        <v>Maule</v>
      </c>
      <c r="H524" t="str">
        <f>VLOOKUP(F524,'[1]Sheet 1'!$B$2:$E$347,3,FALSE)</f>
        <v>Talca</v>
      </c>
      <c r="I524" t="str">
        <f>VLOOKUP(F524,'[1]Sheet 1'!$B$2:$E$347,4,FALSE)</f>
        <v>Talca</v>
      </c>
      <c r="J524" t="s">
        <v>136</v>
      </c>
      <c r="K524" s="3" t="s">
        <v>0</v>
      </c>
      <c r="L524" s="12" t="str">
        <f>VLOOKUP(K524,[2]Hoja4!$A$2:$C$443,2,FALSE)</f>
        <v>Intentional self-harm by hanging, strangulation and suffocation</v>
      </c>
      <c r="M524" s="12" t="str">
        <f>VLOOKUP(K524,[2]Hoja4!$A$2:$C$443,3,FALSE)</f>
        <v>Unspecified place</v>
      </c>
      <c r="N524" s="1">
        <v>4.7</v>
      </c>
      <c r="O524" s="1">
        <v>22.4</v>
      </c>
      <c r="P524" s="1">
        <v>13.3</v>
      </c>
      <c r="Q524" s="1">
        <v>1007.8</v>
      </c>
      <c r="R524" s="1">
        <v>0</v>
      </c>
      <c r="S524" s="1">
        <v>66</v>
      </c>
      <c r="T524" s="6">
        <v>0.09</v>
      </c>
      <c r="U524" s="6">
        <v>0</v>
      </c>
    </row>
    <row r="525" spans="1:21" customFormat="1">
      <c r="A525">
        <v>2</v>
      </c>
      <c r="B525">
        <v>48</v>
      </c>
      <c r="C525">
        <v>13</v>
      </c>
      <c r="D525">
        <v>4</v>
      </c>
      <c r="E525">
        <v>2020</v>
      </c>
      <c r="F525">
        <v>14101</v>
      </c>
      <c r="G525" t="str">
        <f>VLOOKUP(F525,'[1]Sheet 1'!$B$2:$E$347,2,FALSE)</f>
        <v>Los Ríos</v>
      </c>
      <c r="H525" t="str">
        <f>VLOOKUP(F525,'[1]Sheet 1'!$B$2:$E$347,3,FALSE)</f>
        <v>Valdivia</v>
      </c>
      <c r="I525" t="str">
        <f>VLOOKUP(F525,'[1]Sheet 1'!$B$2:$E$347,4,FALSE)</f>
        <v>Valdivia</v>
      </c>
      <c r="J525" t="s">
        <v>164</v>
      </c>
      <c r="K525" s="3" t="s">
        <v>9</v>
      </c>
      <c r="L525" s="12" t="str">
        <f>VLOOKUP(K525,[2]Hoja4!$A$2:$C$443,2,FALSE)</f>
        <v>Intentional self-harm by jumping from a high place</v>
      </c>
      <c r="M525" s="12" t="str">
        <f>VLOOKUP(K525,[2]Hoja4!$A$2:$C$443,3,FALSE)</f>
        <v>Unspecified place</v>
      </c>
      <c r="N525" s="1">
        <v>-0.9</v>
      </c>
      <c r="O525" s="1">
        <v>18.2</v>
      </c>
      <c r="P525" s="1">
        <v>6.2</v>
      </c>
      <c r="Q525" s="1">
        <v>1022.8</v>
      </c>
      <c r="R525" s="1">
        <v>0</v>
      </c>
      <c r="S525" s="1">
        <v>86.8</v>
      </c>
      <c r="T525" s="6">
        <v>0.09</v>
      </c>
      <c r="U525" s="6">
        <v>0</v>
      </c>
    </row>
    <row r="526" spans="1:21" customFormat="1">
      <c r="A526">
        <v>1</v>
      </c>
      <c r="B526">
        <v>30</v>
      </c>
      <c r="C526">
        <v>13</v>
      </c>
      <c r="D526">
        <v>4</v>
      </c>
      <c r="E526">
        <v>2020</v>
      </c>
      <c r="F526">
        <v>10202</v>
      </c>
      <c r="G526" t="str">
        <f>VLOOKUP(F526,'[1]Sheet 1'!$B$2:$E$347,2,FALSE)</f>
        <v>Los Lagos</v>
      </c>
      <c r="H526" t="str">
        <f>VLOOKUP(F526,'[1]Sheet 1'!$B$2:$E$347,3,FALSE)</f>
        <v>Chiloé</v>
      </c>
      <c r="I526" t="str">
        <f>VLOOKUP(F526,'[1]Sheet 1'!$B$2:$E$347,4,FALSE)</f>
        <v>Ancud</v>
      </c>
      <c r="J526" t="s">
        <v>136</v>
      </c>
      <c r="K526" s="3" t="s">
        <v>4</v>
      </c>
      <c r="L526" s="12" t="str">
        <f>VLOOKUP(K526,[2]Hoja4!$A$2:$C$443,2,FALSE)</f>
        <v>Intentional self-harm by hanging, strangulation and suffocation</v>
      </c>
      <c r="M526" s="12" t="str">
        <f>VLOOKUP(K526,[2]Hoja4!$A$2:$C$443,3,FALSE)</f>
        <v>At home</v>
      </c>
      <c r="N526" s="1">
        <v>5.6</v>
      </c>
      <c r="O526" s="1">
        <v>14.3</v>
      </c>
      <c r="P526" s="1">
        <v>10</v>
      </c>
      <c r="Q526" s="1">
        <v>995.3</v>
      </c>
      <c r="R526" s="1"/>
      <c r="S526" s="1">
        <v>100</v>
      </c>
      <c r="T526" s="6">
        <v>0.09</v>
      </c>
      <c r="U526" s="6">
        <v>0</v>
      </c>
    </row>
    <row r="527" spans="1:21" customFormat="1">
      <c r="A527">
        <v>1</v>
      </c>
      <c r="B527">
        <v>18</v>
      </c>
      <c r="C527">
        <v>13</v>
      </c>
      <c r="D527">
        <v>4</v>
      </c>
      <c r="E527">
        <v>2020</v>
      </c>
      <c r="F527">
        <v>9101</v>
      </c>
      <c r="G527" t="str">
        <f>VLOOKUP(F527,'[1]Sheet 1'!$B$2:$E$347,2,FALSE)</f>
        <v>La Araucanía</v>
      </c>
      <c r="H527" t="str">
        <f>VLOOKUP(F527,'[1]Sheet 1'!$B$2:$E$347,3,FALSE)</f>
        <v>Cautín</v>
      </c>
      <c r="I527" t="str">
        <f>VLOOKUP(F527,'[1]Sheet 1'!$B$2:$E$347,4,FALSE)</f>
        <v>Temuco</v>
      </c>
      <c r="J527" t="s">
        <v>165</v>
      </c>
      <c r="K527" s="3" t="s">
        <v>11</v>
      </c>
      <c r="L527" s="12" t="str">
        <f>VLOOKUP(K527,[2]Hoja4!$A$2:$C$443,2,FALSE)</f>
        <v>Intentional self-harm by other and unspecified firearm discharge</v>
      </c>
      <c r="M527" s="12" t="str">
        <f>VLOOKUP(K527,[2]Hoja4!$A$2:$C$443,3,FALSE)</f>
        <v>Unspecified place</v>
      </c>
      <c r="N527" s="1">
        <v>-2.2000000000000002</v>
      </c>
      <c r="O527" s="1">
        <v>18.5</v>
      </c>
      <c r="P527" s="1">
        <v>7.3</v>
      </c>
      <c r="Q527" s="1">
        <v>1012.5</v>
      </c>
      <c r="R527" s="1">
        <v>0</v>
      </c>
      <c r="S527" s="1">
        <v>83.8</v>
      </c>
      <c r="T527" s="6">
        <v>0.09</v>
      </c>
      <c r="U527" s="6">
        <v>0</v>
      </c>
    </row>
    <row r="528" spans="1:21" customFormat="1">
      <c r="A528">
        <v>1</v>
      </c>
      <c r="B528">
        <v>20</v>
      </c>
      <c r="C528">
        <v>13</v>
      </c>
      <c r="D528">
        <v>4</v>
      </c>
      <c r="E528">
        <v>2020</v>
      </c>
      <c r="F528">
        <v>6101</v>
      </c>
      <c r="G528" t="str">
        <f>VLOOKUP(F528,'[1]Sheet 1'!$B$2:$E$347,2,FALSE)</f>
        <v>Libertador General Bernardo O'Higgins</v>
      </c>
      <c r="H528" t="str">
        <f>VLOOKUP(F528,'[1]Sheet 1'!$B$2:$E$347,3,FALSE)</f>
        <v>Cachapoal</v>
      </c>
      <c r="I528" t="str">
        <f>VLOOKUP(F528,'[1]Sheet 1'!$B$2:$E$347,4,FALSE)</f>
        <v>Rancagua</v>
      </c>
      <c r="J528" t="s">
        <v>136</v>
      </c>
      <c r="K528" s="3" t="s">
        <v>0</v>
      </c>
      <c r="L528" s="12" t="str">
        <f>VLOOKUP(K528,[2]Hoja4!$A$2:$C$443,2,FALSE)</f>
        <v>Intentional self-harm by hanging, strangulation and suffocation</v>
      </c>
      <c r="M528" s="12" t="str">
        <f>VLOOKUP(K528,[2]Hoja4!$A$2:$C$443,3,FALSE)</f>
        <v>Unspecified place</v>
      </c>
      <c r="N528" s="1">
        <v>5</v>
      </c>
      <c r="O528" s="1">
        <v>22.6</v>
      </c>
      <c r="P528" s="1">
        <v>14.2</v>
      </c>
      <c r="Q528" s="1">
        <v>963.1</v>
      </c>
      <c r="R528" s="1">
        <v>0</v>
      </c>
      <c r="S528" s="1">
        <v>62.4</v>
      </c>
      <c r="T528" s="6">
        <v>0.09</v>
      </c>
      <c r="U528" s="6">
        <v>0</v>
      </c>
    </row>
    <row r="529" spans="1:21" customFormat="1">
      <c r="A529">
        <v>2</v>
      </c>
      <c r="B529">
        <v>53</v>
      </c>
      <c r="C529">
        <v>14</v>
      </c>
      <c r="D529">
        <v>4</v>
      </c>
      <c r="E529">
        <v>2020</v>
      </c>
      <c r="F529">
        <v>13114</v>
      </c>
      <c r="G529" t="str">
        <f>VLOOKUP(F529,'[1]Sheet 1'!$B$2:$E$347,2,FALSE)</f>
        <v>Metropolitana de Santiago</v>
      </c>
      <c r="H529" t="str">
        <f>VLOOKUP(F529,'[1]Sheet 1'!$B$2:$E$347,3,FALSE)</f>
        <v>Santiago</v>
      </c>
      <c r="I529" t="str">
        <f>VLOOKUP(F529,'[1]Sheet 1'!$B$2:$E$347,4,FALSE)</f>
        <v>Las Condes</v>
      </c>
      <c r="J529" t="s">
        <v>136</v>
      </c>
      <c r="K529" s="3" t="s">
        <v>0</v>
      </c>
      <c r="L529" s="12" t="str">
        <f>VLOOKUP(K529,[2]Hoja4!$A$2:$C$443,2,FALSE)</f>
        <v>Intentional self-harm by hanging, strangulation and suffocation</v>
      </c>
      <c r="M529" s="12" t="str">
        <f>VLOOKUP(K529,[2]Hoja4!$A$2:$C$443,3,FALSE)</f>
        <v>Unspecified place</v>
      </c>
      <c r="N529" s="1">
        <v>6.9</v>
      </c>
      <c r="O529" s="1">
        <v>27.6</v>
      </c>
      <c r="P529" s="1">
        <v>15.8</v>
      </c>
      <c r="Q529" s="1">
        <v>955.6</v>
      </c>
      <c r="R529" s="1"/>
      <c r="S529" s="1">
        <v>63</v>
      </c>
      <c r="T529" s="6">
        <v>0.09</v>
      </c>
      <c r="U529" s="6">
        <v>0</v>
      </c>
    </row>
    <row r="530" spans="1:21" customFormat="1">
      <c r="A530">
        <v>1</v>
      </c>
      <c r="B530">
        <v>51</v>
      </c>
      <c r="C530">
        <v>14</v>
      </c>
      <c r="D530">
        <v>4</v>
      </c>
      <c r="E530">
        <v>2020</v>
      </c>
      <c r="F530">
        <v>2101</v>
      </c>
      <c r="G530" t="str">
        <f>VLOOKUP(F530,'[1]Sheet 1'!$B$2:$E$347,2,FALSE)</f>
        <v>Antofagasta</v>
      </c>
      <c r="H530" t="str">
        <f>VLOOKUP(F530,'[1]Sheet 1'!$B$2:$E$347,3,FALSE)</f>
        <v>Antofagasta</v>
      </c>
      <c r="I530" t="str">
        <f>VLOOKUP(F530,'[1]Sheet 1'!$B$2:$E$347,4,FALSE)</f>
        <v>Antofagasta</v>
      </c>
      <c r="J530" t="s">
        <v>136</v>
      </c>
      <c r="K530" s="3" t="s">
        <v>4</v>
      </c>
      <c r="L530" s="12" t="str">
        <f>VLOOKUP(K530,[2]Hoja4!$A$2:$C$443,2,FALSE)</f>
        <v>Intentional self-harm by hanging, strangulation and suffocation</v>
      </c>
      <c r="M530" s="12" t="str">
        <f>VLOOKUP(K530,[2]Hoja4!$A$2:$C$443,3,FALSE)</f>
        <v>At home</v>
      </c>
      <c r="N530" s="1">
        <v>13.7</v>
      </c>
      <c r="O530" s="1">
        <v>21.9</v>
      </c>
      <c r="P530" s="1">
        <v>17.600000000000001</v>
      </c>
      <c r="Q530" s="1">
        <v>999.9</v>
      </c>
      <c r="R530" s="1">
        <v>0</v>
      </c>
      <c r="S530" s="1">
        <v>71.5</v>
      </c>
      <c r="T530" s="6">
        <v>0.09</v>
      </c>
      <c r="U530" s="6">
        <v>0</v>
      </c>
    </row>
    <row r="531" spans="1:21" customFormat="1">
      <c r="A531">
        <v>1</v>
      </c>
      <c r="B531">
        <v>29</v>
      </c>
      <c r="C531">
        <v>14</v>
      </c>
      <c r="D531">
        <v>4</v>
      </c>
      <c r="E531">
        <v>2020</v>
      </c>
      <c r="F531">
        <v>13403</v>
      </c>
      <c r="G531" t="str">
        <f>VLOOKUP(F531,'[1]Sheet 1'!$B$2:$E$347,2,FALSE)</f>
        <v>Metropolitana de Santiago</v>
      </c>
      <c r="H531" t="str">
        <f>VLOOKUP(F531,'[1]Sheet 1'!$B$2:$E$347,3,FALSE)</f>
        <v>Maipo</v>
      </c>
      <c r="I531" t="str">
        <f>VLOOKUP(F531,'[1]Sheet 1'!$B$2:$E$347,4,FALSE)</f>
        <v>Calera de Tango</v>
      </c>
      <c r="J531" t="s">
        <v>136</v>
      </c>
      <c r="K531" s="3" t="s">
        <v>0</v>
      </c>
      <c r="L531" s="12" t="str">
        <f>VLOOKUP(K531,[2]Hoja4!$A$2:$C$443,2,FALSE)</f>
        <v>Intentional self-harm by hanging, strangulation and suffocation</v>
      </c>
      <c r="M531" s="12" t="str">
        <f>VLOOKUP(K531,[2]Hoja4!$A$2:$C$443,3,FALSE)</f>
        <v>Unspecified place</v>
      </c>
      <c r="N531" s="1">
        <v>3.7</v>
      </c>
      <c r="O531" s="1">
        <v>28.4</v>
      </c>
      <c r="P531" s="1">
        <v>14.6</v>
      </c>
      <c r="Q531" s="1">
        <v>964.6</v>
      </c>
      <c r="R531" s="1">
        <v>0</v>
      </c>
      <c r="S531" s="1">
        <v>66.7</v>
      </c>
      <c r="T531" s="6">
        <v>0.09</v>
      </c>
      <c r="U531" s="6">
        <v>0</v>
      </c>
    </row>
    <row r="532" spans="1:21" customFormat="1">
      <c r="A532">
        <v>1</v>
      </c>
      <c r="B532">
        <v>28</v>
      </c>
      <c r="C532">
        <v>14</v>
      </c>
      <c r="D532">
        <v>4</v>
      </c>
      <c r="E532">
        <v>2020</v>
      </c>
      <c r="F532">
        <v>13110</v>
      </c>
      <c r="G532" t="str">
        <f>VLOOKUP(F532,'[1]Sheet 1'!$B$2:$E$347,2,FALSE)</f>
        <v>Metropolitana de Santiago</v>
      </c>
      <c r="H532" t="str">
        <f>VLOOKUP(F532,'[1]Sheet 1'!$B$2:$E$347,3,FALSE)</f>
        <v>Santiago</v>
      </c>
      <c r="I532" t="str">
        <f>VLOOKUP(F532,'[1]Sheet 1'!$B$2:$E$347,4,FALSE)</f>
        <v>La Florida</v>
      </c>
      <c r="J532" t="s">
        <v>136</v>
      </c>
      <c r="K532" s="3" t="s">
        <v>0</v>
      </c>
      <c r="L532" s="12" t="str">
        <f>VLOOKUP(K532,[2]Hoja4!$A$2:$C$443,2,FALSE)</f>
        <v>Intentional self-harm by hanging, strangulation and suffocation</v>
      </c>
      <c r="M532" s="12" t="str">
        <f>VLOOKUP(K532,[2]Hoja4!$A$2:$C$443,3,FALSE)</f>
        <v>Unspecified place</v>
      </c>
      <c r="N532" s="1">
        <v>6.9</v>
      </c>
      <c r="O532" s="1">
        <v>27.6</v>
      </c>
      <c r="P532" s="1">
        <v>15.8</v>
      </c>
      <c r="Q532" s="1">
        <v>955.6</v>
      </c>
      <c r="R532" s="1"/>
      <c r="S532" s="1">
        <v>63</v>
      </c>
      <c r="T532" s="6">
        <v>0.09</v>
      </c>
      <c r="U532" s="6">
        <v>0</v>
      </c>
    </row>
    <row r="533" spans="1:21" customFormat="1">
      <c r="A533">
        <v>1</v>
      </c>
      <c r="B533">
        <v>29</v>
      </c>
      <c r="C533">
        <v>14</v>
      </c>
      <c r="D533">
        <v>4</v>
      </c>
      <c r="E533">
        <v>2020</v>
      </c>
      <c r="F533">
        <v>5802</v>
      </c>
      <c r="G533" t="str">
        <f>VLOOKUP(F533,'[1]Sheet 1'!$B$2:$E$347,2,FALSE)</f>
        <v>Valparaíso</v>
      </c>
      <c r="H533" t="str">
        <f>VLOOKUP(F533,'[1]Sheet 1'!$B$2:$E$347,3,FALSE)</f>
        <v>Marga Marga</v>
      </c>
      <c r="I533" t="str">
        <f>VLOOKUP(F533,'[1]Sheet 1'!$B$2:$E$347,4,FALSE)</f>
        <v>Limache</v>
      </c>
      <c r="J533" t="s">
        <v>136</v>
      </c>
      <c r="K533" s="3" t="s">
        <v>2</v>
      </c>
      <c r="L533" s="12" t="str">
        <f>VLOOKUP(K533,[2]Hoja4!$A$2:$C$443,2,FALSE)</f>
        <v>Intentional self-harm by hanging, strangulation and suffocation</v>
      </c>
      <c r="M533" s="12" t="str">
        <f>VLOOKUP(K533,[2]Hoja4!$A$2:$C$443,3,FALSE)</f>
        <v>Street and highway</v>
      </c>
      <c r="N533" s="1">
        <v>3.8</v>
      </c>
      <c r="O533" s="1">
        <v>20.2</v>
      </c>
      <c r="P533" s="1">
        <v>11.4</v>
      </c>
      <c r="Q533" s="1">
        <v>1013.7</v>
      </c>
      <c r="R533" s="1">
        <v>0</v>
      </c>
      <c r="S533" s="1">
        <v>82.4</v>
      </c>
      <c r="T533" s="6">
        <v>0.09</v>
      </c>
      <c r="U533" s="6">
        <v>0</v>
      </c>
    </row>
    <row r="534" spans="1:21" customFormat="1">
      <c r="A534">
        <v>1</v>
      </c>
      <c r="B534">
        <v>30</v>
      </c>
      <c r="C534">
        <v>14</v>
      </c>
      <c r="D534">
        <v>4</v>
      </c>
      <c r="E534">
        <v>2020</v>
      </c>
      <c r="F534">
        <v>15101</v>
      </c>
      <c r="G534" t="str">
        <f>VLOOKUP(F534,'[1]Sheet 1'!$B$2:$E$347,2,FALSE)</f>
        <v>Arica y Parinacota</v>
      </c>
      <c r="H534" t="str">
        <f>VLOOKUP(F534,'[1]Sheet 1'!$B$2:$E$347,3,FALSE)</f>
        <v>Arica</v>
      </c>
      <c r="I534" t="str">
        <f>VLOOKUP(F534,'[1]Sheet 1'!$B$2:$E$347,4,FALSE)</f>
        <v>Arica</v>
      </c>
      <c r="J534" t="s">
        <v>136</v>
      </c>
      <c r="K534" s="3" t="s">
        <v>4</v>
      </c>
      <c r="L534" s="12" t="str">
        <f>VLOOKUP(K534,[2]Hoja4!$A$2:$C$443,2,FALSE)</f>
        <v>Intentional self-harm by hanging, strangulation and suffocation</v>
      </c>
      <c r="M534" s="12" t="str">
        <f>VLOOKUP(K534,[2]Hoja4!$A$2:$C$443,3,FALSE)</f>
        <v>At home</v>
      </c>
      <c r="N534" s="1">
        <v>18.600000000000001</v>
      </c>
      <c r="O534" s="1">
        <v>24.4</v>
      </c>
      <c r="P534" s="1">
        <v>21.3</v>
      </c>
      <c r="Q534" s="1">
        <v>1010.9</v>
      </c>
      <c r="R534" s="1">
        <v>0</v>
      </c>
      <c r="S534" s="1">
        <v>63.2</v>
      </c>
      <c r="T534" s="6">
        <v>0.09</v>
      </c>
      <c r="U534" s="6">
        <v>0</v>
      </c>
    </row>
    <row r="535" spans="1:21" customFormat="1">
      <c r="A535">
        <v>1</v>
      </c>
      <c r="B535">
        <v>60</v>
      </c>
      <c r="C535">
        <v>15</v>
      </c>
      <c r="D535">
        <v>4</v>
      </c>
      <c r="E535">
        <v>2020</v>
      </c>
      <c r="F535">
        <v>9115</v>
      </c>
      <c r="G535" t="str">
        <f>VLOOKUP(F535,'[1]Sheet 1'!$B$2:$E$347,2,FALSE)</f>
        <v>La Araucanía</v>
      </c>
      <c r="H535" t="str">
        <f>VLOOKUP(F535,'[1]Sheet 1'!$B$2:$E$347,3,FALSE)</f>
        <v>Cautín</v>
      </c>
      <c r="I535" t="str">
        <f>VLOOKUP(F535,'[1]Sheet 1'!$B$2:$E$347,4,FALSE)</f>
        <v>Pucón</v>
      </c>
      <c r="J535" t="s">
        <v>136</v>
      </c>
      <c r="K535" s="3" t="s">
        <v>4</v>
      </c>
      <c r="L535" s="12" t="str">
        <f>VLOOKUP(K535,[2]Hoja4!$A$2:$C$443,2,FALSE)</f>
        <v>Intentional self-harm by hanging, strangulation and suffocation</v>
      </c>
      <c r="M535" s="12" t="str">
        <f>VLOOKUP(K535,[2]Hoja4!$A$2:$C$443,3,FALSE)</f>
        <v>At home</v>
      </c>
      <c r="N535" s="1">
        <v>6.9</v>
      </c>
      <c r="O535" s="1">
        <v>17.600000000000001</v>
      </c>
      <c r="P535" s="1">
        <v>11.6</v>
      </c>
      <c r="Q535" s="1">
        <v>1005.6</v>
      </c>
      <c r="R535" s="1">
        <v>4.5999999999999996</v>
      </c>
      <c r="S535" s="1">
        <v>97</v>
      </c>
      <c r="T535" s="6">
        <v>0.09</v>
      </c>
      <c r="U535" s="6">
        <v>0</v>
      </c>
    </row>
    <row r="536" spans="1:21" customFormat="1">
      <c r="A536">
        <v>1</v>
      </c>
      <c r="B536">
        <v>37</v>
      </c>
      <c r="C536">
        <v>15</v>
      </c>
      <c r="D536">
        <v>4</v>
      </c>
      <c r="E536">
        <v>2020</v>
      </c>
      <c r="F536">
        <v>8101</v>
      </c>
      <c r="G536" t="str">
        <f>VLOOKUP(F536,'[1]Sheet 1'!$B$2:$E$347,2,FALSE)</f>
        <v>Biobío</v>
      </c>
      <c r="H536" t="str">
        <f>VLOOKUP(F536,'[1]Sheet 1'!$B$2:$E$347,3,FALSE)</f>
        <v>Concepción</v>
      </c>
      <c r="I536" t="str">
        <f>VLOOKUP(F536,'[1]Sheet 1'!$B$2:$E$347,4,FALSE)</f>
        <v>Concepción</v>
      </c>
      <c r="J536" t="s">
        <v>136</v>
      </c>
      <c r="K536" s="3" t="s">
        <v>0</v>
      </c>
      <c r="L536" s="12" t="str">
        <f>VLOOKUP(K536,[2]Hoja4!$A$2:$C$443,2,FALSE)</f>
        <v>Intentional self-harm by hanging, strangulation and suffocation</v>
      </c>
      <c r="M536" s="12" t="str">
        <f>VLOOKUP(K536,[2]Hoja4!$A$2:$C$443,3,FALSE)</f>
        <v>Unspecified place</v>
      </c>
      <c r="N536" s="1">
        <v>8.8000000000000007</v>
      </c>
      <c r="O536" s="1">
        <v>18.100000000000001</v>
      </c>
      <c r="P536" s="1">
        <v>13.1</v>
      </c>
      <c r="Q536" s="1">
        <v>1017.5</v>
      </c>
      <c r="R536" s="1">
        <v>0</v>
      </c>
      <c r="S536" s="1">
        <v>88.5</v>
      </c>
      <c r="T536" s="6">
        <v>0.09</v>
      </c>
      <c r="U536" s="6">
        <v>0</v>
      </c>
    </row>
    <row r="537" spans="1:21" customFormat="1">
      <c r="A537">
        <v>1</v>
      </c>
      <c r="B537">
        <v>39</v>
      </c>
      <c r="C537">
        <v>16</v>
      </c>
      <c r="D537">
        <v>4</v>
      </c>
      <c r="E537">
        <v>2020</v>
      </c>
      <c r="F537">
        <v>9114</v>
      </c>
      <c r="G537" t="str">
        <f>VLOOKUP(F537,'[1]Sheet 1'!$B$2:$E$347,2,FALSE)</f>
        <v>La Araucanía</v>
      </c>
      <c r="H537" t="str">
        <f>VLOOKUP(F537,'[1]Sheet 1'!$B$2:$E$347,3,FALSE)</f>
        <v>Cautín</v>
      </c>
      <c r="I537" t="str">
        <f>VLOOKUP(F537,'[1]Sheet 1'!$B$2:$E$347,4,FALSE)</f>
        <v>Pitrufquén</v>
      </c>
      <c r="J537" t="s">
        <v>136</v>
      </c>
      <c r="K537" s="3" t="s">
        <v>0</v>
      </c>
      <c r="L537" s="12" t="str">
        <f>VLOOKUP(K537,[2]Hoja4!$A$2:$C$443,2,FALSE)</f>
        <v>Intentional self-harm by hanging, strangulation and suffocation</v>
      </c>
      <c r="M537" s="12" t="str">
        <f>VLOOKUP(K537,[2]Hoja4!$A$2:$C$443,3,FALSE)</f>
        <v>Unspecified place</v>
      </c>
      <c r="N537" s="1">
        <v>10.7</v>
      </c>
      <c r="O537" s="1">
        <v>21.2</v>
      </c>
      <c r="P537" s="1">
        <v>15</v>
      </c>
      <c r="Q537" s="1">
        <v>1007.9</v>
      </c>
      <c r="R537" s="1">
        <v>0.2</v>
      </c>
      <c r="S537" s="1">
        <v>86.5</v>
      </c>
      <c r="T537" s="6">
        <v>0.09</v>
      </c>
      <c r="U537" s="6">
        <v>0</v>
      </c>
    </row>
    <row r="538" spans="1:21" customFormat="1">
      <c r="A538">
        <v>2</v>
      </c>
      <c r="B538">
        <v>33</v>
      </c>
      <c r="C538">
        <v>16</v>
      </c>
      <c r="D538">
        <v>4</v>
      </c>
      <c r="E538">
        <v>2020</v>
      </c>
      <c r="F538">
        <v>6101</v>
      </c>
      <c r="G538" t="str">
        <f>VLOOKUP(F538,'[1]Sheet 1'!$B$2:$E$347,2,FALSE)</f>
        <v>Libertador General Bernardo O'Higgins</v>
      </c>
      <c r="H538" t="str">
        <f>VLOOKUP(F538,'[1]Sheet 1'!$B$2:$E$347,3,FALSE)</f>
        <v>Cachapoal</v>
      </c>
      <c r="I538" t="str">
        <f>VLOOKUP(F538,'[1]Sheet 1'!$B$2:$E$347,4,FALSE)</f>
        <v>Rancagua</v>
      </c>
      <c r="J538" t="s">
        <v>136</v>
      </c>
      <c r="K538" s="3" t="s">
        <v>0</v>
      </c>
      <c r="L538" s="12" t="str">
        <f>VLOOKUP(K538,[2]Hoja4!$A$2:$C$443,2,FALSE)</f>
        <v>Intentional self-harm by hanging, strangulation and suffocation</v>
      </c>
      <c r="M538" s="12" t="str">
        <f>VLOOKUP(K538,[2]Hoja4!$A$2:$C$443,3,FALSE)</f>
        <v>Unspecified place</v>
      </c>
      <c r="N538" s="1">
        <v>5.6</v>
      </c>
      <c r="O538" s="1">
        <v>25.8</v>
      </c>
      <c r="P538" s="1">
        <v>14.6</v>
      </c>
      <c r="Q538" s="1">
        <v>963.9</v>
      </c>
      <c r="R538" s="1">
        <v>0</v>
      </c>
      <c r="S538" s="1">
        <v>61.8</v>
      </c>
      <c r="T538" s="6">
        <v>0.09</v>
      </c>
      <c r="U538" s="6">
        <v>0</v>
      </c>
    </row>
    <row r="539" spans="1:21" customFormat="1">
      <c r="A539">
        <v>1</v>
      </c>
      <c r="B539">
        <v>31</v>
      </c>
      <c r="C539">
        <v>16</v>
      </c>
      <c r="D539">
        <v>4</v>
      </c>
      <c r="E539">
        <v>2020</v>
      </c>
      <c r="F539">
        <v>13126</v>
      </c>
      <c r="G539" t="str">
        <f>VLOOKUP(F539,'[1]Sheet 1'!$B$2:$E$347,2,FALSE)</f>
        <v>Metropolitana de Santiago</v>
      </c>
      <c r="H539" t="str">
        <f>VLOOKUP(F539,'[1]Sheet 1'!$B$2:$E$347,3,FALSE)</f>
        <v>Santiago</v>
      </c>
      <c r="I539" t="str">
        <f>VLOOKUP(F539,'[1]Sheet 1'!$B$2:$E$347,4,FALSE)</f>
        <v>Quinta Normal</v>
      </c>
      <c r="J539" t="s">
        <v>136</v>
      </c>
      <c r="K539" s="3" t="s">
        <v>0</v>
      </c>
      <c r="L539" s="12" t="str">
        <f>VLOOKUP(K539,[2]Hoja4!$A$2:$C$443,2,FALSE)</f>
        <v>Intentional self-harm by hanging, strangulation and suffocation</v>
      </c>
      <c r="M539" s="12" t="str">
        <f>VLOOKUP(K539,[2]Hoja4!$A$2:$C$443,3,FALSE)</f>
        <v>Unspecified place</v>
      </c>
      <c r="N539" s="1">
        <v>7.1</v>
      </c>
      <c r="O539" s="1">
        <v>26.2</v>
      </c>
      <c r="P539" s="1">
        <v>15.1</v>
      </c>
      <c r="Q539" s="1">
        <v>960.4</v>
      </c>
      <c r="R539" s="1"/>
      <c r="S539" s="1">
        <v>71</v>
      </c>
      <c r="T539" s="6">
        <v>0.09</v>
      </c>
      <c r="U539" s="6">
        <v>0</v>
      </c>
    </row>
    <row r="540" spans="1:21" customFormat="1">
      <c r="A540">
        <v>1</v>
      </c>
      <c r="B540">
        <v>32</v>
      </c>
      <c r="C540">
        <v>16</v>
      </c>
      <c r="D540">
        <v>4</v>
      </c>
      <c r="E540">
        <v>2020</v>
      </c>
      <c r="F540">
        <v>13122</v>
      </c>
      <c r="G540" t="str">
        <f>VLOOKUP(F540,'[1]Sheet 1'!$B$2:$E$347,2,FALSE)</f>
        <v>Metropolitana de Santiago</v>
      </c>
      <c r="H540" t="str">
        <f>VLOOKUP(F540,'[1]Sheet 1'!$B$2:$E$347,3,FALSE)</f>
        <v>Santiago</v>
      </c>
      <c r="I540" t="str">
        <f>VLOOKUP(F540,'[1]Sheet 1'!$B$2:$E$347,4,FALSE)</f>
        <v>Peñalolén</v>
      </c>
      <c r="J540" t="s">
        <v>136</v>
      </c>
      <c r="K540" s="3" t="s">
        <v>0</v>
      </c>
      <c r="L540" s="12" t="str">
        <f>VLOOKUP(K540,[2]Hoja4!$A$2:$C$443,2,FALSE)</f>
        <v>Intentional self-harm by hanging, strangulation and suffocation</v>
      </c>
      <c r="M540" s="12" t="str">
        <f>VLOOKUP(K540,[2]Hoja4!$A$2:$C$443,3,FALSE)</f>
        <v>Unspecified place</v>
      </c>
      <c r="N540" s="1">
        <v>7.1</v>
      </c>
      <c r="O540" s="1">
        <v>26.2</v>
      </c>
      <c r="P540" s="1">
        <v>15.1</v>
      </c>
      <c r="Q540" s="1">
        <v>960.4</v>
      </c>
      <c r="R540" s="1"/>
      <c r="S540" s="1">
        <v>71</v>
      </c>
      <c r="T540" s="6">
        <v>0.09</v>
      </c>
      <c r="U540" s="6">
        <v>0</v>
      </c>
    </row>
    <row r="541" spans="1:21" customFormat="1">
      <c r="A541">
        <v>2</v>
      </c>
      <c r="B541">
        <v>39</v>
      </c>
      <c r="C541">
        <v>16</v>
      </c>
      <c r="D541">
        <v>4</v>
      </c>
      <c r="E541">
        <v>2020</v>
      </c>
      <c r="F541">
        <v>2101</v>
      </c>
      <c r="G541" t="str">
        <f>VLOOKUP(F541,'[1]Sheet 1'!$B$2:$E$347,2,FALSE)</f>
        <v>Antofagasta</v>
      </c>
      <c r="H541" t="str">
        <f>VLOOKUP(F541,'[1]Sheet 1'!$B$2:$E$347,3,FALSE)</f>
        <v>Antofagasta</v>
      </c>
      <c r="I541" t="str">
        <f>VLOOKUP(F541,'[1]Sheet 1'!$B$2:$E$347,4,FALSE)</f>
        <v>Antofagasta</v>
      </c>
      <c r="J541" t="s">
        <v>136</v>
      </c>
      <c r="K541" s="3" t="s">
        <v>4</v>
      </c>
      <c r="L541" s="12" t="str">
        <f>VLOOKUP(K541,[2]Hoja4!$A$2:$C$443,2,FALSE)</f>
        <v>Intentional self-harm by hanging, strangulation and suffocation</v>
      </c>
      <c r="M541" s="12" t="str">
        <f>VLOOKUP(K541,[2]Hoja4!$A$2:$C$443,3,FALSE)</f>
        <v>At home</v>
      </c>
      <c r="N541" s="1">
        <v>15.5</v>
      </c>
      <c r="O541" s="1">
        <v>21.5</v>
      </c>
      <c r="P541" s="1">
        <v>18.3</v>
      </c>
      <c r="Q541" s="1">
        <v>1001.3</v>
      </c>
      <c r="R541" s="1">
        <v>0</v>
      </c>
      <c r="S541" s="1">
        <v>75.2</v>
      </c>
      <c r="T541" s="6">
        <v>0.09</v>
      </c>
      <c r="U541" s="6">
        <v>0</v>
      </c>
    </row>
    <row r="542" spans="1:21" customFormat="1">
      <c r="A542">
        <v>1</v>
      </c>
      <c r="B542">
        <v>25</v>
      </c>
      <c r="C542">
        <v>16</v>
      </c>
      <c r="D542">
        <v>4</v>
      </c>
      <c r="E542">
        <v>2020</v>
      </c>
      <c r="F542">
        <v>13115</v>
      </c>
      <c r="G542" t="str">
        <f>VLOOKUP(F542,'[1]Sheet 1'!$B$2:$E$347,2,FALSE)</f>
        <v>Metropolitana de Santiago</v>
      </c>
      <c r="H542" t="str">
        <f>VLOOKUP(F542,'[1]Sheet 1'!$B$2:$E$347,3,FALSE)</f>
        <v>Santiago</v>
      </c>
      <c r="I542" t="str">
        <f>VLOOKUP(F542,'[1]Sheet 1'!$B$2:$E$347,4,FALSE)</f>
        <v>Lo Barnechea</v>
      </c>
      <c r="J542" t="s">
        <v>136</v>
      </c>
      <c r="K542" s="3" t="s">
        <v>0</v>
      </c>
      <c r="L542" s="12" t="str">
        <f>VLOOKUP(K542,[2]Hoja4!$A$2:$C$443,2,FALSE)</f>
        <v>Intentional self-harm by hanging, strangulation and suffocation</v>
      </c>
      <c r="M542" s="12" t="str">
        <f>VLOOKUP(K542,[2]Hoja4!$A$2:$C$443,3,FALSE)</f>
        <v>Unspecified place</v>
      </c>
      <c r="N542" s="1">
        <v>7.1</v>
      </c>
      <c r="O542" s="1">
        <v>26.2</v>
      </c>
      <c r="P542" s="1">
        <v>15.1</v>
      </c>
      <c r="Q542" s="1">
        <v>960.4</v>
      </c>
      <c r="R542" s="1"/>
      <c r="S542" s="1">
        <v>71</v>
      </c>
      <c r="T542" s="6">
        <v>0.09</v>
      </c>
      <c r="U542" s="6">
        <v>0</v>
      </c>
    </row>
    <row r="543" spans="1:21" customFormat="1">
      <c r="A543">
        <v>2</v>
      </c>
      <c r="B543">
        <v>25</v>
      </c>
      <c r="C543">
        <v>16</v>
      </c>
      <c r="D543">
        <v>4</v>
      </c>
      <c r="E543">
        <v>2020</v>
      </c>
      <c r="F543">
        <v>7301</v>
      </c>
      <c r="G543" t="str">
        <f>VLOOKUP(F543,'[1]Sheet 1'!$B$2:$E$347,2,FALSE)</f>
        <v>Maule</v>
      </c>
      <c r="H543" t="str">
        <f>VLOOKUP(F543,'[1]Sheet 1'!$B$2:$E$347,3,FALSE)</f>
        <v>Curicó</v>
      </c>
      <c r="I543" t="str">
        <f>VLOOKUP(F543,'[1]Sheet 1'!$B$2:$E$347,4,FALSE)</f>
        <v>Curicó</v>
      </c>
      <c r="J543" t="s">
        <v>136</v>
      </c>
      <c r="K543" s="3" t="s">
        <v>4</v>
      </c>
      <c r="L543" s="12" t="str">
        <f>VLOOKUP(K543,[2]Hoja4!$A$2:$C$443,2,FALSE)</f>
        <v>Intentional self-harm by hanging, strangulation and suffocation</v>
      </c>
      <c r="M543" s="12" t="str">
        <f>VLOOKUP(K543,[2]Hoja4!$A$2:$C$443,3,FALSE)</f>
        <v>At home</v>
      </c>
      <c r="N543" s="1">
        <v>5.8</v>
      </c>
      <c r="O543" s="1">
        <v>25.7</v>
      </c>
      <c r="P543" s="1">
        <v>14.9</v>
      </c>
      <c r="Q543" s="1">
        <v>993.8</v>
      </c>
      <c r="R543" s="1">
        <v>0</v>
      </c>
      <c r="S543" s="1">
        <v>58.5</v>
      </c>
      <c r="T543" s="6">
        <v>0.09</v>
      </c>
      <c r="U543" s="6">
        <v>0</v>
      </c>
    </row>
    <row r="544" spans="1:21" customFormat="1">
      <c r="A544">
        <v>1</v>
      </c>
      <c r="B544">
        <v>26</v>
      </c>
      <c r="C544">
        <v>16</v>
      </c>
      <c r="D544">
        <v>4</v>
      </c>
      <c r="E544">
        <v>2020</v>
      </c>
      <c r="F544">
        <v>13119</v>
      </c>
      <c r="G544" t="str">
        <f>VLOOKUP(F544,'[1]Sheet 1'!$B$2:$E$347,2,FALSE)</f>
        <v>Metropolitana de Santiago</v>
      </c>
      <c r="H544" t="str">
        <f>VLOOKUP(F544,'[1]Sheet 1'!$B$2:$E$347,3,FALSE)</f>
        <v>Santiago</v>
      </c>
      <c r="I544" t="str">
        <f>VLOOKUP(F544,'[1]Sheet 1'!$B$2:$E$347,4,FALSE)</f>
        <v>Maipú</v>
      </c>
      <c r="J544" t="s">
        <v>136</v>
      </c>
      <c r="K544" s="3" t="s">
        <v>0</v>
      </c>
      <c r="L544" s="12" t="str">
        <f>VLOOKUP(K544,[2]Hoja4!$A$2:$C$443,2,FALSE)</f>
        <v>Intentional self-harm by hanging, strangulation and suffocation</v>
      </c>
      <c r="M544" s="12" t="str">
        <f>VLOOKUP(K544,[2]Hoja4!$A$2:$C$443,3,FALSE)</f>
        <v>Unspecified place</v>
      </c>
      <c r="N544" s="1">
        <v>7.1</v>
      </c>
      <c r="O544" s="1">
        <v>26.2</v>
      </c>
      <c r="P544" s="1">
        <v>15.1</v>
      </c>
      <c r="Q544" s="1">
        <v>960.4</v>
      </c>
      <c r="R544" s="1"/>
      <c r="S544" s="1">
        <v>71</v>
      </c>
      <c r="T544" s="6">
        <v>0.09</v>
      </c>
      <c r="U544" s="6">
        <v>0</v>
      </c>
    </row>
    <row r="545" spans="1:21" customFormat="1">
      <c r="A545">
        <v>1</v>
      </c>
      <c r="B545">
        <v>67</v>
      </c>
      <c r="C545">
        <v>17</v>
      </c>
      <c r="D545">
        <v>4</v>
      </c>
      <c r="E545">
        <v>2020</v>
      </c>
      <c r="F545">
        <v>16207</v>
      </c>
      <c r="G545" t="str">
        <f>VLOOKUP(F545,'[1]Sheet 1'!$B$2:$E$347,2,FALSE)</f>
        <v>Ñuble</v>
      </c>
      <c r="H545" t="str">
        <f>VLOOKUP(F545,'[1]Sheet 1'!$B$2:$E$347,3,FALSE)</f>
        <v>Itata</v>
      </c>
      <c r="I545" t="str">
        <f>VLOOKUP(F545,'[1]Sheet 1'!$B$2:$E$347,4,FALSE)</f>
        <v>Treguaco</v>
      </c>
      <c r="J545" t="s">
        <v>136</v>
      </c>
      <c r="K545" s="3" t="s">
        <v>0</v>
      </c>
      <c r="L545" s="12" t="str">
        <f>VLOOKUP(K545,[2]Hoja4!$A$2:$C$443,2,FALSE)</f>
        <v>Intentional self-harm by hanging, strangulation and suffocation</v>
      </c>
      <c r="M545" s="12" t="str">
        <f>VLOOKUP(K545,[2]Hoja4!$A$2:$C$443,3,FALSE)</f>
        <v>Unspecified place</v>
      </c>
      <c r="N545" s="1">
        <v>5.2</v>
      </c>
      <c r="O545" s="1">
        <v>28.5</v>
      </c>
      <c r="P545" s="1">
        <v>16.8</v>
      </c>
      <c r="Q545" s="1">
        <v>1006.7</v>
      </c>
      <c r="R545" s="1">
        <v>0</v>
      </c>
      <c r="S545" s="1">
        <v>75.599999999999994</v>
      </c>
      <c r="T545" s="6">
        <v>0.09</v>
      </c>
      <c r="U545" s="6">
        <v>0</v>
      </c>
    </row>
    <row r="546" spans="1:21" customFormat="1">
      <c r="A546">
        <v>1</v>
      </c>
      <c r="B546">
        <v>63</v>
      </c>
      <c r="C546">
        <v>17</v>
      </c>
      <c r="D546">
        <v>4</v>
      </c>
      <c r="E546">
        <v>2020</v>
      </c>
      <c r="F546">
        <v>14107</v>
      </c>
      <c r="G546" t="str">
        <f>VLOOKUP(F546,'[1]Sheet 1'!$B$2:$E$347,2,FALSE)</f>
        <v>Los Ríos</v>
      </c>
      <c r="H546" t="str">
        <f>VLOOKUP(F546,'[1]Sheet 1'!$B$2:$E$347,3,FALSE)</f>
        <v>Valdivia</v>
      </c>
      <c r="I546" t="str">
        <f>VLOOKUP(F546,'[1]Sheet 1'!$B$2:$E$347,4,FALSE)</f>
        <v>Paillaco</v>
      </c>
      <c r="J546" t="s">
        <v>136</v>
      </c>
      <c r="K546" s="3" t="s">
        <v>0</v>
      </c>
      <c r="L546" s="12" t="str">
        <f>VLOOKUP(K546,[2]Hoja4!$A$2:$C$443,2,FALSE)</f>
        <v>Intentional self-harm by hanging, strangulation and suffocation</v>
      </c>
      <c r="M546" s="12" t="str">
        <f>VLOOKUP(K546,[2]Hoja4!$A$2:$C$443,3,FALSE)</f>
        <v>Unspecified place</v>
      </c>
      <c r="N546" s="1">
        <v>13.1</v>
      </c>
      <c r="O546" s="1" t="s">
        <v>71</v>
      </c>
      <c r="P546" s="1">
        <v>15.3</v>
      </c>
      <c r="Q546" s="1">
        <v>1014.4</v>
      </c>
      <c r="R546" s="1">
        <v>25.6</v>
      </c>
      <c r="S546" s="1">
        <v>98</v>
      </c>
      <c r="T546" s="6">
        <v>0.09</v>
      </c>
      <c r="U546" s="6">
        <v>0</v>
      </c>
    </row>
    <row r="547" spans="1:21" customFormat="1">
      <c r="A547">
        <v>1</v>
      </c>
      <c r="B547">
        <v>18</v>
      </c>
      <c r="C547">
        <v>17</v>
      </c>
      <c r="D547">
        <v>4</v>
      </c>
      <c r="E547">
        <v>2020</v>
      </c>
      <c r="F547">
        <v>14108</v>
      </c>
      <c r="G547" t="str">
        <f>VLOOKUP(F547,'[1]Sheet 1'!$B$2:$E$347,2,FALSE)</f>
        <v>Los Ríos</v>
      </c>
      <c r="H547" t="str">
        <f>VLOOKUP(F547,'[1]Sheet 1'!$B$2:$E$347,3,FALSE)</f>
        <v>Valdivia</v>
      </c>
      <c r="I547" t="str">
        <f>VLOOKUP(F547,'[1]Sheet 1'!$B$2:$E$347,4,FALSE)</f>
        <v>Panguipulli</v>
      </c>
      <c r="J547" t="s">
        <v>136</v>
      </c>
      <c r="K547" s="3" t="s">
        <v>0</v>
      </c>
      <c r="L547" s="12" t="str">
        <f>VLOOKUP(K547,[2]Hoja4!$A$2:$C$443,2,FALSE)</f>
        <v>Intentional self-harm by hanging, strangulation and suffocation</v>
      </c>
      <c r="M547" s="12" t="str">
        <f>VLOOKUP(K547,[2]Hoja4!$A$2:$C$443,3,FALSE)</f>
        <v>Unspecified place</v>
      </c>
      <c r="N547" s="1">
        <v>13.1</v>
      </c>
      <c r="O547" s="1" t="s">
        <v>71</v>
      </c>
      <c r="P547" s="1">
        <v>15.3</v>
      </c>
      <c r="Q547" s="1">
        <v>1014.4</v>
      </c>
      <c r="R547" s="1">
        <v>25.6</v>
      </c>
      <c r="S547" s="1">
        <v>98</v>
      </c>
      <c r="T547" s="6">
        <v>0.09</v>
      </c>
      <c r="U547" s="6">
        <v>0</v>
      </c>
    </row>
    <row r="548" spans="1:21" customFormat="1">
      <c r="A548">
        <v>1</v>
      </c>
      <c r="B548">
        <v>76</v>
      </c>
      <c r="C548">
        <v>18</v>
      </c>
      <c r="D548">
        <v>4</v>
      </c>
      <c r="E548">
        <v>2020</v>
      </c>
      <c r="F548">
        <v>4106</v>
      </c>
      <c r="G548" t="str">
        <f>VLOOKUP(F548,'[1]Sheet 1'!$B$2:$E$347,2,FALSE)</f>
        <v>Coquimbo</v>
      </c>
      <c r="H548" t="str">
        <f>VLOOKUP(F548,'[1]Sheet 1'!$B$2:$E$347,3,FALSE)</f>
        <v>Elqui</v>
      </c>
      <c r="I548" t="str">
        <f>VLOOKUP(F548,'[1]Sheet 1'!$B$2:$E$347,4,FALSE)</f>
        <v>Vicuña</v>
      </c>
      <c r="J548" t="s">
        <v>136</v>
      </c>
      <c r="K548" s="3" t="s">
        <v>4</v>
      </c>
      <c r="L548" s="12" t="str">
        <f>VLOOKUP(K548,[2]Hoja4!$A$2:$C$443,2,FALSE)</f>
        <v>Intentional self-harm by hanging, strangulation and suffocation</v>
      </c>
      <c r="M548" s="12" t="str">
        <f>VLOOKUP(K548,[2]Hoja4!$A$2:$C$443,3,FALSE)</f>
        <v>At home</v>
      </c>
      <c r="N548" s="1">
        <v>12.2</v>
      </c>
      <c r="O548" s="1">
        <v>17.899999999999999</v>
      </c>
      <c r="P548" s="1">
        <v>14.1</v>
      </c>
      <c r="Q548" s="1">
        <v>999.4</v>
      </c>
      <c r="R548" s="1">
        <v>0</v>
      </c>
      <c r="S548" s="1">
        <v>91.8</v>
      </c>
      <c r="T548" s="6">
        <v>0.09</v>
      </c>
      <c r="U548" s="6">
        <v>0</v>
      </c>
    </row>
    <row r="549" spans="1:21" customFormat="1">
      <c r="A549">
        <v>1</v>
      </c>
      <c r="B549">
        <v>69</v>
      </c>
      <c r="C549">
        <v>18</v>
      </c>
      <c r="D549">
        <v>4</v>
      </c>
      <c r="E549">
        <v>2020</v>
      </c>
      <c r="F549">
        <v>7407</v>
      </c>
      <c r="G549" t="str">
        <f>VLOOKUP(F549,'[1]Sheet 1'!$B$2:$E$347,2,FALSE)</f>
        <v>Maule</v>
      </c>
      <c r="H549" t="str">
        <f>VLOOKUP(F549,'[1]Sheet 1'!$B$2:$E$347,3,FALSE)</f>
        <v>Linares</v>
      </c>
      <c r="I549" t="str">
        <f>VLOOKUP(F549,'[1]Sheet 1'!$B$2:$E$347,4,FALSE)</f>
        <v>Villa Alegre</v>
      </c>
      <c r="J549" t="s">
        <v>166</v>
      </c>
      <c r="K549" s="3" t="s">
        <v>6</v>
      </c>
      <c r="L549" s="12" t="str">
        <f>VLOOKUP(K549,[2]Hoja4!$A$2:$C$443,2,FALSE)</f>
        <v>Intentional self-harm by sharp object</v>
      </c>
      <c r="M549" s="12" t="str">
        <f>VLOOKUP(K549,[2]Hoja4!$A$2:$C$443,3,FALSE)</f>
        <v>At home</v>
      </c>
      <c r="N549" s="1">
        <v>10.1</v>
      </c>
      <c r="O549" s="1" t="s">
        <v>87</v>
      </c>
      <c r="P549" s="1">
        <v>18.600000000000001</v>
      </c>
      <c r="Q549" s="1">
        <v>997.5</v>
      </c>
      <c r="R549" s="1">
        <v>0</v>
      </c>
      <c r="S549" s="1">
        <v>80.3</v>
      </c>
      <c r="T549" s="6">
        <v>0.09</v>
      </c>
      <c r="U549" s="6">
        <v>0</v>
      </c>
    </row>
    <row r="550" spans="1:21" customFormat="1">
      <c r="A550">
        <v>1</v>
      </c>
      <c r="B550">
        <v>38</v>
      </c>
      <c r="C550">
        <v>18</v>
      </c>
      <c r="D550">
        <v>4</v>
      </c>
      <c r="E550">
        <v>2020</v>
      </c>
      <c r="F550">
        <v>10101</v>
      </c>
      <c r="G550" t="str">
        <f>VLOOKUP(F550,'[1]Sheet 1'!$B$2:$E$347,2,FALSE)</f>
        <v>Los Lagos</v>
      </c>
      <c r="H550" t="str">
        <f>VLOOKUP(F550,'[1]Sheet 1'!$B$2:$E$347,3,FALSE)</f>
        <v>Llanquihue</v>
      </c>
      <c r="I550" t="str">
        <f>VLOOKUP(F550,'[1]Sheet 1'!$B$2:$E$347,4,FALSE)</f>
        <v>Puerto Montt</v>
      </c>
      <c r="J550" t="s">
        <v>153</v>
      </c>
      <c r="K550" s="3" t="s">
        <v>28</v>
      </c>
      <c r="L550" s="12" t="str">
        <f>VLOOKUP(K550,[2]Hoja4!$A$2:$C$443,2,FALSE)</f>
        <v>Intentional self-poisoning by and exposure to other and unspecified drugs, medicaments and biological substances</v>
      </c>
      <c r="M550" s="12" t="str">
        <f>VLOOKUP(K550,[2]Hoja4!$A$2:$C$443,3,FALSE)</f>
        <v>At home</v>
      </c>
      <c r="N550" s="1">
        <v>12.2</v>
      </c>
      <c r="O550" s="1">
        <v>18</v>
      </c>
      <c r="P550" s="1">
        <v>14.5</v>
      </c>
      <c r="Q550" s="1">
        <v>1003.6</v>
      </c>
      <c r="R550" s="1">
        <v>4.2</v>
      </c>
      <c r="S550" s="1">
        <v>89.2</v>
      </c>
      <c r="T550" s="6">
        <v>0.09</v>
      </c>
      <c r="U550" s="6">
        <v>0</v>
      </c>
    </row>
    <row r="551" spans="1:21" customFormat="1">
      <c r="A551">
        <v>1</v>
      </c>
      <c r="B551">
        <v>28</v>
      </c>
      <c r="C551">
        <v>18</v>
      </c>
      <c r="D551">
        <v>4</v>
      </c>
      <c r="E551">
        <v>2020</v>
      </c>
      <c r="F551">
        <v>13401</v>
      </c>
      <c r="G551" t="str">
        <f>VLOOKUP(F551,'[1]Sheet 1'!$B$2:$E$347,2,FALSE)</f>
        <v>Metropolitana de Santiago</v>
      </c>
      <c r="H551" t="str">
        <f>VLOOKUP(F551,'[1]Sheet 1'!$B$2:$E$347,3,FALSE)</f>
        <v>Maipo</v>
      </c>
      <c r="I551" t="str">
        <f>VLOOKUP(F551,'[1]Sheet 1'!$B$2:$E$347,4,FALSE)</f>
        <v>San Bernardo</v>
      </c>
      <c r="J551" t="s">
        <v>136</v>
      </c>
      <c r="K551" s="3" t="s">
        <v>0</v>
      </c>
      <c r="L551" s="12" t="str">
        <f>VLOOKUP(K551,[2]Hoja4!$A$2:$C$443,2,FALSE)</f>
        <v>Intentional self-harm by hanging, strangulation and suffocation</v>
      </c>
      <c r="M551" s="12" t="str">
        <f>VLOOKUP(K551,[2]Hoja4!$A$2:$C$443,3,FALSE)</f>
        <v>Unspecified place</v>
      </c>
      <c r="N551" s="1">
        <v>6.1</v>
      </c>
      <c r="O551" s="1">
        <v>30</v>
      </c>
      <c r="P551" s="1">
        <v>16.7</v>
      </c>
      <c r="Q551" s="1">
        <v>966.2</v>
      </c>
      <c r="R551" s="1">
        <v>0</v>
      </c>
      <c r="S551" s="1">
        <v>63.7</v>
      </c>
      <c r="T551" s="6">
        <v>0.09</v>
      </c>
      <c r="U551" s="6">
        <v>0</v>
      </c>
    </row>
    <row r="552" spans="1:21" customFormat="1">
      <c r="A552">
        <v>1</v>
      </c>
      <c r="B552">
        <v>73</v>
      </c>
      <c r="C552">
        <v>19</v>
      </c>
      <c r="D552">
        <v>4</v>
      </c>
      <c r="E552">
        <v>2020</v>
      </c>
      <c r="F552">
        <v>16109</v>
      </c>
      <c r="G552" t="str">
        <f>VLOOKUP(F552,'[1]Sheet 1'!$B$2:$E$347,2,FALSE)</f>
        <v>Ñuble</v>
      </c>
      <c r="H552" t="str">
        <f>VLOOKUP(F552,'[1]Sheet 1'!$B$2:$E$347,3,FALSE)</f>
        <v>Diguillín</v>
      </c>
      <c r="I552" t="str">
        <f>VLOOKUP(F552,'[1]Sheet 1'!$B$2:$E$347,4,FALSE)</f>
        <v>Yungay</v>
      </c>
      <c r="J552" t="s">
        <v>136</v>
      </c>
      <c r="K552" s="3" t="s">
        <v>0</v>
      </c>
      <c r="L552" s="12" t="str">
        <f>VLOOKUP(K552,[2]Hoja4!$A$2:$C$443,2,FALSE)</f>
        <v>Intentional self-harm by hanging, strangulation and suffocation</v>
      </c>
      <c r="M552" s="12" t="str">
        <f>VLOOKUP(K552,[2]Hoja4!$A$2:$C$443,3,FALSE)</f>
        <v>Unspecified place</v>
      </c>
      <c r="N552" s="1">
        <v>8.5</v>
      </c>
      <c r="O552" s="1">
        <v>23.2</v>
      </c>
      <c r="P552" s="1">
        <v>16.100000000000001</v>
      </c>
      <c r="Q552" s="1">
        <v>1001.2</v>
      </c>
      <c r="R552" s="1">
        <v>0</v>
      </c>
      <c r="S552" s="1">
        <v>74.5</v>
      </c>
      <c r="T552" s="6">
        <v>0.09</v>
      </c>
      <c r="U552" s="6">
        <v>0</v>
      </c>
    </row>
    <row r="553" spans="1:21" customFormat="1">
      <c r="A553">
        <v>1</v>
      </c>
      <c r="B553">
        <v>75</v>
      </c>
      <c r="C553">
        <v>19</v>
      </c>
      <c r="D553">
        <v>4</v>
      </c>
      <c r="E553">
        <v>2020</v>
      </c>
      <c r="F553">
        <v>13131</v>
      </c>
      <c r="G553" t="str">
        <f>VLOOKUP(F553,'[1]Sheet 1'!$B$2:$E$347,2,FALSE)</f>
        <v>Metropolitana de Santiago</v>
      </c>
      <c r="H553" t="str">
        <f>VLOOKUP(F553,'[1]Sheet 1'!$B$2:$E$347,3,FALSE)</f>
        <v>Santiago</v>
      </c>
      <c r="I553" t="str">
        <f>VLOOKUP(F553,'[1]Sheet 1'!$B$2:$E$347,4,FALSE)</f>
        <v>San Ramón</v>
      </c>
      <c r="J553" t="s">
        <v>136</v>
      </c>
      <c r="K553" s="3" t="s">
        <v>0</v>
      </c>
      <c r="L553" s="12" t="str">
        <f>VLOOKUP(K553,[2]Hoja4!$A$2:$C$443,2,FALSE)</f>
        <v>Intentional self-harm by hanging, strangulation and suffocation</v>
      </c>
      <c r="M553" s="12" t="str">
        <f>VLOOKUP(K553,[2]Hoja4!$A$2:$C$443,3,FALSE)</f>
        <v>Unspecified place</v>
      </c>
      <c r="N553" s="1">
        <v>11.1</v>
      </c>
      <c r="O553" s="1">
        <v>29.6</v>
      </c>
      <c r="P553" s="1">
        <v>19.5</v>
      </c>
      <c r="Q553" s="1">
        <v>956.6</v>
      </c>
      <c r="R553" s="1"/>
      <c r="S553" s="1">
        <v>71.8</v>
      </c>
      <c r="T553" s="6">
        <v>0.09</v>
      </c>
      <c r="U553" s="6">
        <v>0</v>
      </c>
    </row>
    <row r="554" spans="1:21" customFormat="1">
      <c r="A554">
        <v>1</v>
      </c>
      <c r="B554">
        <v>36</v>
      </c>
      <c r="C554">
        <v>19</v>
      </c>
      <c r="D554">
        <v>4</v>
      </c>
      <c r="E554">
        <v>2020</v>
      </c>
      <c r="F554">
        <v>14101</v>
      </c>
      <c r="G554" t="str">
        <f>VLOOKUP(F554,'[1]Sheet 1'!$B$2:$E$347,2,FALSE)</f>
        <v>Los Ríos</v>
      </c>
      <c r="H554" t="str">
        <f>VLOOKUP(F554,'[1]Sheet 1'!$B$2:$E$347,3,FALSE)</f>
        <v>Valdivia</v>
      </c>
      <c r="I554" t="str">
        <f>VLOOKUP(F554,'[1]Sheet 1'!$B$2:$E$347,4,FALSE)</f>
        <v>Valdivia</v>
      </c>
      <c r="J554" t="s">
        <v>136</v>
      </c>
      <c r="K554" s="3" t="s">
        <v>0</v>
      </c>
      <c r="L554" s="12" t="str">
        <f>VLOOKUP(K554,[2]Hoja4!$A$2:$C$443,2,FALSE)</f>
        <v>Intentional self-harm by hanging, strangulation and suffocation</v>
      </c>
      <c r="M554" s="12" t="str">
        <f>VLOOKUP(K554,[2]Hoja4!$A$2:$C$443,3,FALSE)</f>
        <v>Unspecified place</v>
      </c>
      <c r="N554" s="1">
        <v>10.3</v>
      </c>
      <c r="O554" s="1">
        <v>18.100000000000001</v>
      </c>
      <c r="P554" s="1">
        <v>14.4</v>
      </c>
      <c r="Q554" s="1">
        <v>1019.8</v>
      </c>
      <c r="R554" s="1">
        <v>0.6</v>
      </c>
      <c r="S554" s="1">
        <v>92</v>
      </c>
      <c r="T554" s="6">
        <v>0.09</v>
      </c>
      <c r="U554" s="6">
        <v>0</v>
      </c>
    </row>
    <row r="555" spans="1:21" customFormat="1">
      <c r="A555">
        <v>2</v>
      </c>
      <c r="B555">
        <v>34</v>
      </c>
      <c r="C555">
        <v>19</v>
      </c>
      <c r="D555">
        <v>4</v>
      </c>
      <c r="E555">
        <v>2020</v>
      </c>
      <c r="F555">
        <v>13128</v>
      </c>
      <c r="G555" t="str">
        <f>VLOOKUP(F555,'[1]Sheet 1'!$B$2:$E$347,2,FALSE)</f>
        <v>Metropolitana de Santiago</v>
      </c>
      <c r="H555" t="str">
        <f>VLOOKUP(F555,'[1]Sheet 1'!$B$2:$E$347,3,FALSE)</f>
        <v>Santiago</v>
      </c>
      <c r="I555" t="str">
        <f>VLOOKUP(F555,'[1]Sheet 1'!$B$2:$E$347,4,FALSE)</f>
        <v>Renca</v>
      </c>
      <c r="J555" t="s">
        <v>136</v>
      </c>
      <c r="K555" s="3" t="s">
        <v>0</v>
      </c>
      <c r="L555" s="12" t="str">
        <f>VLOOKUP(K555,[2]Hoja4!$A$2:$C$443,2,FALSE)</f>
        <v>Intentional self-harm by hanging, strangulation and suffocation</v>
      </c>
      <c r="M555" s="12" t="str">
        <f>VLOOKUP(K555,[2]Hoja4!$A$2:$C$443,3,FALSE)</f>
        <v>Unspecified place</v>
      </c>
      <c r="N555" s="1">
        <v>11.1</v>
      </c>
      <c r="O555" s="1">
        <v>29.6</v>
      </c>
      <c r="P555" s="1">
        <v>19.5</v>
      </c>
      <c r="Q555" s="1">
        <v>956.6</v>
      </c>
      <c r="R555" s="1"/>
      <c r="S555" s="1">
        <v>71.8</v>
      </c>
      <c r="T555" s="6">
        <v>0.09</v>
      </c>
      <c r="U555" s="6">
        <v>0</v>
      </c>
    </row>
    <row r="556" spans="1:21" customFormat="1">
      <c r="A556">
        <v>1</v>
      </c>
      <c r="B556">
        <v>29</v>
      </c>
      <c r="C556">
        <v>19</v>
      </c>
      <c r="D556">
        <v>4</v>
      </c>
      <c r="E556">
        <v>2020</v>
      </c>
      <c r="F556">
        <v>13127</v>
      </c>
      <c r="G556" t="str">
        <f>VLOOKUP(F556,'[1]Sheet 1'!$B$2:$E$347,2,FALSE)</f>
        <v>Metropolitana de Santiago</v>
      </c>
      <c r="H556" t="str">
        <f>VLOOKUP(F556,'[1]Sheet 1'!$B$2:$E$347,3,FALSE)</f>
        <v>Santiago</v>
      </c>
      <c r="I556" t="str">
        <f>VLOOKUP(F556,'[1]Sheet 1'!$B$2:$E$347,4,FALSE)</f>
        <v>Recoleta</v>
      </c>
      <c r="J556" t="s">
        <v>136</v>
      </c>
      <c r="K556" s="3" t="s">
        <v>0</v>
      </c>
      <c r="L556" s="12" t="str">
        <f>VLOOKUP(K556,[2]Hoja4!$A$2:$C$443,2,FALSE)</f>
        <v>Intentional self-harm by hanging, strangulation and suffocation</v>
      </c>
      <c r="M556" s="12" t="str">
        <f>VLOOKUP(K556,[2]Hoja4!$A$2:$C$443,3,FALSE)</f>
        <v>Unspecified place</v>
      </c>
      <c r="N556" s="1">
        <v>11.1</v>
      </c>
      <c r="O556" s="1">
        <v>29.6</v>
      </c>
      <c r="P556" s="1">
        <v>19.5</v>
      </c>
      <c r="Q556" s="1">
        <v>956.6</v>
      </c>
      <c r="R556" s="1"/>
      <c r="S556" s="1">
        <v>71.8</v>
      </c>
      <c r="T556" s="6">
        <v>0.09</v>
      </c>
      <c r="U556" s="6">
        <v>0</v>
      </c>
    </row>
    <row r="557" spans="1:21" customFormat="1">
      <c r="A557">
        <v>1</v>
      </c>
      <c r="B557">
        <v>62</v>
      </c>
      <c r="C557">
        <v>19</v>
      </c>
      <c r="D557">
        <v>4</v>
      </c>
      <c r="E557">
        <v>2020</v>
      </c>
      <c r="F557">
        <v>5804</v>
      </c>
      <c r="G557" t="str">
        <f>VLOOKUP(F557,'[1]Sheet 1'!$B$2:$E$347,2,FALSE)</f>
        <v>Valparaíso</v>
      </c>
      <c r="H557" t="str">
        <f>VLOOKUP(F557,'[1]Sheet 1'!$B$2:$E$347,3,FALSE)</f>
        <v>Marga Marga</v>
      </c>
      <c r="I557" t="str">
        <f>VLOOKUP(F557,'[1]Sheet 1'!$B$2:$E$347,4,FALSE)</f>
        <v>Villa Alemana</v>
      </c>
      <c r="J557" t="s">
        <v>136</v>
      </c>
      <c r="K557" s="3" t="s">
        <v>0</v>
      </c>
      <c r="L557" s="12" t="str">
        <f>VLOOKUP(K557,[2]Hoja4!$A$2:$C$443,2,FALSE)</f>
        <v>Intentional self-harm by hanging, strangulation and suffocation</v>
      </c>
      <c r="M557" s="12" t="str">
        <f>VLOOKUP(K557,[2]Hoja4!$A$2:$C$443,3,FALSE)</f>
        <v>Unspecified place</v>
      </c>
      <c r="N557" s="1">
        <v>9.9</v>
      </c>
      <c r="O557" s="1" t="s">
        <v>107</v>
      </c>
      <c r="P557" s="1">
        <v>17.100000000000001</v>
      </c>
      <c r="Q557" s="1">
        <v>1012.5</v>
      </c>
      <c r="R557" s="1">
        <v>0</v>
      </c>
      <c r="S557" s="1">
        <v>82.4</v>
      </c>
      <c r="T557" s="6">
        <v>0.09</v>
      </c>
      <c r="U557" s="6">
        <v>0</v>
      </c>
    </row>
    <row r="558" spans="1:21" customFormat="1">
      <c r="A558">
        <v>1</v>
      </c>
      <c r="B558">
        <v>23</v>
      </c>
      <c r="C558">
        <v>19</v>
      </c>
      <c r="D558">
        <v>4</v>
      </c>
      <c r="E558">
        <v>2020</v>
      </c>
      <c r="F558">
        <v>9105</v>
      </c>
      <c r="G558" t="str">
        <f>VLOOKUP(F558,'[1]Sheet 1'!$B$2:$E$347,2,FALSE)</f>
        <v>La Araucanía</v>
      </c>
      <c r="H558" t="str">
        <f>VLOOKUP(F558,'[1]Sheet 1'!$B$2:$E$347,3,FALSE)</f>
        <v>Cautín</v>
      </c>
      <c r="I558" t="str">
        <f>VLOOKUP(F558,'[1]Sheet 1'!$B$2:$E$347,4,FALSE)</f>
        <v>Freire</v>
      </c>
      <c r="J558" t="s">
        <v>136</v>
      </c>
      <c r="K558" s="3" t="s">
        <v>0</v>
      </c>
      <c r="L558" s="12" t="str">
        <f>VLOOKUP(K558,[2]Hoja4!$A$2:$C$443,2,FALSE)</f>
        <v>Intentional self-harm by hanging, strangulation and suffocation</v>
      </c>
      <c r="M558" s="12" t="str">
        <f>VLOOKUP(K558,[2]Hoja4!$A$2:$C$443,3,FALSE)</f>
        <v>Unspecified place</v>
      </c>
      <c r="N558" s="1">
        <v>8.3000000000000007</v>
      </c>
      <c r="O558" s="1">
        <v>17.7</v>
      </c>
      <c r="P558" s="1">
        <v>13.1</v>
      </c>
      <c r="Q558" s="1">
        <v>1010.1</v>
      </c>
      <c r="R558" s="1">
        <v>0.2</v>
      </c>
      <c r="S558" s="1">
        <v>89.5</v>
      </c>
      <c r="T558" s="6">
        <v>0.09</v>
      </c>
      <c r="U558" s="6">
        <v>0</v>
      </c>
    </row>
    <row r="559" spans="1:21" customFormat="1">
      <c r="A559">
        <v>1</v>
      </c>
      <c r="B559">
        <v>86</v>
      </c>
      <c r="C559">
        <v>20</v>
      </c>
      <c r="D559">
        <v>4</v>
      </c>
      <c r="E559">
        <v>2020</v>
      </c>
      <c r="F559">
        <v>6101</v>
      </c>
      <c r="G559" t="str">
        <f>VLOOKUP(F559,'[1]Sheet 1'!$B$2:$E$347,2,FALSE)</f>
        <v>Libertador General Bernardo O'Higgins</v>
      </c>
      <c r="H559" t="str">
        <f>VLOOKUP(F559,'[1]Sheet 1'!$B$2:$E$347,3,FALSE)</f>
        <v>Cachapoal</v>
      </c>
      <c r="I559" t="str">
        <f>VLOOKUP(F559,'[1]Sheet 1'!$B$2:$E$347,4,FALSE)</f>
        <v>Rancagua</v>
      </c>
      <c r="J559" t="s">
        <v>136</v>
      </c>
      <c r="K559" s="3" t="s">
        <v>0</v>
      </c>
      <c r="L559" s="12" t="str">
        <f>VLOOKUP(K559,[2]Hoja4!$A$2:$C$443,2,FALSE)</f>
        <v>Intentional self-harm by hanging, strangulation and suffocation</v>
      </c>
      <c r="M559" s="12" t="str">
        <f>VLOOKUP(K559,[2]Hoja4!$A$2:$C$443,3,FALSE)</f>
        <v>Unspecified place</v>
      </c>
      <c r="N559" s="1">
        <v>8.1999999999999993</v>
      </c>
      <c r="O559" s="1">
        <v>26.9</v>
      </c>
      <c r="P559" s="1">
        <v>17.3</v>
      </c>
      <c r="Q559" s="1">
        <v>960.2</v>
      </c>
      <c r="R559" s="1">
        <v>0</v>
      </c>
      <c r="S559" s="1">
        <v>59</v>
      </c>
      <c r="T559" s="6">
        <v>0.09</v>
      </c>
      <c r="U559" s="6">
        <v>0</v>
      </c>
    </row>
    <row r="560" spans="1:21" customFormat="1">
      <c r="A560">
        <v>1</v>
      </c>
      <c r="B560">
        <v>31</v>
      </c>
      <c r="C560">
        <v>20</v>
      </c>
      <c r="D560">
        <v>4</v>
      </c>
      <c r="E560">
        <v>2020</v>
      </c>
      <c r="F560">
        <v>8102</v>
      </c>
      <c r="G560" t="str">
        <f>VLOOKUP(F560,'[1]Sheet 1'!$B$2:$E$347,2,FALSE)</f>
        <v>Biobío</v>
      </c>
      <c r="H560" t="str">
        <f>VLOOKUP(F560,'[1]Sheet 1'!$B$2:$E$347,3,FALSE)</f>
        <v>Concepción</v>
      </c>
      <c r="I560" t="str">
        <f>VLOOKUP(F560,'[1]Sheet 1'!$B$2:$E$347,4,FALSE)</f>
        <v>Coronel</v>
      </c>
      <c r="J560" t="s">
        <v>136</v>
      </c>
      <c r="K560" s="3" t="s">
        <v>0</v>
      </c>
      <c r="L560" s="12" t="str">
        <f>VLOOKUP(K560,[2]Hoja4!$A$2:$C$443,2,FALSE)</f>
        <v>Intentional self-harm by hanging, strangulation and suffocation</v>
      </c>
      <c r="M560" s="12" t="str">
        <f>VLOOKUP(K560,[2]Hoja4!$A$2:$C$443,3,FALSE)</f>
        <v>Unspecified place</v>
      </c>
      <c r="N560" s="1">
        <v>8.9</v>
      </c>
      <c r="O560" s="1">
        <v>20.3</v>
      </c>
      <c r="P560" s="1">
        <v>14.7</v>
      </c>
      <c r="Q560" s="1">
        <v>1018.8</v>
      </c>
      <c r="R560" s="1">
        <v>0</v>
      </c>
      <c r="S560" s="1">
        <v>69.8</v>
      </c>
      <c r="T560" s="6">
        <v>0.09</v>
      </c>
      <c r="U560" s="6">
        <v>0</v>
      </c>
    </row>
    <row r="561" spans="1:21" customFormat="1">
      <c r="A561">
        <v>1</v>
      </c>
      <c r="B561">
        <v>30</v>
      </c>
      <c r="C561">
        <v>20</v>
      </c>
      <c r="D561">
        <v>4</v>
      </c>
      <c r="E561">
        <v>2020</v>
      </c>
      <c r="F561">
        <v>13103</v>
      </c>
      <c r="G561" t="str">
        <f>VLOOKUP(F561,'[1]Sheet 1'!$B$2:$E$347,2,FALSE)</f>
        <v>Metropolitana de Santiago</v>
      </c>
      <c r="H561" t="str">
        <f>VLOOKUP(F561,'[1]Sheet 1'!$B$2:$E$347,3,FALSE)</f>
        <v>Santiago</v>
      </c>
      <c r="I561" t="str">
        <f>VLOOKUP(F561,'[1]Sheet 1'!$B$2:$E$347,4,FALSE)</f>
        <v>Cerro Navia</v>
      </c>
      <c r="J561" t="s">
        <v>136</v>
      </c>
      <c r="K561" s="3" t="s">
        <v>0</v>
      </c>
      <c r="L561" s="12" t="str">
        <f>VLOOKUP(K561,[2]Hoja4!$A$2:$C$443,2,FALSE)</f>
        <v>Intentional self-harm by hanging, strangulation and suffocation</v>
      </c>
      <c r="M561" s="12" t="str">
        <f>VLOOKUP(K561,[2]Hoja4!$A$2:$C$443,3,FALSE)</f>
        <v>Unspecified place</v>
      </c>
      <c r="N561" s="1">
        <v>11.2</v>
      </c>
      <c r="O561" s="1">
        <v>30.4</v>
      </c>
      <c r="P561" s="1">
        <v>19.7</v>
      </c>
      <c r="Q561" s="1">
        <v>955.8</v>
      </c>
      <c r="R561" s="1"/>
      <c r="S561" s="1">
        <v>65.2</v>
      </c>
      <c r="T561" s="6">
        <v>0.09</v>
      </c>
      <c r="U561" s="6">
        <v>0</v>
      </c>
    </row>
    <row r="562" spans="1:21" customFormat="1">
      <c r="A562">
        <v>1</v>
      </c>
      <c r="B562">
        <v>22</v>
      </c>
      <c r="C562">
        <v>20</v>
      </c>
      <c r="D562">
        <v>4</v>
      </c>
      <c r="E562">
        <v>2020</v>
      </c>
      <c r="F562">
        <v>7301</v>
      </c>
      <c r="G562" t="str">
        <f>VLOOKUP(F562,'[1]Sheet 1'!$B$2:$E$347,2,FALSE)</f>
        <v>Maule</v>
      </c>
      <c r="H562" t="str">
        <f>VLOOKUP(F562,'[1]Sheet 1'!$B$2:$E$347,3,FALSE)</f>
        <v>Curicó</v>
      </c>
      <c r="I562" t="str">
        <f>VLOOKUP(F562,'[1]Sheet 1'!$B$2:$E$347,4,FALSE)</f>
        <v>Curicó</v>
      </c>
      <c r="J562" t="s">
        <v>136</v>
      </c>
      <c r="K562" s="3" t="s">
        <v>0</v>
      </c>
      <c r="L562" s="12" t="str">
        <f>VLOOKUP(K562,[2]Hoja4!$A$2:$C$443,2,FALSE)</f>
        <v>Intentional self-harm by hanging, strangulation and suffocation</v>
      </c>
      <c r="M562" s="12" t="str">
        <f>VLOOKUP(K562,[2]Hoja4!$A$2:$C$443,3,FALSE)</f>
        <v>Unspecified place</v>
      </c>
      <c r="N562" s="1">
        <v>8.4</v>
      </c>
      <c r="O562" s="1">
        <v>24.6</v>
      </c>
      <c r="P562" s="1">
        <v>15.5</v>
      </c>
      <c r="Q562" s="1">
        <v>991</v>
      </c>
      <c r="R562" s="1">
        <v>0</v>
      </c>
      <c r="S562" s="1">
        <v>65</v>
      </c>
      <c r="T562" s="6">
        <v>0.09</v>
      </c>
      <c r="U562" s="6">
        <v>0</v>
      </c>
    </row>
    <row r="563" spans="1:21" customFormat="1">
      <c r="A563">
        <v>1</v>
      </c>
      <c r="B563">
        <v>79</v>
      </c>
      <c r="C563">
        <v>22</v>
      </c>
      <c r="D563">
        <v>4</v>
      </c>
      <c r="E563">
        <v>2020</v>
      </c>
      <c r="F563">
        <v>6101</v>
      </c>
      <c r="G563" t="str">
        <f>VLOOKUP(F563,'[1]Sheet 1'!$B$2:$E$347,2,FALSE)</f>
        <v>Libertador General Bernardo O'Higgins</v>
      </c>
      <c r="H563" t="str">
        <f>VLOOKUP(F563,'[1]Sheet 1'!$B$2:$E$347,3,FALSE)</f>
        <v>Cachapoal</v>
      </c>
      <c r="I563" t="str">
        <f>VLOOKUP(F563,'[1]Sheet 1'!$B$2:$E$347,4,FALSE)</f>
        <v>Rancagua</v>
      </c>
      <c r="J563" t="s">
        <v>136</v>
      </c>
      <c r="K563" s="3" t="s">
        <v>0</v>
      </c>
      <c r="L563" s="12" t="str">
        <f>VLOOKUP(K563,[2]Hoja4!$A$2:$C$443,2,FALSE)</f>
        <v>Intentional self-harm by hanging, strangulation and suffocation</v>
      </c>
      <c r="M563" s="12" t="str">
        <f>VLOOKUP(K563,[2]Hoja4!$A$2:$C$443,3,FALSE)</f>
        <v>Unspecified place</v>
      </c>
      <c r="N563" s="1">
        <v>10.8</v>
      </c>
      <c r="O563" s="1" t="s">
        <v>61</v>
      </c>
      <c r="P563" s="1">
        <v>18.100000000000001</v>
      </c>
      <c r="Q563" s="1">
        <v>957.3</v>
      </c>
      <c r="R563" s="1">
        <v>0</v>
      </c>
      <c r="S563" s="1">
        <v>55.4</v>
      </c>
      <c r="T563" s="6">
        <v>0.09</v>
      </c>
      <c r="U563" s="6">
        <v>0</v>
      </c>
    </row>
    <row r="564" spans="1:21" customFormat="1">
      <c r="A564">
        <v>1</v>
      </c>
      <c r="B564">
        <v>64</v>
      </c>
      <c r="C564">
        <v>22</v>
      </c>
      <c r="D564">
        <v>4</v>
      </c>
      <c r="E564">
        <v>2020</v>
      </c>
      <c r="F564">
        <v>13301</v>
      </c>
      <c r="G564" t="str">
        <f>VLOOKUP(F564,'[1]Sheet 1'!$B$2:$E$347,2,FALSE)</f>
        <v>Metropolitana de Santiago</v>
      </c>
      <c r="H564" t="str">
        <f>VLOOKUP(F564,'[1]Sheet 1'!$B$2:$E$347,3,FALSE)</f>
        <v>Chacabuco</v>
      </c>
      <c r="I564" t="str">
        <f>VLOOKUP(F564,'[1]Sheet 1'!$B$2:$E$347,4,FALSE)</f>
        <v>Colina</v>
      </c>
      <c r="J564" t="s">
        <v>136</v>
      </c>
      <c r="K564" s="3" t="s">
        <v>0</v>
      </c>
      <c r="L564" s="12" t="str">
        <f>VLOOKUP(K564,[2]Hoja4!$A$2:$C$443,2,FALSE)</f>
        <v>Intentional self-harm by hanging, strangulation and suffocation</v>
      </c>
      <c r="M564" s="12" t="str">
        <f>VLOOKUP(K564,[2]Hoja4!$A$2:$C$443,3,FALSE)</f>
        <v>Unspecified place</v>
      </c>
      <c r="N564" s="1">
        <v>10.5</v>
      </c>
      <c r="O564" s="1">
        <v>28.4</v>
      </c>
      <c r="P564" s="1">
        <v>19.7</v>
      </c>
      <c r="Q564" s="1">
        <v>936.1</v>
      </c>
      <c r="R564" s="1"/>
      <c r="S564" s="1">
        <v>43.5</v>
      </c>
      <c r="T564" s="6">
        <v>0.09</v>
      </c>
      <c r="U564" s="6">
        <v>0</v>
      </c>
    </row>
    <row r="565" spans="1:21" customFormat="1">
      <c r="A565">
        <v>1</v>
      </c>
      <c r="B565">
        <v>59</v>
      </c>
      <c r="C565">
        <v>22</v>
      </c>
      <c r="D565">
        <v>4</v>
      </c>
      <c r="E565">
        <v>2020</v>
      </c>
      <c r="F565">
        <v>8105</v>
      </c>
      <c r="G565" t="str">
        <f>VLOOKUP(F565,'[1]Sheet 1'!$B$2:$E$347,2,FALSE)</f>
        <v>Biobío</v>
      </c>
      <c r="H565" t="str">
        <f>VLOOKUP(F565,'[1]Sheet 1'!$B$2:$E$347,3,FALSE)</f>
        <v>Concepción</v>
      </c>
      <c r="I565" t="str">
        <f>VLOOKUP(F565,'[1]Sheet 1'!$B$2:$E$347,4,FALSE)</f>
        <v>Hualqui</v>
      </c>
      <c r="J565" t="s">
        <v>136</v>
      </c>
      <c r="K565" s="3" t="s">
        <v>0</v>
      </c>
      <c r="L565" s="12" t="str">
        <f>VLOOKUP(K565,[2]Hoja4!$A$2:$C$443,2,FALSE)</f>
        <v>Intentional self-harm by hanging, strangulation and suffocation</v>
      </c>
      <c r="M565" s="12" t="str">
        <f>VLOOKUP(K565,[2]Hoja4!$A$2:$C$443,3,FALSE)</f>
        <v>Unspecified place</v>
      </c>
      <c r="N565" s="1">
        <v>11.4</v>
      </c>
      <c r="O565" s="1">
        <v>19.8</v>
      </c>
      <c r="P565" s="1">
        <v>15</v>
      </c>
      <c r="Q565" s="1">
        <v>1012.5</v>
      </c>
      <c r="R565" s="1">
        <v>0</v>
      </c>
      <c r="S565" s="1">
        <v>72</v>
      </c>
      <c r="T565" s="6">
        <v>0.09</v>
      </c>
      <c r="U565" s="6">
        <v>0</v>
      </c>
    </row>
    <row r="566" spans="1:21" customFormat="1">
      <c r="A566">
        <v>1</v>
      </c>
      <c r="B566">
        <v>54</v>
      </c>
      <c r="C566">
        <v>22</v>
      </c>
      <c r="D566">
        <v>4</v>
      </c>
      <c r="E566">
        <v>2020</v>
      </c>
      <c r="F566">
        <v>16101</v>
      </c>
      <c r="G566" t="str">
        <f>VLOOKUP(F566,'[1]Sheet 1'!$B$2:$E$347,2,FALSE)</f>
        <v>Ñuble</v>
      </c>
      <c r="H566" t="str">
        <f>VLOOKUP(F566,'[1]Sheet 1'!$B$2:$E$347,3,FALSE)</f>
        <v>Diguillín</v>
      </c>
      <c r="I566" t="str">
        <f>VLOOKUP(F566,'[1]Sheet 1'!$B$2:$E$347,4,FALSE)</f>
        <v>Chillán</v>
      </c>
      <c r="J566" t="s">
        <v>136</v>
      </c>
      <c r="K566" s="3" t="s">
        <v>0</v>
      </c>
      <c r="L566" s="12" t="str">
        <f>VLOOKUP(K566,[2]Hoja4!$A$2:$C$443,2,FALSE)</f>
        <v>Intentional self-harm by hanging, strangulation and suffocation</v>
      </c>
      <c r="M566" s="12" t="str">
        <f>VLOOKUP(K566,[2]Hoja4!$A$2:$C$443,3,FALSE)</f>
        <v>Unspecified place</v>
      </c>
      <c r="N566" s="1">
        <v>5.6</v>
      </c>
      <c r="O566" s="1">
        <v>27.1</v>
      </c>
      <c r="P566" s="1">
        <v>15.5</v>
      </c>
      <c r="Q566" s="1">
        <v>994.9</v>
      </c>
      <c r="R566" s="1">
        <v>0</v>
      </c>
      <c r="S566" s="1">
        <v>67</v>
      </c>
      <c r="T566" s="6">
        <v>0.09</v>
      </c>
      <c r="U566" s="6">
        <v>0</v>
      </c>
    </row>
    <row r="567" spans="1:21" customFormat="1">
      <c r="A567">
        <v>1</v>
      </c>
      <c r="B567">
        <v>48</v>
      </c>
      <c r="C567">
        <v>22</v>
      </c>
      <c r="D567">
        <v>4</v>
      </c>
      <c r="E567">
        <v>2020</v>
      </c>
      <c r="F567">
        <v>9201</v>
      </c>
      <c r="G567" t="str">
        <f>VLOOKUP(F567,'[1]Sheet 1'!$B$2:$E$347,2,FALSE)</f>
        <v>La Araucanía</v>
      </c>
      <c r="H567" t="str">
        <f>VLOOKUP(F567,'[1]Sheet 1'!$B$2:$E$347,3,FALSE)</f>
        <v>Malleco</v>
      </c>
      <c r="I567" t="str">
        <f>VLOOKUP(F567,'[1]Sheet 1'!$B$2:$E$347,4,FALSE)</f>
        <v>Angol</v>
      </c>
      <c r="J567" t="s">
        <v>136</v>
      </c>
      <c r="K567" s="3" t="s">
        <v>17</v>
      </c>
      <c r="L567" s="12" t="str">
        <f>VLOOKUP(K567,[2]Hoja4!$A$2:$C$443,2,FALSE)</f>
        <v>Intentional self-harm by hanging, strangulation and suffocation</v>
      </c>
      <c r="M567" s="12" t="str">
        <f>VLOOKUP(K567,[2]Hoja4!$A$2:$C$443,3,FALSE)</f>
        <v>Industrial and construction area</v>
      </c>
      <c r="N567" s="1">
        <v>5.5</v>
      </c>
      <c r="O567" s="1">
        <v>27</v>
      </c>
      <c r="P567" s="1">
        <v>14.5</v>
      </c>
      <c r="Q567" s="1">
        <v>502.1</v>
      </c>
      <c r="R567" s="1">
        <v>0</v>
      </c>
      <c r="S567" s="1">
        <v>71</v>
      </c>
      <c r="T567" s="6">
        <v>0.09</v>
      </c>
      <c r="U567" s="6">
        <v>0</v>
      </c>
    </row>
    <row r="568" spans="1:21" customFormat="1">
      <c r="A568">
        <v>1</v>
      </c>
      <c r="B568">
        <v>43</v>
      </c>
      <c r="C568">
        <v>22</v>
      </c>
      <c r="D568">
        <v>4</v>
      </c>
      <c r="E568">
        <v>2020</v>
      </c>
      <c r="F568">
        <v>13122</v>
      </c>
      <c r="G568" t="str">
        <f>VLOOKUP(F568,'[1]Sheet 1'!$B$2:$E$347,2,FALSE)</f>
        <v>Metropolitana de Santiago</v>
      </c>
      <c r="H568" t="str">
        <f>VLOOKUP(F568,'[1]Sheet 1'!$B$2:$E$347,3,FALSE)</f>
        <v>Santiago</v>
      </c>
      <c r="I568" t="str">
        <f>VLOOKUP(F568,'[1]Sheet 1'!$B$2:$E$347,4,FALSE)</f>
        <v>Peñalolén</v>
      </c>
      <c r="J568" t="s">
        <v>136</v>
      </c>
      <c r="K568" s="3" t="s">
        <v>0</v>
      </c>
      <c r="L568" s="12" t="str">
        <f>VLOOKUP(K568,[2]Hoja4!$A$2:$C$443,2,FALSE)</f>
        <v>Intentional self-harm by hanging, strangulation and suffocation</v>
      </c>
      <c r="M568" s="12" t="str">
        <f>VLOOKUP(K568,[2]Hoja4!$A$2:$C$443,3,FALSE)</f>
        <v>Unspecified place</v>
      </c>
      <c r="N568" s="1">
        <v>11.1</v>
      </c>
      <c r="O568" s="1">
        <v>27.8</v>
      </c>
      <c r="P568" s="1">
        <v>19</v>
      </c>
      <c r="Q568" s="1">
        <v>953.9</v>
      </c>
      <c r="R568" s="1"/>
      <c r="S568" s="1">
        <v>64.2</v>
      </c>
      <c r="T568" s="6">
        <v>0.09</v>
      </c>
      <c r="U568" s="6">
        <v>0</v>
      </c>
    </row>
    <row r="569" spans="1:21" customFormat="1">
      <c r="A569">
        <v>1</v>
      </c>
      <c r="B569">
        <v>41</v>
      </c>
      <c r="C569">
        <v>22</v>
      </c>
      <c r="D569">
        <v>4</v>
      </c>
      <c r="E569">
        <v>2020</v>
      </c>
      <c r="F569">
        <v>10101</v>
      </c>
      <c r="G569" t="str">
        <f>VLOOKUP(F569,'[1]Sheet 1'!$B$2:$E$347,2,FALSE)</f>
        <v>Los Lagos</v>
      </c>
      <c r="H569" t="str">
        <f>VLOOKUP(F569,'[1]Sheet 1'!$B$2:$E$347,3,FALSE)</f>
        <v>Llanquihue</v>
      </c>
      <c r="I569" t="str">
        <f>VLOOKUP(F569,'[1]Sheet 1'!$B$2:$E$347,4,FALSE)</f>
        <v>Puerto Montt</v>
      </c>
      <c r="J569" t="s">
        <v>136</v>
      </c>
      <c r="K569" s="3" t="s">
        <v>4</v>
      </c>
      <c r="L569" s="12" t="str">
        <f>VLOOKUP(K569,[2]Hoja4!$A$2:$C$443,2,FALSE)</f>
        <v>Intentional self-harm by hanging, strangulation and suffocation</v>
      </c>
      <c r="M569" s="12" t="str">
        <f>VLOOKUP(K569,[2]Hoja4!$A$2:$C$443,3,FALSE)</f>
        <v>At home</v>
      </c>
      <c r="N569" s="1">
        <v>1.2</v>
      </c>
      <c r="O569" s="1">
        <v>18</v>
      </c>
      <c r="P569" s="1">
        <v>7.5</v>
      </c>
      <c r="Q569" s="1">
        <v>1003.4</v>
      </c>
      <c r="R569" s="1">
        <v>2</v>
      </c>
      <c r="S569" s="1">
        <v>88.2</v>
      </c>
      <c r="T569" s="6">
        <v>0.09</v>
      </c>
      <c r="U569" s="6">
        <v>0</v>
      </c>
    </row>
    <row r="570" spans="1:21" customFormat="1">
      <c r="A570">
        <v>1</v>
      </c>
      <c r="B570">
        <v>38</v>
      </c>
      <c r="C570">
        <v>22</v>
      </c>
      <c r="D570">
        <v>4</v>
      </c>
      <c r="E570">
        <v>2020</v>
      </c>
      <c r="F570">
        <v>6104</v>
      </c>
      <c r="G570" t="str">
        <f>VLOOKUP(F570,'[1]Sheet 1'!$B$2:$E$347,2,FALSE)</f>
        <v>Libertador General Bernardo O'Higgins</v>
      </c>
      <c r="H570" t="str">
        <f>VLOOKUP(F570,'[1]Sheet 1'!$B$2:$E$347,3,FALSE)</f>
        <v>Cachapoal</v>
      </c>
      <c r="I570" t="str">
        <f>VLOOKUP(F570,'[1]Sheet 1'!$B$2:$E$347,4,FALSE)</f>
        <v>Coltauco</v>
      </c>
      <c r="J570" t="s">
        <v>136</v>
      </c>
      <c r="K570" s="3" t="s">
        <v>0</v>
      </c>
      <c r="L570" s="12" t="str">
        <f>VLOOKUP(K570,[2]Hoja4!$A$2:$C$443,2,FALSE)</f>
        <v>Intentional self-harm by hanging, strangulation and suffocation</v>
      </c>
      <c r="M570" s="12" t="str">
        <f>VLOOKUP(K570,[2]Hoja4!$A$2:$C$443,3,FALSE)</f>
        <v>Unspecified place</v>
      </c>
      <c r="N570" s="1">
        <v>10.8</v>
      </c>
      <c r="O570" s="1" t="s">
        <v>61</v>
      </c>
      <c r="P570" s="1">
        <v>18.100000000000001</v>
      </c>
      <c r="Q570" s="1">
        <v>957.3</v>
      </c>
      <c r="R570" s="1">
        <v>0</v>
      </c>
      <c r="S570" s="1">
        <v>55.4</v>
      </c>
      <c r="T570" s="6">
        <v>0.09</v>
      </c>
      <c r="U570" s="6">
        <v>0</v>
      </c>
    </row>
    <row r="571" spans="1:21" customFormat="1">
      <c r="A571">
        <v>2</v>
      </c>
      <c r="B571">
        <v>54</v>
      </c>
      <c r="C571">
        <v>22</v>
      </c>
      <c r="D571">
        <v>4</v>
      </c>
      <c r="E571">
        <v>2020</v>
      </c>
      <c r="F571">
        <v>13103</v>
      </c>
      <c r="G571" t="str">
        <f>VLOOKUP(F571,'[1]Sheet 1'!$B$2:$E$347,2,FALSE)</f>
        <v>Metropolitana de Santiago</v>
      </c>
      <c r="H571" t="str">
        <f>VLOOKUP(F571,'[1]Sheet 1'!$B$2:$E$347,3,FALSE)</f>
        <v>Santiago</v>
      </c>
      <c r="I571" t="str">
        <f>VLOOKUP(F571,'[1]Sheet 1'!$B$2:$E$347,4,FALSE)</f>
        <v>Cerro Navia</v>
      </c>
      <c r="J571" t="s">
        <v>136</v>
      </c>
      <c r="K571" s="3" t="s">
        <v>0</v>
      </c>
      <c r="L571" s="12" t="str">
        <f>VLOOKUP(K571,[2]Hoja4!$A$2:$C$443,2,FALSE)</f>
        <v>Intentional self-harm by hanging, strangulation and suffocation</v>
      </c>
      <c r="M571" s="12" t="str">
        <f>VLOOKUP(K571,[2]Hoja4!$A$2:$C$443,3,FALSE)</f>
        <v>Unspecified place</v>
      </c>
      <c r="N571" s="1">
        <v>11.1</v>
      </c>
      <c r="O571" s="1">
        <v>27.8</v>
      </c>
      <c r="P571" s="1">
        <v>19</v>
      </c>
      <c r="Q571" s="1">
        <v>953.9</v>
      </c>
      <c r="R571" s="1"/>
      <c r="S571" s="1">
        <v>64.2</v>
      </c>
      <c r="T571" s="6">
        <v>0.09</v>
      </c>
      <c r="U571" s="6">
        <v>0</v>
      </c>
    </row>
    <row r="572" spans="1:21" customFormat="1">
      <c r="A572">
        <v>2</v>
      </c>
      <c r="B572">
        <v>19</v>
      </c>
      <c r="C572">
        <v>22</v>
      </c>
      <c r="D572">
        <v>4</v>
      </c>
      <c r="E572">
        <v>2020</v>
      </c>
      <c r="F572">
        <v>5804</v>
      </c>
      <c r="G572" t="str">
        <f>VLOOKUP(F572,'[1]Sheet 1'!$B$2:$E$347,2,FALSE)</f>
        <v>Valparaíso</v>
      </c>
      <c r="H572" t="str">
        <f>VLOOKUP(F572,'[1]Sheet 1'!$B$2:$E$347,3,FALSE)</f>
        <v>Marga Marga</v>
      </c>
      <c r="I572" t="str">
        <f>VLOOKUP(F572,'[1]Sheet 1'!$B$2:$E$347,4,FALSE)</f>
        <v>Villa Alemana</v>
      </c>
      <c r="J572" t="s">
        <v>136</v>
      </c>
      <c r="K572" s="3" t="s">
        <v>2</v>
      </c>
      <c r="L572" s="12" t="str">
        <f>VLOOKUP(K572,[2]Hoja4!$A$2:$C$443,2,FALSE)</f>
        <v>Intentional self-harm by hanging, strangulation and suffocation</v>
      </c>
      <c r="M572" s="12" t="str">
        <f>VLOOKUP(K572,[2]Hoja4!$A$2:$C$443,3,FALSE)</f>
        <v>Street and highway</v>
      </c>
      <c r="N572" s="1">
        <v>14.8</v>
      </c>
      <c r="O572" s="1">
        <v>19.100000000000001</v>
      </c>
      <c r="P572" s="1">
        <v>16.2</v>
      </c>
      <c r="Q572" s="1">
        <v>1012.2</v>
      </c>
      <c r="R572" s="1">
        <v>0</v>
      </c>
      <c r="S572" s="1">
        <v>85.2</v>
      </c>
      <c r="T572" s="6">
        <v>0.09</v>
      </c>
      <c r="U572" s="6">
        <v>0</v>
      </c>
    </row>
    <row r="573" spans="1:21" customFormat="1">
      <c r="A573">
        <v>1</v>
      </c>
      <c r="B573">
        <v>65</v>
      </c>
      <c r="C573">
        <v>23</v>
      </c>
      <c r="D573">
        <v>4</v>
      </c>
      <c r="E573">
        <v>2020</v>
      </c>
      <c r="F573">
        <v>13116</v>
      </c>
      <c r="G573" t="str">
        <f>VLOOKUP(F573,'[1]Sheet 1'!$B$2:$E$347,2,FALSE)</f>
        <v>Metropolitana de Santiago</v>
      </c>
      <c r="H573" t="str">
        <f>VLOOKUP(F573,'[1]Sheet 1'!$B$2:$E$347,3,FALSE)</f>
        <v>Santiago</v>
      </c>
      <c r="I573" t="str">
        <f>VLOOKUP(F573,'[1]Sheet 1'!$B$2:$E$347,4,FALSE)</f>
        <v>Lo Espejo</v>
      </c>
      <c r="J573" t="s">
        <v>136</v>
      </c>
      <c r="K573" s="3" t="s">
        <v>0</v>
      </c>
      <c r="L573" s="12" t="str">
        <f>VLOOKUP(K573,[2]Hoja4!$A$2:$C$443,2,FALSE)</f>
        <v>Intentional self-harm by hanging, strangulation and suffocation</v>
      </c>
      <c r="M573" s="12" t="str">
        <f>VLOOKUP(K573,[2]Hoja4!$A$2:$C$443,3,FALSE)</f>
        <v>Unspecified place</v>
      </c>
      <c r="N573" s="1">
        <v>12.2</v>
      </c>
      <c r="O573" s="1">
        <v>18.8</v>
      </c>
      <c r="P573" s="1">
        <v>15.4</v>
      </c>
      <c r="Q573" s="1">
        <v>954.2</v>
      </c>
      <c r="R573" s="1"/>
      <c r="S573" s="1">
        <v>83.2</v>
      </c>
      <c r="T573" s="6">
        <v>0.09</v>
      </c>
      <c r="U573" s="6">
        <v>0</v>
      </c>
    </row>
    <row r="574" spans="1:21" customFormat="1">
      <c r="A574">
        <v>2</v>
      </c>
      <c r="B574">
        <v>59</v>
      </c>
      <c r="C574">
        <v>23</v>
      </c>
      <c r="D574">
        <v>4</v>
      </c>
      <c r="E574">
        <v>2020</v>
      </c>
      <c r="F574">
        <v>14103</v>
      </c>
      <c r="G574" t="str">
        <f>VLOOKUP(F574,'[1]Sheet 1'!$B$2:$E$347,2,FALSE)</f>
        <v>Los Ríos</v>
      </c>
      <c r="H574" t="str">
        <f>VLOOKUP(F574,'[1]Sheet 1'!$B$2:$E$347,3,FALSE)</f>
        <v>Valdivia</v>
      </c>
      <c r="I574" t="str">
        <f>VLOOKUP(F574,'[1]Sheet 1'!$B$2:$E$347,4,FALSE)</f>
        <v>Lanco</v>
      </c>
      <c r="J574" t="s">
        <v>136</v>
      </c>
      <c r="K574" s="3" t="s">
        <v>0</v>
      </c>
      <c r="L574" s="12" t="str">
        <f>VLOOKUP(K574,[2]Hoja4!$A$2:$C$443,2,FALSE)</f>
        <v>Intentional self-harm by hanging, strangulation and suffocation</v>
      </c>
      <c r="M574" s="12" t="str">
        <f>VLOOKUP(K574,[2]Hoja4!$A$2:$C$443,3,FALSE)</f>
        <v>Unspecified place</v>
      </c>
      <c r="N574" s="1">
        <v>6.5</v>
      </c>
      <c r="O574" s="1">
        <v>17.3</v>
      </c>
      <c r="P574" s="1">
        <v>10.7</v>
      </c>
      <c r="Q574" s="1">
        <v>1007.7</v>
      </c>
      <c r="R574" s="1">
        <v>9.1999999999999993</v>
      </c>
      <c r="S574" s="1">
        <v>91.5</v>
      </c>
      <c r="T574" s="6">
        <v>0.09</v>
      </c>
      <c r="U574" s="6">
        <v>0</v>
      </c>
    </row>
    <row r="575" spans="1:21" customFormat="1">
      <c r="A575">
        <v>1</v>
      </c>
      <c r="B575">
        <v>56</v>
      </c>
      <c r="C575">
        <v>24</v>
      </c>
      <c r="D575">
        <v>4</v>
      </c>
      <c r="E575">
        <v>2020</v>
      </c>
      <c r="F575">
        <v>13121</v>
      </c>
      <c r="G575" t="str">
        <f>VLOOKUP(F575,'[1]Sheet 1'!$B$2:$E$347,2,FALSE)</f>
        <v>Metropolitana de Santiago</v>
      </c>
      <c r="H575" t="str">
        <f>VLOOKUP(F575,'[1]Sheet 1'!$B$2:$E$347,3,FALSE)</f>
        <v>Santiago</v>
      </c>
      <c r="I575" t="str">
        <f>VLOOKUP(F575,'[1]Sheet 1'!$B$2:$E$347,4,FALSE)</f>
        <v>Pedro Aguirre Cerda</v>
      </c>
      <c r="J575" t="s">
        <v>136</v>
      </c>
      <c r="K575" s="3" t="s">
        <v>0</v>
      </c>
      <c r="L575" s="12" t="str">
        <f>VLOOKUP(K575,[2]Hoja4!$A$2:$C$443,2,FALSE)</f>
        <v>Intentional self-harm by hanging, strangulation and suffocation</v>
      </c>
      <c r="M575" s="12" t="str">
        <f>VLOOKUP(K575,[2]Hoja4!$A$2:$C$443,3,FALSE)</f>
        <v>Unspecified place</v>
      </c>
      <c r="N575" s="1">
        <v>9</v>
      </c>
      <c r="O575" s="1">
        <v>17.600000000000001</v>
      </c>
      <c r="P575" s="1">
        <v>13.8</v>
      </c>
      <c r="Q575" s="1">
        <v>955.4</v>
      </c>
      <c r="R575" s="1"/>
      <c r="S575" s="1">
        <v>81.8</v>
      </c>
      <c r="T575" s="6">
        <v>0.09</v>
      </c>
      <c r="U575" s="6">
        <v>0</v>
      </c>
    </row>
    <row r="576" spans="1:21" customFormat="1">
      <c r="A576">
        <v>1</v>
      </c>
      <c r="B576">
        <v>52</v>
      </c>
      <c r="C576">
        <v>24</v>
      </c>
      <c r="D576">
        <v>4</v>
      </c>
      <c r="E576">
        <v>2020</v>
      </c>
      <c r="F576">
        <v>13125</v>
      </c>
      <c r="G576" t="str">
        <f>VLOOKUP(F576,'[1]Sheet 1'!$B$2:$E$347,2,FALSE)</f>
        <v>Metropolitana de Santiago</v>
      </c>
      <c r="H576" t="str">
        <f>VLOOKUP(F576,'[1]Sheet 1'!$B$2:$E$347,3,FALSE)</f>
        <v>Santiago</v>
      </c>
      <c r="I576" t="str">
        <f>VLOOKUP(F576,'[1]Sheet 1'!$B$2:$E$347,4,FALSE)</f>
        <v>Quilicura</v>
      </c>
      <c r="J576" t="s">
        <v>136</v>
      </c>
      <c r="K576" s="3" t="s">
        <v>0</v>
      </c>
      <c r="L576" s="12" t="str">
        <f>VLOOKUP(K576,[2]Hoja4!$A$2:$C$443,2,FALSE)</f>
        <v>Intentional self-harm by hanging, strangulation and suffocation</v>
      </c>
      <c r="M576" s="12" t="str">
        <f>VLOOKUP(K576,[2]Hoja4!$A$2:$C$443,3,FALSE)</f>
        <v>Unspecified place</v>
      </c>
      <c r="N576" s="1">
        <v>9</v>
      </c>
      <c r="O576" s="1">
        <v>17.600000000000001</v>
      </c>
      <c r="P576" s="1">
        <v>13.8</v>
      </c>
      <c r="Q576" s="1">
        <v>955.4</v>
      </c>
      <c r="R576" s="1"/>
      <c r="S576" s="1">
        <v>81.8</v>
      </c>
      <c r="T576" s="6">
        <v>0.09</v>
      </c>
      <c r="U576" s="6">
        <v>0</v>
      </c>
    </row>
    <row r="577" spans="1:21" customFormat="1">
      <c r="A577">
        <v>1</v>
      </c>
      <c r="B577">
        <v>34</v>
      </c>
      <c r="C577">
        <v>24</v>
      </c>
      <c r="D577">
        <v>4</v>
      </c>
      <c r="E577">
        <v>2020</v>
      </c>
      <c r="F577">
        <v>7109</v>
      </c>
      <c r="G577" t="str">
        <f>VLOOKUP(F577,'[1]Sheet 1'!$B$2:$E$347,2,FALSE)</f>
        <v>Maule</v>
      </c>
      <c r="H577" t="str">
        <f>VLOOKUP(F577,'[1]Sheet 1'!$B$2:$E$347,3,FALSE)</f>
        <v>Talca</v>
      </c>
      <c r="I577" t="str">
        <f>VLOOKUP(F577,'[1]Sheet 1'!$B$2:$E$347,4,FALSE)</f>
        <v>San Clemente</v>
      </c>
      <c r="J577" t="s">
        <v>136</v>
      </c>
      <c r="K577" s="3" t="s">
        <v>4</v>
      </c>
      <c r="L577" s="12" t="str">
        <f>VLOOKUP(K577,[2]Hoja4!$A$2:$C$443,2,FALSE)</f>
        <v>Intentional self-harm by hanging, strangulation and suffocation</v>
      </c>
      <c r="M577" s="12" t="str">
        <f>VLOOKUP(K577,[2]Hoja4!$A$2:$C$443,3,FALSE)</f>
        <v>At home</v>
      </c>
      <c r="N577" s="1">
        <v>13.8</v>
      </c>
      <c r="O577" s="1">
        <v>16.8</v>
      </c>
      <c r="P577" s="1">
        <v>15.3</v>
      </c>
      <c r="Q577" s="1">
        <v>1001.7</v>
      </c>
      <c r="R577" s="1">
        <v>1.1000000000000001</v>
      </c>
      <c r="S577" s="1">
        <v>97.5</v>
      </c>
      <c r="T577" s="6">
        <v>0.09</v>
      </c>
      <c r="U577" s="6">
        <v>0</v>
      </c>
    </row>
    <row r="578" spans="1:21" customFormat="1">
      <c r="A578">
        <v>1</v>
      </c>
      <c r="B578">
        <v>32</v>
      </c>
      <c r="C578">
        <v>24</v>
      </c>
      <c r="D578">
        <v>4</v>
      </c>
      <c r="E578">
        <v>2020</v>
      </c>
      <c r="F578">
        <v>8301</v>
      </c>
      <c r="G578" t="str">
        <f>VLOOKUP(F578,'[1]Sheet 1'!$B$2:$E$347,2,FALSE)</f>
        <v>Biobío</v>
      </c>
      <c r="H578" t="str">
        <f>VLOOKUP(F578,'[1]Sheet 1'!$B$2:$E$347,3,FALSE)</f>
        <v>Biobío</v>
      </c>
      <c r="I578" t="str">
        <f>VLOOKUP(F578,'[1]Sheet 1'!$B$2:$E$347,4,FALSE)</f>
        <v>Los Angeles</v>
      </c>
      <c r="J578" t="s">
        <v>136</v>
      </c>
      <c r="K578" s="3" t="s">
        <v>4</v>
      </c>
      <c r="L578" s="12" t="str">
        <f>VLOOKUP(K578,[2]Hoja4!$A$2:$C$443,2,FALSE)</f>
        <v>Intentional self-harm by hanging, strangulation and suffocation</v>
      </c>
      <c r="M578" s="12" t="str">
        <f>VLOOKUP(K578,[2]Hoja4!$A$2:$C$443,3,FALSE)</f>
        <v>At home</v>
      </c>
      <c r="N578" s="1">
        <v>10.8</v>
      </c>
      <c r="O578" s="1">
        <v>19</v>
      </c>
      <c r="P578" s="1">
        <v>14.9</v>
      </c>
      <c r="Q578" s="1">
        <v>999.1</v>
      </c>
      <c r="R578" s="1">
        <v>2.2999999999999998</v>
      </c>
      <c r="S578" s="1">
        <v>88.5</v>
      </c>
      <c r="T578" s="6">
        <v>0.09</v>
      </c>
      <c r="U578" s="6">
        <v>0</v>
      </c>
    </row>
    <row r="579" spans="1:21" customFormat="1">
      <c r="A579">
        <v>2</v>
      </c>
      <c r="B579">
        <v>18</v>
      </c>
      <c r="C579">
        <v>24</v>
      </c>
      <c r="D579">
        <v>4</v>
      </c>
      <c r="E579">
        <v>2020</v>
      </c>
      <c r="F579">
        <v>7401</v>
      </c>
      <c r="G579" t="str">
        <f>VLOOKUP(F579,'[1]Sheet 1'!$B$2:$E$347,2,FALSE)</f>
        <v>Maule</v>
      </c>
      <c r="H579" t="str">
        <f>VLOOKUP(F579,'[1]Sheet 1'!$B$2:$E$347,3,FALSE)</f>
        <v>Linares</v>
      </c>
      <c r="I579" t="str">
        <f>VLOOKUP(F579,'[1]Sheet 1'!$B$2:$E$347,4,FALSE)</f>
        <v>Linares</v>
      </c>
      <c r="J579" t="s">
        <v>136</v>
      </c>
      <c r="K579" s="3" t="s">
        <v>4</v>
      </c>
      <c r="L579" s="12" t="str">
        <f>VLOOKUP(K579,[2]Hoja4!$A$2:$C$443,2,FALSE)</f>
        <v>Intentional self-harm by hanging, strangulation and suffocation</v>
      </c>
      <c r="M579" s="12" t="str">
        <f>VLOOKUP(K579,[2]Hoja4!$A$2:$C$443,3,FALSE)</f>
        <v>At home</v>
      </c>
      <c r="N579" s="1">
        <v>11.4</v>
      </c>
      <c r="O579" s="1" t="s">
        <v>54</v>
      </c>
      <c r="P579" s="1">
        <v>14</v>
      </c>
      <c r="Q579" s="1">
        <v>994.5</v>
      </c>
      <c r="R579" s="1">
        <v>4.5</v>
      </c>
      <c r="S579" s="1">
        <v>96.1</v>
      </c>
      <c r="T579" s="6">
        <v>0.09</v>
      </c>
      <c r="U579" s="6">
        <v>0</v>
      </c>
    </row>
    <row r="580" spans="1:21" customFormat="1">
      <c r="A580">
        <v>1</v>
      </c>
      <c r="B580">
        <v>36</v>
      </c>
      <c r="C580">
        <v>25</v>
      </c>
      <c r="D580">
        <v>4</v>
      </c>
      <c r="E580">
        <v>2020</v>
      </c>
      <c r="F580">
        <v>5101</v>
      </c>
      <c r="G580" t="str">
        <f>VLOOKUP(F580,'[1]Sheet 1'!$B$2:$E$347,2,FALSE)</f>
        <v>Valparaíso</v>
      </c>
      <c r="H580" t="str">
        <f>VLOOKUP(F580,'[1]Sheet 1'!$B$2:$E$347,3,FALSE)</f>
        <v>Valparaíso</v>
      </c>
      <c r="I580" t="str">
        <f>VLOOKUP(F580,'[1]Sheet 1'!$B$2:$E$347,4,FALSE)</f>
        <v>Valparaíso</v>
      </c>
      <c r="J580" t="s">
        <v>136</v>
      </c>
      <c r="K580" s="3" t="s">
        <v>4</v>
      </c>
      <c r="L580" s="12" t="str">
        <f>VLOOKUP(K580,[2]Hoja4!$A$2:$C$443,2,FALSE)</f>
        <v>Intentional self-harm by hanging, strangulation and suffocation</v>
      </c>
      <c r="M580" s="12" t="str">
        <f>VLOOKUP(K580,[2]Hoja4!$A$2:$C$443,3,FALSE)</f>
        <v>At home</v>
      </c>
      <c r="N580" s="1">
        <v>10.9</v>
      </c>
      <c r="O580" s="1">
        <v>19.399999999999999</v>
      </c>
      <c r="P580" s="1">
        <v>14.6</v>
      </c>
      <c r="Q580" s="1">
        <v>978.4</v>
      </c>
      <c r="R580" s="1">
        <v>0.1</v>
      </c>
      <c r="S580" s="1">
        <v>84.2</v>
      </c>
      <c r="T580" s="6">
        <v>0.09</v>
      </c>
      <c r="U580" s="6">
        <v>0</v>
      </c>
    </row>
    <row r="581" spans="1:21" customFormat="1">
      <c r="A581">
        <v>1</v>
      </c>
      <c r="B581">
        <v>18</v>
      </c>
      <c r="C581">
        <v>25</v>
      </c>
      <c r="D581">
        <v>4</v>
      </c>
      <c r="E581">
        <v>2020</v>
      </c>
      <c r="F581">
        <v>13101</v>
      </c>
      <c r="G581" t="str">
        <f>VLOOKUP(F581,'[1]Sheet 1'!$B$2:$E$347,2,FALSE)</f>
        <v>Metropolitana de Santiago</v>
      </c>
      <c r="H581" t="str">
        <f>VLOOKUP(F581,'[1]Sheet 1'!$B$2:$E$347,3,FALSE)</f>
        <v>Santiago</v>
      </c>
      <c r="I581" t="str">
        <f>VLOOKUP(F581,'[1]Sheet 1'!$B$2:$E$347,4,FALSE)</f>
        <v>Santiago</v>
      </c>
      <c r="J581" t="s">
        <v>136</v>
      </c>
      <c r="K581" s="3" t="s">
        <v>0</v>
      </c>
      <c r="L581" s="12" t="str">
        <f>VLOOKUP(K581,[2]Hoja4!$A$2:$C$443,2,FALSE)</f>
        <v>Intentional self-harm by hanging, strangulation and suffocation</v>
      </c>
      <c r="M581" s="12" t="str">
        <f>VLOOKUP(K581,[2]Hoja4!$A$2:$C$443,3,FALSE)</f>
        <v>Unspecified place</v>
      </c>
      <c r="N581" s="1">
        <v>7.2</v>
      </c>
      <c r="O581" s="1">
        <v>22.9</v>
      </c>
      <c r="P581" s="1">
        <v>14.1</v>
      </c>
      <c r="Q581" s="1">
        <v>957.3</v>
      </c>
      <c r="R581" s="1"/>
      <c r="S581" s="1">
        <v>74.5</v>
      </c>
      <c r="T581" s="6">
        <v>0.09</v>
      </c>
      <c r="U581" s="6">
        <v>0</v>
      </c>
    </row>
    <row r="582" spans="1:21" customFormat="1">
      <c r="A582">
        <v>1</v>
      </c>
      <c r="B582">
        <v>61</v>
      </c>
      <c r="C582">
        <v>26</v>
      </c>
      <c r="D582">
        <v>4</v>
      </c>
      <c r="E582">
        <v>2020</v>
      </c>
      <c r="F582">
        <v>13202</v>
      </c>
      <c r="G582" t="str">
        <f>VLOOKUP(F582,'[1]Sheet 1'!$B$2:$E$347,2,FALSE)</f>
        <v>Metropolitana de Santiago</v>
      </c>
      <c r="H582" t="str">
        <f>VLOOKUP(F582,'[1]Sheet 1'!$B$2:$E$347,3,FALSE)</f>
        <v>Cordillera</v>
      </c>
      <c r="I582" t="str">
        <f>VLOOKUP(F582,'[1]Sheet 1'!$B$2:$E$347,4,FALSE)</f>
        <v>Pirque</v>
      </c>
      <c r="J582" t="s">
        <v>136</v>
      </c>
      <c r="K582" s="3" t="s">
        <v>0</v>
      </c>
      <c r="L582" s="12" t="str">
        <f>VLOOKUP(K582,[2]Hoja4!$A$2:$C$443,2,FALSE)</f>
        <v>Intentional self-harm by hanging, strangulation and suffocation</v>
      </c>
      <c r="M582" s="12" t="str">
        <f>VLOOKUP(K582,[2]Hoja4!$A$2:$C$443,3,FALSE)</f>
        <v>Unspecified place</v>
      </c>
      <c r="N582" s="1">
        <v>3.4</v>
      </c>
      <c r="O582" s="1">
        <v>22.2</v>
      </c>
      <c r="P582" s="1">
        <v>11.7</v>
      </c>
      <c r="Q582" s="1">
        <v>941.3</v>
      </c>
      <c r="R582" s="1">
        <v>0</v>
      </c>
      <c r="S582" s="1">
        <v>75.5</v>
      </c>
      <c r="T582" s="6">
        <v>0.09</v>
      </c>
      <c r="U582" s="6">
        <v>0</v>
      </c>
    </row>
    <row r="583" spans="1:21" customFormat="1">
      <c r="A583">
        <v>2</v>
      </c>
      <c r="B583">
        <v>61</v>
      </c>
      <c r="C583">
        <v>26</v>
      </c>
      <c r="D583">
        <v>4</v>
      </c>
      <c r="E583">
        <v>2020</v>
      </c>
      <c r="F583">
        <v>6101</v>
      </c>
      <c r="G583" t="str">
        <f>VLOOKUP(F583,'[1]Sheet 1'!$B$2:$E$347,2,FALSE)</f>
        <v>Libertador General Bernardo O'Higgins</v>
      </c>
      <c r="H583" t="str">
        <f>VLOOKUP(F583,'[1]Sheet 1'!$B$2:$E$347,3,FALSE)</f>
        <v>Cachapoal</v>
      </c>
      <c r="I583" t="str">
        <f>VLOOKUP(F583,'[1]Sheet 1'!$B$2:$E$347,4,FALSE)</f>
        <v>Rancagua</v>
      </c>
      <c r="J583" t="s">
        <v>136</v>
      </c>
      <c r="K583" s="3" t="s">
        <v>0</v>
      </c>
      <c r="L583" s="12" t="str">
        <f>VLOOKUP(K583,[2]Hoja4!$A$2:$C$443,2,FALSE)</f>
        <v>Intentional self-harm by hanging, strangulation and suffocation</v>
      </c>
      <c r="M583" s="12" t="str">
        <f>VLOOKUP(K583,[2]Hoja4!$A$2:$C$443,3,FALSE)</f>
        <v>Unspecified place</v>
      </c>
      <c r="N583" s="1">
        <v>7.1</v>
      </c>
      <c r="O583" s="1">
        <v>22.3</v>
      </c>
      <c r="P583" s="1">
        <v>13.9</v>
      </c>
      <c r="Q583" s="1">
        <v>961.2</v>
      </c>
      <c r="R583" s="1">
        <v>0</v>
      </c>
      <c r="S583" s="1">
        <v>74.400000000000006</v>
      </c>
      <c r="T583" s="6">
        <v>0.09</v>
      </c>
      <c r="U583" s="6">
        <v>0</v>
      </c>
    </row>
    <row r="584" spans="1:21" customFormat="1">
      <c r="A584">
        <v>1</v>
      </c>
      <c r="B584">
        <v>57</v>
      </c>
      <c r="C584">
        <v>26</v>
      </c>
      <c r="D584">
        <v>4</v>
      </c>
      <c r="E584">
        <v>2020</v>
      </c>
      <c r="F584">
        <v>9101</v>
      </c>
      <c r="G584" t="str">
        <f>VLOOKUP(F584,'[1]Sheet 1'!$B$2:$E$347,2,FALSE)</f>
        <v>La Araucanía</v>
      </c>
      <c r="H584" t="str">
        <f>VLOOKUP(F584,'[1]Sheet 1'!$B$2:$E$347,3,FALSE)</f>
        <v>Cautín</v>
      </c>
      <c r="I584" t="str">
        <f>VLOOKUP(F584,'[1]Sheet 1'!$B$2:$E$347,4,FALSE)</f>
        <v>Temuco</v>
      </c>
      <c r="J584" t="s">
        <v>139</v>
      </c>
      <c r="K584" s="3" t="s">
        <v>27</v>
      </c>
      <c r="L584" s="12" t="str">
        <f>VLOOKUP(K584,[2]Hoja4!$A$2:$C$443,2,FALSE)</f>
        <v>Intentional self-poisoning by and exposure to other and unspecified chemicals and noxious substances</v>
      </c>
      <c r="M584" s="12" t="str">
        <f>VLOOKUP(K584,[2]Hoja4!$A$2:$C$443,3,FALSE)</f>
        <v>At home</v>
      </c>
      <c r="N584" s="1">
        <v>6.9</v>
      </c>
      <c r="O584" s="1">
        <v>15.9</v>
      </c>
      <c r="P584" s="1">
        <v>11.9</v>
      </c>
      <c r="Q584" s="1">
        <v>1003.4</v>
      </c>
      <c r="R584" s="1">
        <v>3.4</v>
      </c>
      <c r="S584" s="1">
        <v>91</v>
      </c>
      <c r="T584" s="6">
        <v>0.09</v>
      </c>
      <c r="U584" s="6">
        <v>0</v>
      </c>
    </row>
    <row r="585" spans="1:21" customFormat="1">
      <c r="A585">
        <v>1</v>
      </c>
      <c r="B585">
        <v>54</v>
      </c>
      <c r="C585">
        <v>26</v>
      </c>
      <c r="D585">
        <v>4</v>
      </c>
      <c r="E585">
        <v>2020</v>
      </c>
      <c r="F585">
        <v>13108</v>
      </c>
      <c r="G585" t="str">
        <f>VLOOKUP(F585,'[1]Sheet 1'!$B$2:$E$347,2,FALSE)</f>
        <v>Metropolitana de Santiago</v>
      </c>
      <c r="H585" t="str">
        <f>VLOOKUP(F585,'[1]Sheet 1'!$B$2:$E$347,3,FALSE)</f>
        <v>Santiago</v>
      </c>
      <c r="I585" t="str">
        <f>VLOOKUP(F585,'[1]Sheet 1'!$B$2:$E$347,4,FALSE)</f>
        <v>Independencia</v>
      </c>
      <c r="J585" t="s">
        <v>136</v>
      </c>
      <c r="K585" s="3" t="s">
        <v>0</v>
      </c>
      <c r="L585" s="12" t="str">
        <f>VLOOKUP(K585,[2]Hoja4!$A$2:$C$443,2,FALSE)</f>
        <v>Intentional self-harm by hanging, strangulation and suffocation</v>
      </c>
      <c r="M585" s="12" t="str">
        <f>VLOOKUP(K585,[2]Hoja4!$A$2:$C$443,3,FALSE)</f>
        <v>Unspecified place</v>
      </c>
      <c r="N585" s="1">
        <v>8.5</v>
      </c>
      <c r="O585" s="1">
        <v>21.5</v>
      </c>
      <c r="P585" s="1">
        <v>14.4</v>
      </c>
      <c r="Q585" s="1">
        <v>957.8</v>
      </c>
      <c r="R585" s="1"/>
      <c r="S585" s="1">
        <v>73.8</v>
      </c>
      <c r="T585" s="6">
        <v>0.09</v>
      </c>
      <c r="U585" s="6">
        <v>0</v>
      </c>
    </row>
    <row r="586" spans="1:21" customFormat="1">
      <c r="A586">
        <v>1</v>
      </c>
      <c r="B586">
        <v>43</v>
      </c>
      <c r="C586">
        <v>26</v>
      </c>
      <c r="D586">
        <v>4</v>
      </c>
      <c r="E586">
        <v>2020</v>
      </c>
      <c r="F586">
        <v>9101</v>
      </c>
      <c r="G586" t="str">
        <f>VLOOKUP(F586,'[1]Sheet 1'!$B$2:$E$347,2,FALSE)</f>
        <v>La Araucanía</v>
      </c>
      <c r="H586" t="str">
        <f>VLOOKUP(F586,'[1]Sheet 1'!$B$2:$E$347,3,FALSE)</f>
        <v>Cautín</v>
      </c>
      <c r="I586" t="str">
        <f>VLOOKUP(F586,'[1]Sheet 1'!$B$2:$E$347,4,FALSE)</f>
        <v>Temuco</v>
      </c>
      <c r="J586" t="s">
        <v>136</v>
      </c>
      <c r="K586" s="3" t="s">
        <v>0</v>
      </c>
      <c r="L586" s="12" t="str">
        <f>VLOOKUP(K586,[2]Hoja4!$A$2:$C$443,2,FALSE)</f>
        <v>Intentional self-harm by hanging, strangulation and suffocation</v>
      </c>
      <c r="M586" s="12" t="str">
        <f>VLOOKUP(K586,[2]Hoja4!$A$2:$C$443,3,FALSE)</f>
        <v>Unspecified place</v>
      </c>
      <c r="N586" s="1">
        <v>6.9</v>
      </c>
      <c r="O586" s="1">
        <v>15.9</v>
      </c>
      <c r="P586" s="1">
        <v>11.9</v>
      </c>
      <c r="Q586" s="1">
        <v>1003.4</v>
      </c>
      <c r="R586" s="1">
        <v>3.4</v>
      </c>
      <c r="S586" s="1">
        <v>91</v>
      </c>
      <c r="T586" s="6">
        <v>0.09</v>
      </c>
      <c r="U586" s="6">
        <v>0</v>
      </c>
    </row>
    <row r="587" spans="1:21" customFormat="1">
      <c r="A587">
        <v>1</v>
      </c>
      <c r="B587">
        <v>42</v>
      </c>
      <c r="C587">
        <v>26</v>
      </c>
      <c r="D587">
        <v>4</v>
      </c>
      <c r="E587">
        <v>2020</v>
      </c>
      <c r="F587">
        <v>8301</v>
      </c>
      <c r="G587" t="str">
        <f>VLOOKUP(F587,'[1]Sheet 1'!$B$2:$E$347,2,FALSE)</f>
        <v>Biobío</v>
      </c>
      <c r="H587" t="str">
        <f>VLOOKUP(F587,'[1]Sheet 1'!$B$2:$E$347,3,FALSE)</f>
        <v>Biobío</v>
      </c>
      <c r="I587" t="str">
        <f>VLOOKUP(F587,'[1]Sheet 1'!$B$2:$E$347,4,FALSE)</f>
        <v>Los Angeles</v>
      </c>
      <c r="J587" t="s">
        <v>136</v>
      </c>
      <c r="K587" s="3" t="s">
        <v>4</v>
      </c>
      <c r="L587" s="12" t="str">
        <f>VLOOKUP(K587,[2]Hoja4!$A$2:$C$443,2,FALSE)</f>
        <v>Intentional self-harm by hanging, strangulation and suffocation</v>
      </c>
      <c r="M587" s="12" t="str">
        <f>VLOOKUP(K587,[2]Hoja4!$A$2:$C$443,3,FALSE)</f>
        <v>At home</v>
      </c>
      <c r="N587" s="1">
        <v>4</v>
      </c>
      <c r="O587" s="1">
        <v>16</v>
      </c>
      <c r="P587" s="1">
        <v>10</v>
      </c>
      <c r="Q587" s="1">
        <v>1003.4</v>
      </c>
      <c r="R587" s="1">
        <v>0.7</v>
      </c>
      <c r="S587" s="1">
        <v>99</v>
      </c>
      <c r="T587" s="6">
        <v>0.09</v>
      </c>
      <c r="U587" s="6">
        <v>0</v>
      </c>
    </row>
    <row r="588" spans="1:21" customFormat="1">
      <c r="A588">
        <v>1</v>
      </c>
      <c r="B588">
        <v>37</v>
      </c>
      <c r="C588">
        <v>26</v>
      </c>
      <c r="D588">
        <v>4</v>
      </c>
      <c r="E588">
        <v>2020</v>
      </c>
      <c r="F588">
        <v>6101</v>
      </c>
      <c r="G588" t="str">
        <f>VLOOKUP(F588,'[1]Sheet 1'!$B$2:$E$347,2,FALSE)</f>
        <v>Libertador General Bernardo O'Higgins</v>
      </c>
      <c r="H588" t="str">
        <f>VLOOKUP(F588,'[1]Sheet 1'!$B$2:$E$347,3,FALSE)</f>
        <v>Cachapoal</v>
      </c>
      <c r="I588" t="str">
        <f>VLOOKUP(F588,'[1]Sheet 1'!$B$2:$E$347,4,FALSE)</f>
        <v>Rancagua</v>
      </c>
      <c r="J588" t="s">
        <v>136</v>
      </c>
      <c r="K588" s="3" t="s">
        <v>0</v>
      </c>
      <c r="L588" s="12" t="str">
        <f>VLOOKUP(K588,[2]Hoja4!$A$2:$C$443,2,FALSE)</f>
        <v>Intentional self-harm by hanging, strangulation and suffocation</v>
      </c>
      <c r="M588" s="12" t="str">
        <f>VLOOKUP(K588,[2]Hoja4!$A$2:$C$443,3,FALSE)</f>
        <v>Unspecified place</v>
      </c>
      <c r="N588" s="1">
        <v>7.1</v>
      </c>
      <c r="O588" s="1">
        <v>22.3</v>
      </c>
      <c r="P588" s="1">
        <v>13.9</v>
      </c>
      <c r="Q588" s="1">
        <v>961.2</v>
      </c>
      <c r="R588" s="1">
        <v>0</v>
      </c>
      <c r="S588" s="1">
        <v>74.400000000000006</v>
      </c>
      <c r="T588" s="6">
        <v>0.09</v>
      </c>
      <c r="U588" s="6">
        <v>0</v>
      </c>
    </row>
    <row r="589" spans="1:21" customFormat="1">
      <c r="A589">
        <v>1</v>
      </c>
      <c r="B589">
        <v>36</v>
      </c>
      <c r="C589">
        <v>26</v>
      </c>
      <c r="D589">
        <v>4</v>
      </c>
      <c r="E589">
        <v>2020</v>
      </c>
      <c r="F589">
        <v>1101</v>
      </c>
      <c r="G589" t="str">
        <f>VLOOKUP(F589,'[1]Sheet 1'!$B$2:$E$347,2,FALSE)</f>
        <v>Tarapacá</v>
      </c>
      <c r="H589" t="str">
        <f>VLOOKUP(F589,'[1]Sheet 1'!$B$2:$E$347,3,FALSE)</f>
        <v>Iquique</v>
      </c>
      <c r="I589" t="str">
        <f>VLOOKUP(F589,'[1]Sheet 1'!$B$2:$E$347,4,FALSE)</f>
        <v>Iquique</v>
      </c>
      <c r="J589" t="s">
        <v>136</v>
      </c>
      <c r="K589" s="3" t="s">
        <v>4</v>
      </c>
      <c r="L589" s="12" t="str">
        <f>VLOOKUP(K589,[2]Hoja4!$A$2:$C$443,2,FALSE)</f>
        <v>Intentional self-harm by hanging, strangulation and suffocation</v>
      </c>
      <c r="M589" s="12" t="str">
        <f>VLOOKUP(K589,[2]Hoja4!$A$2:$C$443,3,FALSE)</f>
        <v>At home</v>
      </c>
      <c r="N589" s="1">
        <v>17.3</v>
      </c>
      <c r="O589" s="1">
        <v>21.4</v>
      </c>
      <c r="P589" s="1">
        <v>19.2</v>
      </c>
      <c r="Q589" s="1">
        <v>1013.2</v>
      </c>
      <c r="R589" s="1">
        <v>0</v>
      </c>
      <c r="S589" s="1">
        <v>67.7</v>
      </c>
      <c r="T589" s="6">
        <v>0.09</v>
      </c>
      <c r="U589" s="6">
        <v>0</v>
      </c>
    </row>
    <row r="590" spans="1:21" customFormat="1">
      <c r="A590">
        <v>1</v>
      </c>
      <c r="B590">
        <v>35</v>
      </c>
      <c r="C590">
        <v>26</v>
      </c>
      <c r="D590">
        <v>4</v>
      </c>
      <c r="E590">
        <v>2020</v>
      </c>
      <c r="F590">
        <v>5704</v>
      </c>
      <c r="G590" t="str">
        <f>VLOOKUP(F590,'[1]Sheet 1'!$B$2:$E$347,2,FALSE)</f>
        <v>Valparaíso</v>
      </c>
      <c r="H590" t="str">
        <f>VLOOKUP(F590,'[1]Sheet 1'!$B$2:$E$347,3,FALSE)</f>
        <v>San Felipe de Aconcagua</v>
      </c>
      <c r="I590" t="str">
        <f>VLOOKUP(F590,'[1]Sheet 1'!$B$2:$E$347,4,FALSE)</f>
        <v>Panquehue</v>
      </c>
      <c r="J590" t="s">
        <v>136</v>
      </c>
      <c r="K590" s="3" t="s">
        <v>4</v>
      </c>
      <c r="L590" s="12" t="str">
        <f>VLOOKUP(K590,[2]Hoja4!$A$2:$C$443,2,FALSE)</f>
        <v>Intentional self-harm by hanging, strangulation and suffocation</v>
      </c>
      <c r="M590" s="12" t="str">
        <f>VLOOKUP(K590,[2]Hoja4!$A$2:$C$443,3,FALSE)</f>
        <v>At home</v>
      </c>
      <c r="N590" s="1">
        <v>6.2</v>
      </c>
      <c r="O590" s="1">
        <v>23.2</v>
      </c>
      <c r="P590" s="1">
        <v>13.3</v>
      </c>
      <c r="Q590" s="1">
        <v>941.1</v>
      </c>
      <c r="R590" s="1">
        <v>0</v>
      </c>
      <c r="S590" s="1">
        <v>72.2</v>
      </c>
      <c r="T590" s="6">
        <v>0.09</v>
      </c>
      <c r="U590" s="6">
        <v>0</v>
      </c>
    </row>
    <row r="591" spans="1:21" customFormat="1">
      <c r="A591">
        <v>1</v>
      </c>
      <c r="B591">
        <v>66</v>
      </c>
      <c r="C591">
        <v>27</v>
      </c>
      <c r="D591">
        <v>4</v>
      </c>
      <c r="E591">
        <v>2020</v>
      </c>
      <c r="F591">
        <v>13114</v>
      </c>
      <c r="G591" t="str">
        <f>VLOOKUP(F591,'[1]Sheet 1'!$B$2:$E$347,2,FALSE)</f>
        <v>Metropolitana de Santiago</v>
      </c>
      <c r="H591" t="str">
        <f>VLOOKUP(F591,'[1]Sheet 1'!$B$2:$E$347,3,FALSE)</f>
        <v>Santiago</v>
      </c>
      <c r="I591" t="str">
        <f>VLOOKUP(F591,'[1]Sheet 1'!$B$2:$E$347,4,FALSE)</f>
        <v>Las Condes</v>
      </c>
      <c r="J591" t="s">
        <v>142</v>
      </c>
      <c r="K591" s="3" t="s">
        <v>11</v>
      </c>
      <c r="L591" s="12" t="str">
        <f>VLOOKUP(K591,[2]Hoja4!$A$2:$C$443,2,FALSE)</f>
        <v>Intentional self-harm by other and unspecified firearm discharge</v>
      </c>
      <c r="M591" s="12" t="str">
        <f>VLOOKUP(K591,[2]Hoja4!$A$2:$C$443,3,FALSE)</f>
        <v>Unspecified place</v>
      </c>
      <c r="N591" s="1">
        <v>8.6</v>
      </c>
      <c r="O591" s="1">
        <v>21.4</v>
      </c>
      <c r="P591" s="1">
        <v>14.4</v>
      </c>
      <c r="Q591" s="1">
        <v>959.2</v>
      </c>
      <c r="R591" s="1"/>
      <c r="S591" s="1">
        <v>70.8</v>
      </c>
      <c r="T591" s="6">
        <v>0.09</v>
      </c>
      <c r="U591" s="6">
        <v>0</v>
      </c>
    </row>
    <row r="592" spans="1:21" customFormat="1">
      <c r="A592">
        <v>2</v>
      </c>
      <c r="B592">
        <v>71</v>
      </c>
      <c r="C592">
        <v>27</v>
      </c>
      <c r="D592">
        <v>4</v>
      </c>
      <c r="E592">
        <v>2020</v>
      </c>
      <c r="F592">
        <v>4101</v>
      </c>
      <c r="G592" t="str">
        <f>VLOOKUP(F592,'[1]Sheet 1'!$B$2:$E$347,2,FALSE)</f>
        <v>Coquimbo</v>
      </c>
      <c r="H592" t="str">
        <f>VLOOKUP(F592,'[1]Sheet 1'!$B$2:$E$347,3,FALSE)</f>
        <v>Elqui</v>
      </c>
      <c r="I592" t="str">
        <f>VLOOKUP(F592,'[1]Sheet 1'!$B$2:$E$347,4,FALSE)</f>
        <v>La Serena</v>
      </c>
      <c r="J592" t="s">
        <v>136</v>
      </c>
      <c r="K592" s="3" t="s">
        <v>4</v>
      </c>
      <c r="L592" s="12" t="str">
        <f>VLOOKUP(K592,[2]Hoja4!$A$2:$C$443,2,FALSE)</f>
        <v>Intentional self-harm by hanging, strangulation and suffocation</v>
      </c>
      <c r="M592" s="12" t="str">
        <f>VLOOKUP(K592,[2]Hoja4!$A$2:$C$443,3,FALSE)</f>
        <v>At home</v>
      </c>
      <c r="N592" s="1">
        <v>10.7</v>
      </c>
      <c r="O592" s="1">
        <v>19.7</v>
      </c>
      <c r="P592" s="1">
        <v>15</v>
      </c>
      <c r="Q592" s="1">
        <v>1003.1</v>
      </c>
      <c r="R592" s="1">
        <v>0</v>
      </c>
      <c r="S592" s="1">
        <v>76.5</v>
      </c>
      <c r="T592" s="6">
        <v>0.09</v>
      </c>
      <c r="U592" s="6">
        <v>0</v>
      </c>
    </row>
    <row r="593" spans="1:21" customFormat="1">
      <c r="A593">
        <v>2</v>
      </c>
      <c r="B593">
        <v>54</v>
      </c>
      <c r="C593">
        <v>27</v>
      </c>
      <c r="D593">
        <v>4</v>
      </c>
      <c r="E593">
        <v>2020</v>
      </c>
      <c r="F593">
        <v>5601</v>
      </c>
      <c r="G593" t="str">
        <f>VLOOKUP(F593,'[1]Sheet 1'!$B$2:$E$347,2,FALSE)</f>
        <v>Valparaíso</v>
      </c>
      <c r="H593" t="str">
        <f>VLOOKUP(F593,'[1]Sheet 1'!$B$2:$E$347,3,FALSE)</f>
        <v>San Antonio</v>
      </c>
      <c r="I593" t="str">
        <f>VLOOKUP(F593,'[1]Sheet 1'!$B$2:$E$347,4,FALSE)</f>
        <v>San Antonio</v>
      </c>
      <c r="J593" t="s">
        <v>136</v>
      </c>
      <c r="K593" s="3" t="s">
        <v>4</v>
      </c>
      <c r="L593" s="12" t="str">
        <f>VLOOKUP(K593,[2]Hoja4!$A$2:$C$443,2,FALSE)</f>
        <v>Intentional self-harm by hanging, strangulation and suffocation</v>
      </c>
      <c r="M593" s="12" t="str">
        <f>VLOOKUP(K593,[2]Hoja4!$A$2:$C$443,3,FALSE)</f>
        <v>At home</v>
      </c>
      <c r="N593" s="1">
        <v>12</v>
      </c>
      <c r="O593" s="1">
        <v>20</v>
      </c>
      <c r="P593" s="1">
        <v>16.100000000000001</v>
      </c>
      <c r="Q593" s="1">
        <v>1012.2</v>
      </c>
      <c r="R593" s="1">
        <v>0</v>
      </c>
      <c r="S593" s="1">
        <v>77</v>
      </c>
      <c r="T593" s="6">
        <v>0.09</v>
      </c>
      <c r="U593" s="6">
        <v>0</v>
      </c>
    </row>
    <row r="594" spans="1:21" customFormat="1">
      <c r="A594">
        <v>1</v>
      </c>
      <c r="B594">
        <v>57</v>
      </c>
      <c r="C594">
        <v>28</v>
      </c>
      <c r="D594">
        <v>4</v>
      </c>
      <c r="E594">
        <v>2020</v>
      </c>
      <c r="F594">
        <v>7101</v>
      </c>
      <c r="G594" t="str">
        <f>VLOOKUP(F594,'[1]Sheet 1'!$B$2:$E$347,2,FALSE)</f>
        <v>Maule</v>
      </c>
      <c r="H594" t="str">
        <f>VLOOKUP(F594,'[1]Sheet 1'!$B$2:$E$347,3,FALSE)</f>
        <v>Talca</v>
      </c>
      <c r="I594" t="str">
        <f>VLOOKUP(F594,'[1]Sheet 1'!$B$2:$E$347,4,FALSE)</f>
        <v>Talca</v>
      </c>
      <c r="J594" t="s">
        <v>146</v>
      </c>
      <c r="K594" s="3" t="s">
        <v>3</v>
      </c>
      <c r="L594" s="12" t="str">
        <f>VLOOKUP(K594,[2]Hoja4!$A$2:$C$443,2,FALSE)</f>
        <v>Intentional self-poisoning by and exposure to pesticides</v>
      </c>
      <c r="M594" s="12" t="str">
        <f>VLOOKUP(K594,[2]Hoja4!$A$2:$C$443,3,FALSE)</f>
        <v>Unspecified place</v>
      </c>
      <c r="N594" s="1">
        <v>6.7</v>
      </c>
      <c r="O594" s="1">
        <v>20.8</v>
      </c>
      <c r="P594" s="1">
        <v>13.7</v>
      </c>
      <c r="Q594" s="1">
        <v>1009.4</v>
      </c>
      <c r="R594" s="1">
        <v>1.1000000000000001</v>
      </c>
      <c r="S594" s="1">
        <v>81.2</v>
      </c>
      <c r="T594" s="6">
        <v>0.09</v>
      </c>
      <c r="U594" s="6">
        <v>0</v>
      </c>
    </row>
    <row r="595" spans="1:21" customFormat="1">
      <c r="A595">
        <v>1</v>
      </c>
      <c r="B595">
        <v>39</v>
      </c>
      <c r="C595">
        <v>28</v>
      </c>
      <c r="D595">
        <v>4</v>
      </c>
      <c r="E595">
        <v>2020</v>
      </c>
      <c r="F595">
        <v>1101</v>
      </c>
      <c r="G595" t="str">
        <f>VLOOKUP(F595,'[1]Sheet 1'!$B$2:$E$347,2,FALSE)</f>
        <v>Tarapacá</v>
      </c>
      <c r="H595" t="str">
        <f>VLOOKUP(F595,'[1]Sheet 1'!$B$2:$E$347,3,FALSE)</f>
        <v>Iquique</v>
      </c>
      <c r="I595" t="str">
        <f>VLOOKUP(F595,'[1]Sheet 1'!$B$2:$E$347,4,FALSE)</f>
        <v>Iquique</v>
      </c>
      <c r="J595" t="s">
        <v>136</v>
      </c>
      <c r="K595" s="3" t="s">
        <v>4</v>
      </c>
      <c r="L595" s="12" t="str">
        <f>VLOOKUP(K595,[2]Hoja4!$A$2:$C$443,2,FALSE)</f>
        <v>Intentional self-harm by hanging, strangulation and suffocation</v>
      </c>
      <c r="M595" s="12" t="str">
        <f>VLOOKUP(K595,[2]Hoja4!$A$2:$C$443,3,FALSE)</f>
        <v>At home</v>
      </c>
      <c r="N595" s="1">
        <v>17.600000000000001</v>
      </c>
      <c r="O595" s="1">
        <v>20</v>
      </c>
      <c r="P595" s="1">
        <v>18.5</v>
      </c>
      <c r="Q595" s="1">
        <v>1011.8</v>
      </c>
      <c r="R595" s="1">
        <v>0</v>
      </c>
      <c r="S595" s="1">
        <v>72.400000000000006</v>
      </c>
      <c r="T595" s="6">
        <v>0.09</v>
      </c>
      <c r="U595" s="6">
        <v>0</v>
      </c>
    </row>
    <row r="596" spans="1:21" customFormat="1">
      <c r="A596">
        <v>1</v>
      </c>
      <c r="B596">
        <v>35</v>
      </c>
      <c r="C596">
        <v>28</v>
      </c>
      <c r="D596">
        <v>4</v>
      </c>
      <c r="E596">
        <v>2020</v>
      </c>
      <c r="F596">
        <v>2101</v>
      </c>
      <c r="G596" t="str">
        <f>VLOOKUP(F596,'[1]Sheet 1'!$B$2:$E$347,2,FALSE)</f>
        <v>Antofagasta</v>
      </c>
      <c r="H596" t="str">
        <f>VLOOKUP(F596,'[1]Sheet 1'!$B$2:$E$347,3,FALSE)</f>
        <v>Antofagasta</v>
      </c>
      <c r="I596" t="str">
        <f>VLOOKUP(F596,'[1]Sheet 1'!$B$2:$E$347,4,FALSE)</f>
        <v>Antofagasta</v>
      </c>
      <c r="J596" t="s">
        <v>136</v>
      </c>
      <c r="K596" s="3" t="s">
        <v>4</v>
      </c>
      <c r="L596" s="12" t="str">
        <f>VLOOKUP(K596,[2]Hoja4!$A$2:$C$443,2,FALSE)</f>
        <v>Intentional self-harm by hanging, strangulation and suffocation</v>
      </c>
      <c r="M596" s="12" t="str">
        <f>VLOOKUP(K596,[2]Hoja4!$A$2:$C$443,3,FALSE)</f>
        <v>At home</v>
      </c>
      <c r="N596" s="1">
        <v>15.9</v>
      </c>
      <c r="O596" s="1">
        <v>18.8</v>
      </c>
      <c r="P596" s="1">
        <v>16.899999999999999</v>
      </c>
      <c r="Q596" s="1">
        <v>998.3</v>
      </c>
      <c r="R596" s="1">
        <v>0</v>
      </c>
      <c r="S596" s="1">
        <v>75.2</v>
      </c>
      <c r="T596" s="6">
        <v>0.09</v>
      </c>
      <c r="U596" s="6">
        <v>0</v>
      </c>
    </row>
    <row r="597" spans="1:21" customFormat="1">
      <c r="A597">
        <v>2</v>
      </c>
      <c r="B597">
        <v>27</v>
      </c>
      <c r="C597">
        <v>28</v>
      </c>
      <c r="D597">
        <v>4</v>
      </c>
      <c r="E597">
        <v>2020</v>
      </c>
      <c r="F597">
        <v>13131</v>
      </c>
      <c r="G597" t="str">
        <f>VLOOKUP(F597,'[1]Sheet 1'!$B$2:$E$347,2,FALSE)</f>
        <v>Metropolitana de Santiago</v>
      </c>
      <c r="H597" t="str">
        <f>VLOOKUP(F597,'[1]Sheet 1'!$B$2:$E$347,3,FALSE)</f>
        <v>Santiago</v>
      </c>
      <c r="I597" t="str">
        <f>VLOOKUP(F597,'[1]Sheet 1'!$B$2:$E$347,4,FALSE)</f>
        <v>San Ramón</v>
      </c>
      <c r="J597" t="s">
        <v>136</v>
      </c>
      <c r="K597" s="3" t="s">
        <v>0</v>
      </c>
      <c r="L597" s="12" t="str">
        <f>VLOOKUP(K597,[2]Hoja4!$A$2:$C$443,2,FALSE)</f>
        <v>Intentional self-harm by hanging, strangulation and suffocation</v>
      </c>
      <c r="M597" s="12" t="str">
        <f>VLOOKUP(K597,[2]Hoja4!$A$2:$C$443,3,FALSE)</f>
        <v>Unspecified place</v>
      </c>
      <c r="N597" s="1">
        <v>6.9</v>
      </c>
      <c r="O597" s="1">
        <v>23.8</v>
      </c>
      <c r="P597" s="1">
        <v>14.7</v>
      </c>
      <c r="Q597" s="1">
        <v>960.3</v>
      </c>
      <c r="R597" s="1"/>
      <c r="S597" s="1">
        <v>72</v>
      </c>
      <c r="T597" s="6">
        <v>0.09</v>
      </c>
      <c r="U597" s="6">
        <v>0</v>
      </c>
    </row>
    <row r="598" spans="1:21" customFormat="1">
      <c r="A598">
        <v>1</v>
      </c>
      <c r="B598">
        <v>71</v>
      </c>
      <c r="C598">
        <v>29</v>
      </c>
      <c r="D598">
        <v>4</v>
      </c>
      <c r="E598">
        <v>2020</v>
      </c>
      <c r="F598">
        <v>16201</v>
      </c>
      <c r="G598" t="str">
        <f>VLOOKUP(F598,'[1]Sheet 1'!$B$2:$E$347,2,FALSE)</f>
        <v>Ñuble</v>
      </c>
      <c r="H598" t="str">
        <f>VLOOKUP(F598,'[1]Sheet 1'!$B$2:$E$347,3,FALSE)</f>
        <v>Itata</v>
      </c>
      <c r="I598" t="str">
        <f>VLOOKUP(F598,'[1]Sheet 1'!$B$2:$E$347,4,FALSE)</f>
        <v>Quirihue</v>
      </c>
      <c r="J598" t="s">
        <v>136</v>
      </c>
      <c r="K598" s="3" t="s">
        <v>4</v>
      </c>
      <c r="L598" s="12" t="str">
        <f>VLOOKUP(K598,[2]Hoja4!$A$2:$C$443,2,FALSE)</f>
        <v>Intentional self-harm by hanging, strangulation and suffocation</v>
      </c>
      <c r="M598" s="12" t="str">
        <f>VLOOKUP(K598,[2]Hoja4!$A$2:$C$443,3,FALSE)</f>
        <v>At home</v>
      </c>
      <c r="N598" s="1">
        <v>9.1</v>
      </c>
      <c r="O598" s="1" t="s">
        <v>120</v>
      </c>
      <c r="P598" s="1">
        <v>15</v>
      </c>
      <c r="Q598" s="1">
        <v>1006.3</v>
      </c>
      <c r="R598" s="1">
        <v>0.4</v>
      </c>
      <c r="S598" s="1">
        <v>78.400000000000006</v>
      </c>
      <c r="T598" s="6">
        <v>0.09</v>
      </c>
      <c r="U598" s="6">
        <v>0</v>
      </c>
    </row>
    <row r="599" spans="1:21" customFormat="1">
      <c r="A599">
        <v>1</v>
      </c>
      <c r="B599">
        <v>38</v>
      </c>
      <c r="C599">
        <v>29</v>
      </c>
      <c r="D599">
        <v>4</v>
      </c>
      <c r="E599">
        <v>2020</v>
      </c>
      <c r="F599">
        <v>8203</v>
      </c>
      <c r="G599" t="str">
        <f>VLOOKUP(F599,'[1]Sheet 1'!$B$2:$E$347,2,FALSE)</f>
        <v>Biobío</v>
      </c>
      <c r="H599" t="str">
        <f>VLOOKUP(F599,'[1]Sheet 1'!$B$2:$E$347,3,FALSE)</f>
        <v>Arauco</v>
      </c>
      <c r="I599" t="str">
        <f>VLOOKUP(F599,'[1]Sheet 1'!$B$2:$E$347,4,FALSE)</f>
        <v>Cañete</v>
      </c>
      <c r="J599" t="s">
        <v>136</v>
      </c>
      <c r="K599" s="3" t="s">
        <v>4</v>
      </c>
      <c r="L599" s="12" t="str">
        <f>VLOOKUP(K599,[2]Hoja4!$A$2:$C$443,2,FALSE)</f>
        <v>Intentional self-harm by hanging, strangulation and suffocation</v>
      </c>
      <c r="M599" s="12" t="str">
        <f>VLOOKUP(K599,[2]Hoja4!$A$2:$C$443,3,FALSE)</f>
        <v>At home</v>
      </c>
      <c r="N599" s="1">
        <v>6.9</v>
      </c>
      <c r="O599" s="1" t="s">
        <v>53</v>
      </c>
      <c r="P599" s="1">
        <v>11.6</v>
      </c>
      <c r="Q599" s="1">
        <v>1017.7</v>
      </c>
      <c r="R599" s="1">
        <v>0</v>
      </c>
      <c r="S599" s="1">
        <v>86</v>
      </c>
      <c r="T599" s="6">
        <v>0.09</v>
      </c>
      <c r="U599" s="6">
        <v>0</v>
      </c>
    </row>
    <row r="600" spans="1:21" customFormat="1">
      <c r="A600">
        <v>1</v>
      </c>
      <c r="B600">
        <v>32</v>
      </c>
      <c r="C600">
        <v>29</v>
      </c>
      <c r="D600">
        <v>4</v>
      </c>
      <c r="E600">
        <v>2020</v>
      </c>
      <c r="F600">
        <v>7301</v>
      </c>
      <c r="G600" t="str">
        <f>VLOOKUP(F600,'[1]Sheet 1'!$B$2:$E$347,2,FALSE)</f>
        <v>Maule</v>
      </c>
      <c r="H600" t="str">
        <f>VLOOKUP(F600,'[1]Sheet 1'!$B$2:$E$347,3,FALSE)</f>
        <v>Curicó</v>
      </c>
      <c r="I600" t="str">
        <f>VLOOKUP(F600,'[1]Sheet 1'!$B$2:$E$347,4,FALSE)</f>
        <v>Curicó</v>
      </c>
      <c r="J600" t="s">
        <v>136</v>
      </c>
      <c r="K600" s="3" t="s">
        <v>2</v>
      </c>
      <c r="L600" s="12" t="str">
        <f>VLOOKUP(K600,[2]Hoja4!$A$2:$C$443,2,FALSE)</f>
        <v>Intentional self-harm by hanging, strangulation and suffocation</v>
      </c>
      <c r="M600" s="12" t="str">
        <f>VLOOKUP(K600,[2]Hoja4!$A$2:$C$443,3,FALSE)</f>
        <v>Street and highway</v>
      </c>
      <c r="N600" s="1">
        <v>5</v>
      </c>
      <c r="O600" s="1">
        <v>19</v>
      </c>
      <c r="P600" s="1">
        <v>11.4</v>
      </c>
      <c r="Q600" s="1">
        <v>990.8</v>
      </c>
      <c r="R600" s="1">
        <v>0</v>
      </c>
      <c r="S600" s="1">
        <v>77.5</v>
      </c>
      <c r="T600" s="6">
        <v>0.09</v>
      </c>
      <c r="U600" s="6">
        <v>0</v>
      </c>
    </row>
    <row r="601" spans="1:21" customFormat="1">
      <c r="A601">
        <v>1</v>
      </c>
      <c r="B601">
        <v>31</v>
      </c>
      <c r="C601">
        <v>29</v>
      </c>
      <c r="D601">
        <v>4</v>
      </c>
      <c r="E601">
        <v>2020</v>
      </c>
      <c r="F601">
        <v>2101</v>
      </c>
      <c r="G601" t="str">
        <f>VLOOKUP(F601,'[1]Sheet 1'!$B$2:$E$347,2,FALSE)</f>
        <v>Antofagasta</v>
      </c>
      <c r="H601" t="str">
        <f>VLOOKUP(F601,'[1]Sheet 1'!$B$2:$E$347,3,FALSE)</f>
        <v>Antofagasta</v>
      </c>
      <c r="I601" t="str">
        <f>VLOOKUP(F601,'[1]Sheet 1'!$B$2:$E$347,4,FALSE)</f>
        <v>Antofagasta</v>
      </c>
      <c r="J601" t="s">
        <v>136</v>
      </c>
      <c r="K601" s="3" t="s">
        <v>0</v>
      </c>
      <c r="L601" s="12" t="str">
        <f>VLOOKUP(K601,[2]Hoja4!$A$2:$C$443,2,FALSE)</f>
        <v>Intentional self-harm by hanging, strangulation and suffocation</v>
      </c>
      <c r="M601" s="12" t="str">
        <f>VLOOKUP(K601,[2]Hoja4!$A$2:$C$443,3,FALSE)</f>
        <v>Unspecified place</v>
      </c>
      <c r="N601" s="1">
        <v>15.8</v>
      </c>
      <c r="O601" s="1">
        <v>20.3</v>
      </c>
      <c r="P601" s="1">
        <v>17.2</v>
      </c>
      <c r="Q601" s="1">
        <v>999.4</v>
      </c>
      <c r="R601" s="1">
        <v>0</v>
      </c>
      <c r="S601" s="1">
        <v>72.2</v>
      </c>
      <c r="T601" s="6">
        <v>0.09</v>
      </c>
      <c r="U601" s="6">
        <v>0</v>
      </c>
    </row>
    <row r="602" spans="1:21" customFormat="1">
      <c r="A602">
        <v>1</v>
      </c>
      <c r="B602">
        <v>92</v>
      </c>
      <c r="C602">
        <v>30</v>
      </c>
      <c r="D602">
        <v>4</v>
      </c>
      <c r="E602">
        <v>2020</v>
      </c>
      <c r="F602">
        <v>2101</v>
      </c>
      <c r="G602" t="str">
        <f>VLOOKUP(F602,'[1]Sheet 1'!$B$2:$E$347,2,FALSE)</f>
        <v>Antofagasta</v>
      </c>
      <c r="H602" t="str">
        <f>VLOOKUP(F602,'[1]Sheet 1'!$B$2:$E$347,3,FALSE)</f>
        <v>Antofagasta</v>
      </c>
      <c r="I602" t="str">
        <f>VLOOKUP(F602,'[1]Sheet 1'!$B$2:$E$347,4,FALSE)</f>
        <v>Antofagasta</v>
      </c>
      <c r="J602" t="s">
        <v>142</v>
      </c>
      <c r="K602" s="3" t="s">
        <v>5</v>
      </c>
      <c r="L602" s="12" t="str">
        <f>VLOOKUP(K602,[2]Hoja4!$A$2:$C$443,2,FALSE)</f>
        <v>Intentional self-harm by other and unspecified firearm discharge</v>
      </c>
      <c r="M602" s="12" t="str">
        <f>VLOOKUP(K602,[2]Hoja4!$A$2:$C$443,3,FALSE)</f>
        <v>At home</v>
      </c>
      <c r="N602" s="1">
        <v>16.2</v>
      </c>
      <c r="O602" s="1">
        <v>18.7</v>
      </c>
      <c r="P602" s="1">
        <v>16.899999999999999</v>
      </c>
      <c r="Q602" s="1">
        <v>999.9</v>
      </c>
      <c r="R602" s="1">
        <v>0</v>
      </c>
      <c r="S602" s="1">
        <v>72.8</v>
      </c>
      <c r="T602" s="6">
        <v>0.09</v>
      </c>
      <c r="U602" s="6">
        <v>0</v>
      </c>
    </row>
    <row r="603" spans="1:21" customFormat="1">
      <c r="A603">
        <v>1</v>
      </c>
      <c r="B603">
        <v>54</v>
      </c>
      <c r="C603">
        <v>30</v>
      </c>
      <c r="D603">
        <v>4</v>
      </c>
      <c r="E603">
        <v>2020</v>
      </c>
      <c r="F603">
        <v>13129</v>
      </c>
      <c r="G603" t="str">
        <f>VLOOKUP(F603,'[1]Sheet 1'!$B$2:$E$347,2,FALSE)</f>
        <v>Metropolitana de Santiago</v>
      </c>
      <c r="H603" t="str">
        <f>VLOOKUP(F603,'[1]Sheet 1'!$B$2:$E$347,3,FALSE)</f>
        <v>Santiago</v>
      </c>
      <c r="I603" t="str">
        <f>VLOOKUP(F603,'[1]Sheet 1'!$B$2:$E$347,4,FALSE)</f>
        <v>San Joaquín</v>
      </c>
      <c r="J603" t="s">
        <v>136</v>
      </c>
      <c r="K603" s="3" t="s">
        <v>0</v>
      </c>
      <c r="L603" s="12" t="str">
        <f>VLOOKUP(K603,[2]Hoja4!$A$2:$C$443,2,FALSE)</f>
        <v>Intentional self-harm by hanging, strangulation and suffocation</v>
      </c>
      <c r="M603" s="12" t="str">
        <f>VLOOKUP(K603,[2]Hoja4!$A$2:$C$443,3,FALSE)</f>
        <v>Unspecified place</v>
      </c>
      <c r="N603" s="1">
        <v>5.3</v>
      </c>
      <c r="O603" s="1">
        <v>24.1</v>
      </c>
      <c r="P603" s="1">
        <v>13.4</v>
      </c>
      <c r="Q603" s="1">
        <v>958</v>
      </c>
      <c r="R603" s="1"/>
      <c r="S603" s="1">
        <v>63.8</v>
      </c>
      <c r="T603" s="6">
        <v>0.09</v>
      </c>
      <c r="U603" s="6">
        <v>0</v>
      </c>
    </row>
    <row r="604" spans="1:21" customFormat="1">
      <c r="A604">
        <v>1</v>
      </c>
      <c r="B604">
        <v>21</v>
      </c>
      <c r="C604">
        <v>30</v>
      </c>
      <c r="D604">
        <v>4</v>
      </c>
      <c r="E604">
        <v>2020</v>
      </c>
      <c r="F604">
        <v>8301</v>
      </c>
      <c r="G604" t="str">
        <f>VLOOKUP(F604,'[1]Sheet 1'!$B$2:$E$347,2,FALSE)</f>
        <v>Biobío</v>
      </c>
      <c r="H604" t="str">
        <f>VLOOKUP(F604,'[1]Sheet 1'!$B$2:$E$347,3,FALSE)</f>
        <v>Biobío</v>
      </c>
      <c r="I604" t="str">
        <f>VLOOKUP(F604,'[1]Sheet 1'!$B$2:$E$347,4,FALSE)</f>
        <v>Los Angeles</v>
      </c>
      <c r="J604" t="s">
        <v>136</v>
      </c>
      <c r="K604" s="3" t="s">
        <v>4</v>
      </c>
      <c r="L604" s="12" t="str">
        <f>VLOOKUP(K604,[2]Hoja4!$A$2:$C$443,2,FALSE)</f>
        <v>Intentional self-harm by hanging, strangulation and suffocation</v>
      </c>
      <c r="M604" s="12" t="str">
        <f>VLOOKUP(K604,[2]Hoja4!$A$2:$C$443,3,FALSE)</f>
        <v>At home</v>
      </c>
      <c r="N604" s="1">
        <v>4</v>
      </c>
      <c r="O604" s="1">
        <v>21.8</v>
      </c>
      <c r="P604" s="1">
        <v>12.9</v>
      </c>
      <c r="Q604" s="1">
        <v>1007.5</v>
      </c>
      <c r="R604" s="1">
        <v>0</v>
      </c>
      <c r="S604" s="1">
        <v>89</v>
      </c>
      <c r="T604" s="6">
        <v>0.09</v>
      </c>
      <c r="U604" s="6">
        <v>0</v>
      </c>
    </row>
    <row r="605" spans="1:21" customFormat="1">
      <c r="A605">
        <v>2</v>
      </c>
      <c r="B605">
        <v>22</v>
      </c>
      <c r="C605">
        <v>30</v>
      </c>
      <c r="D605">
        <v>4</v>
      </c>
      <c r="E605">
        <v>2020</v>
      </c>
      <c r="F605">
        <v>10202</v>
      </c>
      <c r="G605" t="str">
        <f>VLOOKUP(F605,'[1]Sheet 1'!$B$2:$E$347,2,FALSE)</f>
        <v>Los Lagos</v>
      </c>
      <c r="H605" t="str">
        <f>VLOOKUP(F605,'[1]Sheet 1'!$B$2:$E$347,3,FALSE)</f>
        <v>Chiloé</v>
      </c>
      <c r="I605" t="str">
        <f>VLOOKUP(F605,'[1]Sheet 1'!$B$2:$E$347,4,FALSE)</f>
        <v>Ancud</v>
      </c>
      <c r="J605" t="s">
        <v>136</v>
      </c>
      <c r="K605" s="3" t="s">
        <v>4</v>
      </c>
      <c r="L605" s="12" t="str">
        <f>VLOOKUP(K605,[2]Hoja4!$A$2:$C$443,2,FALSE)</f>
        <v>Intentional self-harm by hanging, strangulation and suffocation</v>
      </c>
      <c r="M605" s="12" t="str">
        <f>VLOOKUP(K605,[2]Hoja4!$A$2:$C$443,3,FALSE)</f>
        <v>At home</v>
      </c>
      <c r="N605" s="1">
        <v>5.5</v>
      </c>
      <c r="O605" s="1">
        <v>14.7</v>
      </c>
      <c r="P605" s="1">
        <v>10.1</v>
      </c>
      <c r="Q605" s="1">
        <v>995.3</v>
      </c>
      <c r="R605" s="1">
        <v>0.2</v>
      </c>
      <c r="S605" s="1">
        <v>92.9</v>
      </c>
      <c r="T605" s="6">
        <v>0.09</v>
      </c>
      <c r="U605" s="6">
        <v>0</v>
      </c>
    </row>
    <row r="606" spans="1:21" customFormat="1">
      <c r="A606">
        <v>1</v>
      </c>
      <c r="B606">
        <v>41</v>
      </c>
      <c r="C606">
        <v>1</v>
      </c>
      <c r="D606">
        <v>5</v>
      </c>
      <c r="E606">
        <v>2020</v>
      </c>
      <c r="F606">
        <v>7301</v>
      </c>
      <c r="G606" t="str">
        <f>VLOOKUP(F606,'[1]Sheet 1'!$B$2:$E$347,2,FALSE)</f>
        <v>Maule</v>
      </c>
      <c r="H606" t="str">
        <f>VLOOKUP(F606,'[1]Sheet 1'!$B$2:$E$347,3,FALSE)</f>
        <v>Curicó</v>
      </c>
      <c r="I606" t="str">
        <f>VLOOKUP(F606,'[1]Sheet 1'!$B$2:$E$347,4,FALSE)</f>
        <v>Curicó</v>
      </c>
      <c r="J606" t="s">
        <v>136</v>
      </c>
      <c r="K606" s="3" t="s">
        <v>4</v>
      </c>
      <c r="L606" s="12" t="str">
        <f>VLOOKUP(K606,[2]Hoja4!$A$2:$C$443,2,FALSE)</f>
        <v>Intentional self-harm by hanging, strangulation and suffocation</v>
      </c>
      <c r="M606" s="12" t="str">
        <f>VLOOKUP(K606,[2]Hoja4!$A$2:$C$443,3,FALSE)</f>
        <v>At home</v>
      </c>
      <c r="N606" s="1">
        <v>3.9</v>
      </c>
      <c r="O606" s="1">
        <v>22.2</v>
      </c>
      <c r="P606" s="1">
        <v>12.2</v>
      </c>
      <c r="Q606" s="1">
        <v>990.1</v>
      </c>
      <c r="R606" s="1">
        <v>0</v>
      </c>
      <c r="S606" s="1">
        <v>75.2</v>
      </c>
      <c r="T606" s="5">
        <v>0.11210000000000001</v>
      </c>
      <c r="U606" s="10">
        <v>-1E-3</v>
      </c>
    </row>
    <row r="607" spans="1:21" customFormat="1">
      <c r="A607">
        <v>1</v>
      </c>
      <c r="B607">
        <v>55</v>
      </c>
      <c r="C607">
        <v>2</v>
      </c>
      <c r="D607">
        <v>5</v>
      </c>
      <c r="E607">
        <v>2020</v>
      </c>
      <c r="F607">
        <v>5501</v>
      </c>
      <c r="G607" t="str">
        <f>VLOOKUP(F607,'[1]Sheet 1'!$B$2:$E$347,2,FALSE)</f>
        <v>Valparaíso</v>
      </c>
      <c r="H607" t="str">
        <f>VLOOKUP(F607,'[1]Sheet 1'!$B$2:$E$347,3,FALSE)</f>
        <v>Quillota</v>
      </c>
      <c r="I607" t="str">
        <f>VLOOKUP(F607,'[1]Sheet 1'!$B$2:$E$347,4,FALSE)</f>
        <v>Quillota</v>
      </c>
      <c r="J607" t="s">
        <v>136</v>
      </c>
      <c r="K607" s="3" t="s">
        <v>4</v>
      </c>
      <c r="L607" s="12" t="str">
        <f>VLOOKUP(K607,[2]Hoja4!$A$2:$C$443,2,FALSE)</f>
        <v>Intentional self-harm by hanging, strangulation and suffocation</v>
      </c>
      <c r="M607" s="12" t="str">
        <f>VLOOKUP(K607,[2]Hoja4!$A$2:$C$443,3,FALSE)</f>
        <v>At home</v>
      </c>
      <c r="N607" s="1">
        <v>10.6</v>
      </c>
      <c r="O607" s="1">
        <v>12.1</v>
      </c>
      <c r="P607" s="1">
        <v>14.1</v>
      </c>
      <c r="Q607" s="1">
        <v>997.8</v>
      </c>
      <c r="R607" s="1">
        <v>0</v>
      </c>
      <c r="S607" s="1">
        <v>75.900000000000006</v>
      </c>
      <c r="T607" s="5">
        <v>0.11210000000000001</v>
      </c>
      <c r="U607" s="10">
        <v>-1E-3</v>
      </c>
    </row>
    <row r="608" spans="1:21" customFormat="1">
      <c r="A608">
        <v>1</v>
      </c>
      <c r="B608">
        <v>31</v>
      </c>
      <c r="C608">
        <v>2</v>
      </c>
      <c r="D608">
        <v>5</v>
      </c>
      <c r="E608">
        <v>2020</v>
      </c>
      <c r="F608">
        <v>6307</v>
      </c>
      <c r="G608" t="str">
        <f>VLOOKUP(F608,'[1]Sheet 1'!$B$2:$E$347,2,FALSE)</f>
        <v>Libertador General Bernardo O'Higgins</v>
      </c>
      <c r="H608" t="str">
        <f>VLOOKUP(F608,'[1]Sheet 1'!$B$2:$E$347,3,FALSE)</f>
        <v>Colchagua</v>
      </c>
      <c r="I608" t="str">
        <f>VLOOKUP(F608,'[1]Sheet 1'!$B$2:$E$347,4,FALSE)</f>
        <v>Peralillo</v>
      </c>
      <c r="J608" t="s">
        <v>136</v>
      </c>
      <c r="K608" s="3" t="s">
        <v>0</v>
      </c>
      <c r="L608" s="12" t="str">
        <f>VLOOKUP(K608,[2]Hoja4!$A$2:$C$443,2,FALSE)</f>
        <v>Intentional self-harm by hanging, strangulation and suffocation</v>
      </c>
      <c r="M608" s="12" t="str">
        <f>VLOOKUP(K608,[2]Hoja4!$A$2:$C$443,3,FALSE)</f>
        <v>Unspecified place</v>
      </c>
      <c r="N608" s="1">
        <v>2.2000000000000002</v>
      </c>
      <c r="O608" s="1">
        <v>19.5</v>
      </c>
      <c r="P608" s="1">
        <v>8.8000000000000007</v>
      </c>
      <c r="Q608" s="1">
        <v>982.8</v>
      </c>
      <c r="R608" s="1">
        <v>0</v>
      </c>
      <c r="S608" s="1">
        <v>83</v>
      </c>
      <c r="T608" s="5">
        <v>0.11210000000000001</v>
      </c>
      <c r="U608" s="10">
        <v>-1E-3</v>
      </c>
    </row>
    <row r="609" spans="1:21" customFormat="1">
      <c r="A609">
        <v>1</v>
      </c>
      <c r="B609">
        <v>21</v>
      </c>
      <c r="C609">
        <v>2</v>
      </c>
      <c r="D609">
        <v>5</v>
      </c>
      <c r="E609">
        <v>2020</v>
      </c>
      <c r="F609">
        <v>15101</v>
      </c>
      <c r="G609" t="str">
        <f>VLOOKUP(F609,'[1]Sheet 1'!$B$2:$E$347,2,FALSE)</f>
        <v>Arica y Parinacota</v>
      </c>
      <c r="H609" t="str">
        <f>VLOOKUP(F609,'[1]Sheet 1'!$B$2:$E$347,3,FALSE)</f>
        <v>Arica</v>
      </c>
      <c r="I609" t="str">
        <f>VLOOKUP(F609,'[1]Sheet 1'!$B$2:$E$347,4,FALSE)</f>
        <v>Arica</v>
      </c>
      <c r="J609" t="s">
        <v>136</v>
      </c>
      <c r="K609" s="3" t="s">
        <v>4</v>
      </c>
      <c r="L609" s="12" t="str">
        <f>VLOOKUP(K609,[2]Hoja4!$A$2:$C$443,2,FALSE)</f>
        <v>Intentional self-harm by hanging, strangulation and suffocation</v>
      </c>
      <c r="M609" s="12" t="str">
        <f>VLOOKUP(K609,[2]Hoja4!$A$2:$C$443,3,FALSE)</f>
        <v>At home</v>
      </c>
      <c r="N609" s="1">
        <v>18.8</v>
      </c>
      <c r="O609" s="1">
        <v>21.8</v>
      </c>
      <c r="P609" s="1">
        <v>20.3</v>
      </c>
      <c r="Q609" s="1">
        <v>1010.3</v>
      </c>
      <c r="R609" s="1">
        <v>0</v>
      </c>
      <c r="S609" s="1">
        <v>68.8</v>
      </c>
      <c r="T609" s="5">
        <v>0.11210000000000001</v>
      </c>
      <c r="U609" s="10">
        <v>-1E-3</v>
      </c>
    </row>
    <row r="610" spans="1:21" customFormat="1">
      <c r="A610">
        <v>1</v>
      </c>
      <c r="B610">
        <v>26</v>
      </c>
      <c r="C610">
        <v>2</v>
      </c>
      <c r="D610">
        <v>5</v>
      </c>
      <c r="E610">
        <v>2020</v>
      </c>
      <c r="F610">
        <v>13108</v>
      </c>
      <c r="G610" t="str">
        <f>VLOOKUP(F610,'[1]Sheet 1'!$B$2:$E$347,2,FALSE)</f>
        <v>Metropolitana de Santiago</v>
      </c>
      <c r="H610" t="str">
        <f>VLOOKUP(F610,'[1]Sheet 1'!$B$2:$E$347,3,FALSE)</f>
        <v>Santiago</v>
      </c>
      <c r="I610" t="str">
        <f>VLOOKUP(F610,'[1]Sheet 1'!$B$2:$E$347,4,FALSE)</f>
        <v>Independencia</v>
      </c>
      <c r="J610" t="s">
        <v>136</v>
      </c>
      <c r="K610" s="3" t="s">
        <v>0</v>
      </c>
      <c r="L610" s="12" t="str">
        <f>VLOOKUP(K610,[2]Hoja4!$A$2:$C$443,2,FALSE)</f>
        <v>Intentional self-harm by hanging, strangulation and suffocation</v>
      </c>
      <c r="M610" s="12" t="str">
        <f>VLOOKUP(K610,[2]Hoja4!$A$2:$C$443,3,FALSE)</f>
        <v>Unspecified place</v>
      </c>
      <c r="N610" s="1">
        <v>5.5</v>
      </c>
      <c r="O610" s="1">
        <v>23.6</v>
      </c>
      <c r="P610" s="1">
        <v>12.7</v>
      </c>
      <c r="Q610" s="1">
        <v>957.4</v>
      </c>
      <c r="R610" s="1"/>
      <c r="S610" s="1">
        <v>71</v>
      </c>
      <c r="T610" s="5">
        <v>0.11210000000000001</v>
      </c>
      <c r="U610" s="10">
        <v>-1E-3</v>
      </c>
    </row>
    <row r="611" spans="1:21" customFormat="1">
      <c r="A611">
        <v>1</v>
      </c>
      <c r="B611">
        <v>71</v>
      </c>
      <c r="C611">
        <v>3</v>
      </c>
      <c r="D611">
        <v>5</v>
      </c>
      <c r="E611">
        <v>2020</v>
      </c>
      <c r="F611">
        <v>7401</v>
      </c>
      <c r="G611" t="str">
        <f>VLOOKUP(F611,'[1]Sheet 1'!$B$2:$E$347,2,FALSE)</f>
        <v>Maule</v>
      </c>
      <c r="H611" t="str">
        <f>VLOOKUP(F611,'[1]Sheet 1'!$B$2:$E$347,3,FALSE)</f>
        <v>Linares</v>
      </c>
      <c r="I611" t="str">
        <f>VLOOKUP(F611,'[1]Sheet 1'!$B$2:$E$347,4,FALSE)</f>
        <v>Linares</v>
      </c>
      <c r="J611" t="s">
        <v>142</v>
      </c>
      <c r="K611" s="3" t="s">
        <v>5</v>
      </c>
      <c r="L611" s="12" t="str">
        <f>VLOOKUP(K611,[2]Hoja4!$A$2:$C$443,2,FALSE)</f>
        <v>Intentional self-harm by other and unspecified firearm discharge</v>
      </c>
      <c r="M611" s="12" t="str">
        <f>VLOOKUP(K611,[2]Hoja4!$A$2:$C$443,3,FALSE)</f>
        <v>At home</v>
      </c>
      <c r="N611" s="1">
        <v>10.5</v>
      </c>
      <c r="O611" s="1">
        <v>17.7</v>
      </c>
      <c r="P611" s="1">
        <v>13.8</v>
      </c>
      <c r="Q611" s="1">
        <v>999.2</v>
      </c>
      <c r="R611" s="1">
        <v>0</v>
      </c>
      <c r="S611" s="1">
        <v>83.3</v>
      </c>
      <c r="T611" s="5">
        <v>0.11210000000000001</v>
      </c>
      <c r="U611" s="10">
        <v>-1E-3</v>
      </c>
    </row>
    <row r="612" spans="1:21" customFormat="1">
      <c r="A612">
        <v>1</v>
      </c>
      <c r="B612">
        <v>53</v>
      </c>
      <c r="C612">
        <v>3</v>
      </c>
      <c r="D612">
        <v>5</v>
      </c>
      <c r="E612">
        <v>2020</v>
      </c>
      <c r="F612">
        <v>13116</v>
      </c>
      <c r="G612" t="str">
        <f>VLOOKUP(F612,'[1]Sheet 1'!$B$2:$E$347,2,FALSE)</f>
        <v>Metropolitana de Santiago</v>
      </c>
      <c r="H612" t="str">
        <f>VLOOKUP(F612,'[1]Sheet 1'!$B$2:$E$347,3,FALSE)</f>
        <v>Santiago</v>
      </c>
      <c r="I612" t="str">
        <f>VLOOKUP(F612,'[1]Sheet 1'!$B$2:$E$347,4,FALSE)</f>
        <v>Lo Espejo</v>
      </c>
      <c r="J612" t="s">
        <v>136</v>
      </c>
      <c r="K612" s="3" t="s">
        <v>0</v>
      </c>
      <c r="L612" s="12" t="str">
        <f>VLOOKUP(K612,[2]Hoja4!$A$2:$C$443,2,FALSE)</f>
        <v>Intentional self-harm by hanging, strangulation and suffocation</v>
      </c>
      <c r="M612" s="12" t="str">
        <f>VLOOKUP(K612,[2]Hoja4!$A$2:$C$443,3,FALSE)</f>
        <v>Unspecified place</v>
      </c>
      <c r="N612" s="1">
        <v>8.6999999999999993</v>
      </c>
      <c r="O612" s="1">
        <v>22.7</v>
      </c>
      <c r="P612" s="1">
        <v>15.2</v>
      </c>
      <c r="Q612" s="1">
        <v>956.9</v>
      </c>
      <c r="R612" s="1"/>
      <c r="S612" s="1">
        <v>69</v>
      </c>
      <c r="T612" s="5">
        <v>0.11210000000000001</v>
      </c>
      <c r="U612" s="10">
        <v>-1E-3</v>
      </c>
    </row>
    <row r="613" spans="1:21" customFormat="1">
      <c r="A613">
        <v>1</v>
      </c>
      <c r="B613">
        <v>49</v>
      </c>
      <c r="C613">
        <v>3</v>
      </c>
      <c r="D613">
        <v>5</v>
      </c>
      <c r="E613">
        <v>2020</v>
      </c>
      <c r="F613">
        <v>2101</v>
      </c>
      <c r="G613" t="str">
        <f>VLOOKUP(F613,'[1]Sheet 1'!$B$2:$E$347,2,FALSE)</f>
        <v>Antofagasta</v>
      </c>
      <c r="H613" t="str">
        <f>VLOOKUP(F613,'[1]Sheet 1'!$B$2:$E$347,3,FALSE)</f>
        <v>Antofagasta</v>
      </c>
      <c r="I613" t="str">
        <f>VLOOKUP(F613,'[1]Sheet 1'!$B$2:$E$347,4,FALSE)</f>
        <v>Antofagasta</v>
      </c>
      <c r="J613" t="s">
        <v>136</v>
      </c>
      <c r="K613" s="3" t="s">
        <v>4</v>
      </c>
      <c r="L613" s="12" t="str">
        <f>VLOOKUP(K613,[2]Hoja4!$A$2:$C$443,2,FALSE)</f>
        <v>Intentional self-harm by hanging, strangulation and suffocation</v>
      </c>
      <c r="M613" s="12" t="str">
        <f>VLOOKUP(K613,[2]Hoja4!$A$2:$C$443,3,FALSE)</f>
        <v>At home</v>
      </c>
      <c r="N613" s="1">
        <v>12.6</v>
      </c>
      <c r="O613" s="1">
        <v>18.3</v>
      </c>
      <c r="P613" s="1">
        <v>15.5</v>
      </c>
      <c r="Q613" s="1">
        <v>997.5</v>
      </c>
      <c r="R613" s="1">
        <v>0</v>
      </c>
      <c r="S613" s="1">
        <v>80.8</v>
      </c>
      <c r="T613" s="5">
        <v>0.11210000000000001</v>
      </c>
      <c r="U613" s="10">
        <v>-1E-3</v>
      </c>
    </row>
    <row r="614" spans="1:21" customFormat="1">
      <c r="A614">
        <v>1</v>
      </c>
      <c r="B614">
        <v>30</v>
      </c>
      <c r="C614">
        <v>3</v>
      </c>
      <c r="D614">
        <v>5</v>
      </c>
      <c r="E614">
        <v>2020</v>
      </c>
      <c r="F614">
        <v>7406</v>
      </c>
      <c r="G614" t="str">
        <f>VLOOKUP(F614,'[1]Sheet 1'!$B$2:$E$347,2,FALSE)</f>
        <v>Maule</v>
      </c>
      <c r="H614" t="str">
        <f>VLOOKUP(F614,'[1]Sheet 1'!$B$2:$E$347,3,FALSE)</f>
        <v>Linares</v>
      </c>
      <c r="I614" t="str">
        <f>VLOOKUP(F614,'[1]Sheet 1'!$B$2:$E$347,4,FALSE)</f>
        <v>San Javier</v>
      </c>
      <c r="J614" t="s">
        <v>136</v>
      </c>
      <c r="K614" s="3" t="s">
        <v>0</v>
      </c>
      <c r="L614" s="12" t="str">
        <f>VLOOKUP(K614,[2]Hoja4!$A$2:$C$443,2,FALSE)</f>
        <v>Intentional self-harm by hanging, strangulation and suffocation</v>
      </c>
      <c r="M614" s="12" t="str">
        <f>VLOOKUP(K614,[2]Hoja4!$A$2:$C$443,3,FALSE)</f>
        <v>Unspecified place</v>
      </c>
      <c r="N614" s="1">
        <v>10.5</v>
      </c>
      <c r="O614" s="1">
        <v>17.7</v>
      </c>
      <c r="P614" s="1">
        <v>13.8</v>
      </c>
      <c r="Q614" s="1">
        <v>999.2</v>
      </c>
      <c r="R614" s="1">
        <v>0</v>
      </c>
      <c r="S614" s="1">
        <v>83.3</v>
      </c>
      <c r="T614" s="5">
        <v>0.11210000000000001</v>
      </c>
      <c r="U614" s="10">
        <v>-1E-3</v>
      </c>
    </row>
    <row r="615" spans="1:21" customFormat="1">
      <c r="A615">
        <v>1</v>
      </c>
      <c r="B615">
        <v>26</v>
      </c>
      <c r="C615">
        <v>3</v>
      </c>
      <c r="D615">
        <v>5</v>
      </c>
      <c r="E615">
        <v>2020</v>
      </c>
      <c r="F615">
        <v>13112</v>
      </c>
      <c r="G615" t="str">
        <f>VLOOKUP(F615,'[1]Sheet 1'!$B$2:$E$347,2,FALSE)</f>
        <v>Metropolitana de Santiago</v>
      </c>
      <c r="H615" t="str">
        <f>VLOOKUP(F615,'[1]Sheet 1'!$B$2:$E$347,3,FALSE)</f>
        <v>Santiago</v>
      </c>
      <c r="I615" t="str">
        <f>VLOOKUP(F615,'[1]Sheet 1'!$B$2:$E$347,4,FALSE)</f>
        <v>La Pintana</v>
      </c>
      <c r="J615" t="s">
        <v>136</v>
      </c>
      <c r="K615" s="3" t="s">
        <v>0</v>
      </c>
      <c r="L615" s="12" t="str">
        <f>VLOOKUP(K615,[2]Hoja4!$A$2:$C$443,2,FALSE)</f>
        <v>Intentional self-harm by hanging, strangulation and suffocation</v>
      </c>
      <c r="M615" s="12" t="str">
        <f>VLOOKUP(K615,[2]Hoja4!$A$2:$C$443,3,FALSE)</f>
        <v>Unspecified place</v>
      </c>
      <c r="N615" s="1">
        <v>8.6999999999999993</v>
      </c>
      <c r="O615" s="1">
        <v>22.7</v>
      </c>
      <c r="P615" s="1">
        <v>15.2</v>
      </c>
      <c r="Q615" s="1">
        <v>956.9</v>
      </c>
      <c r="R615" s="1"/>
      <c r="S615" s="1">
        <v>69</v>
      </c>
      <c r="T615" s="5">
        <v>0.11210000000000001</v>
      </c>
      <c r="U615" s="10">
        <v>-1E-3</v>
      </c>
    </row>
    <row r="616" spans="1:21" customFormat="1">
      <c r="A616">
        <v>1</v>
      </c>
      <c r="B616">
        <v>30</v>
      </c>
      <c r="C616">
        <v>3</v>
      </c>
      <c r="D616">
        <v>5</v>
      </c>
      <c r="E616">
        <v>2020</v>
      </c>
      <c r="F616">
        <v>10208</v>
      </c>
      <c r="G616" t="str">
        <f>VLOOKUP(F616,'[1]Sheet 1'!$B$2:$E$347,2,FALSE)</f>
        <v>Los Lagos</v>
      </c>
      <c r="H616" t="str">
        <f>VLOOKUP(F616,'[1]Sheet 1'!$B$2:$E$347,3,FALSE)</f>
        <v>Chiloé</v>
      </c>
      <c r="I616" t="str">
        <f>VLOOKUP(F616,'[1]Sheet 1'!$B$2:$E$347,4,FALSE)</f>
        <v>Quellón</v>
      </c>
      <c r="J616" t="s">
        <v>136</v>
      </c>
      <c r="K616" s="3" t="s">
        <v>4</v>
      </c>
      <c r="L616" s="12" t="str">
        <f>VLOOKUP(K616,[2]Hoja4!$A$2:$C$443,2,FALSE)</f>
        <v>Intentional self-harm by hanging, strangulation and suffocation</v>
      </c>
      <c r="M616" s="12" t="str">
        <f>VLOOKUP(K616,[2]Hoja4!$A$2:$C$443,3,FALSE)</f>
        <v>At home</v>
      </c>
      <c r="N616" s="1">
        <v>8.6999999999999993</v>
      </c>
      <c r="O616" s="1">
        <v>13.1</v>
      </c>
      <c r="P616" s="1">
        <v>10.6</v>
      </c>
      <c r="Q616" s="1">
        <v>992.7</v>
      </c>
      <c r="R616" s="1">
        <v>23.6</v>
      </c>
      <c r="S616" s="1">
        <v>96</v>
      </c>
      <c r="T616" s="5">
        <v>0.11210000000000001</v>
      </c>
      <c r="U616" s="10">
        <v>-1E-3</v>
      </c>
    </row>
    <row r="617" spans="1:21" customFormat="1">
      <c r="A617">
        <v>1</v>
      </c>
      <c r="B617">
        <v>69</v>
      </c>
      <c r="C617">
        <v>4</v>
      </c>
      <c r="D617">
        <v>5</v>
      </c>
      <c r="E617">
        <v>2020</v>
      </c>
      <c r="F617">
        <v>13101</v>
      </c>
      <c r="G617" t="str">
        <f>VLOOKUP(F617,'[1]Sheet 1'!$B$2:$E$347,2,FALSE)</f>
        <v>Metropolitana de Santiago</v>
      </c>
      <c r="H617" t="str">
        <f>VLOOKUP(F617,'[1]Sheet 1'!$B$2:$E$347,3,FALSE)</f>
        <v>Santiago</v>
      </c>
      <c r="I617" t="str">
        <f>VLOOKUP(F617,'[1]Sheet 1'!$B$2:$E$347,4,FALSE)</f>
        <v>Santiago</v>
      </c>
      <c r="J617" t="s">
        <v>136</v>
      </c>
      <c r="K617" s="3" t="s">
        <v>0</v>
      </c>
      <c r="L617" s="12" t="str">
        <f>VLOOKUP(K617,[2]Hoja4!$A$2:$C$443,2,FALSE)</f>
        <v>Intentional self-harm by hanging, strangulation and suffocation</v>
      </c>
      <c r="M617" s="12" t="str">
        <f>VLOOKUP(K617,[2]Hoja4!$A$2:$C$443,3,FALSE)</f>
        <v>Unspecified place</v>
      </c>
      <c r="N617" s="1">
        <v>11.9</v>
      </c>
      <c r="O617" s="1">
        <v>24.2</v>
      </c>
      <c r="P617" s="1">
        <v>16.899999999999999</v>
      </c>
      <c r="Q617" s="1">
        <v>956.8</v>
      </c>
      <c r="R617" s="1"/>
      <c r="S617" s="1">
        <v>60.5</v>
      </c>
      <c r="T617" s="5">
        <v>0.11210000000000001</v>
      </c>
      <c r="U617" s="10">
        <v>-1E-3</v>
      </c>
    </row>
    <row r="618" spans="1:21" customFormat="1">
      <c r="A618">
        <v>2</v>
      </c>
      <c r="B618">
        <v>24</v>
      </c>
      <c r="C618">
        <v>4</v>
      </c>
      <c r="D618">
        <v>5</v>
      </c>
      <c r="E618">
        <v>2020</v>
      </c>
      <c r="F618">
        <v>6101</v>
      </c>
      <c r="G618" t="str">
        <f>VLOOKUP(F618,'[1]Sheet 1'!$B$2:$E$347,2,FALSE)</f>
        <v>Libertador General Bernardo O'Higgins</v>
      </c>
      <c r="H618" t="str">
        <f>VLOOKUP(F618,'[1]Sheet 1'!$B$2:$E$347,3,FALSE)</f>
        <v>Cachapoal</v>
      </c>
      <c r="I618" t="str">
        <f>VLOOKUP(F618,'[1]Sheet 1'!$B$2:$E$347,4,FALSE)</f>
        <v>Rancagua</v>
      </c>
      <c r="J618" t="s">
        <v>136</v>
      </c>
      <c r="K618" s="3" t="s">
        <v>0</v>
      </c>
      <c r="L618" s="12" t="str">
        <f>VLOOKUP(K618,[2]Hoja4!$A$2:$C$443,2,FALSE)</f>
        <v>Intentional self-harm by hanging, strangulation and suffocation</v>
      </c>
      <c r="M618" s="12" t="str">
        <f>VLOOKUP(K618,[2]Hoja4!$A$2:$C$443,3,FALSE)</f>
        <v>Unspecified place</v>
      </c>
      <c r="N618" s="1">
        <v>8</v>
      </c>
      <c r="O618" s="1">
        <v>21.6</v>
      </c>
      <c r="P618" s="1">
        <v>14</v>
      </c>
      <c r="Q618" s="1">
        <v>961.3</v>
      </c>
      <c r="R618" s="1">
        <v>0</v>
      </c>
      <c r="S618" s="1">
        <v>72.7</v>
      </c>
      <c r="T618" s="5">
        <v>0.11210000000000001</v>
      </c>
      <c r="U618" s="10">
        <v>-1E-3</v>
      </c>
    </row>
    <row r="619" spans="1:21" customFormat="1">
      <c r="A619">
        <v>1</v>
      </c>
      <c r="B619">
        <v>61</v>
      </c>
      <c r="C619">
        <v>5</v>
      </c>
      <c r="D619">
        <v>5</v>
      </c>
      <c r="E619">
        <v>2020</v>
      </c>
      <c r="F619">
        <v>2201</v>
      </c>
      <c r="G619" t="str">
        <f>VLOOKUP(F619,'[1]Sheet 1'!$B$2:$E$347,2,FALSE)</f>
        <v>Antofagasta</v>
      </c>
      <c r="H619" t="str">
        <f>VLOOKUP(F619,'[1]Sheet 1'!$B$2:$E$347,3,FALSE)</f>
        <v>El Loa</v>
      </c>
      <c r="I619" t="str">
        <f>VLOOKUP(F619,'[1]Sheet 1'!$B$2:$E$347,4,FALSE)</f>
        <v>Calama</v>
      </c>
      <c r="J619" t="s">
        <v>136</v>
      </c>
      <c r="K619" s="3" t="s">
        <v>0</v>
      </c>
      <c r="L619" s="12" t="str">
        <f>VLOOKUP(K619,[2]Hoja4!$A$2:$C$443,2,FALSE)</f>
        <v>Intentional self-harm by hanging, strangulation and suffocation</v>
      </c>
      <c r="M619" s="12" t="str">
        <f>VLOOKUP(K619,[2]Hoja4!$A$2:$C$443,3,FALSE)</f>
        <v>Unspecified place</v>
      </c>
      <c r="N619" s="1">
        <v>3.6</v>
      </c>
      <c r="O619" s="1">
        <v>23.4</v>
      </c>
      <c r="P619" s="1">
        <v>13.5</v>
      </c>
      <c r="Q619" s="1">
        <v>772.7</v>
      </c>
      <c r="R619" s="1">
        <v>0</v>
      </c>
      <c r="S619" s="1">
        <v>15.2</v>
      </c>
      <c r="T619" s="5">
        <v>0.11210000000000001</v>
      </c>
      <c r="U619" s="10">
        <v>-1E-3</v>
      </c>
    </row>
    <row r="620" spans="1:21" customFormat="1">
      <c r="A620">
        <v>1</v>
      </c>
      <c r="B620">
        <v>59</v>
      </c>
      <c r="C620">
        <v>5</v>
      </c>
      <c r="D620">
        <v>5</v>
      </c>
      <c r="E620">
        <v>2020</v>
      </c>
      <c r="F620">
        <v>5101</v>
      </c>
      <c r="G620" t="str">
        <f>VLOOKUP(F620,'[1]Sheet 1'!$B$2:$E$347,2,FALSE)</f>
        <v>Valparaíso</v>
      </c>
      <c r="H620" t="str">
        <f>VLOOKUP(F620,'[1]Sheet 1'!$B$2:$E$347,3,FALSE)</f>
        <v>Valparaíso</v>
      </c>
      <c r="I620" t="str">
        <f>VLOOKUP(F620,'[1]Sheet 1'!$B$2:$E$347,4,FALSE)</f>
        <v>Valparaíso</v>
      </c>
      <c r="J620" t="s">
        <v>136</v>
      </c>
      <c r="K620" s="3" t="s">
        <v>4</v>
      </c>
      <c r="L620" s="12" t="str">
        <f>VLOOKUP(K620,[2]Hoja4!$A$2:$C$443,2,FALSE)</f>
        <v>Intentional self-harm by hanging, strangulation and suffocation</v>
      </c>
      <c r="M620" s="12" t="str">
        <f>VLOOKUP(K620,[2]Hoja4!$A$2:$C$443,3,FALSE)</f>
        <v>At home</v>
      </c>
      <c r="N620" s="1">
        <v>13.8</v>
      </c>
      <c r="O620" s="1">
        <v>27.9</v>
      </c>
      <c r="P620" s="1">
        <v>18.7</v>
      </c>
      <c r="Q620" s="1">
        <v>975.6</v>
      </c>
      <c r="R620" s="1">
        <v>0</v>
      </c>
      <c r="S620" s="1">
        <v>43</v>
      </c>
      <c r="T620" s="5">
        <v>0.11210000000000001</v>
      </c>
      <c r="U620" s="10">
        <v>-1E-3</v>
      </c>
    </row>
    <row r="621" spans="1:21" customFormat="1">
      <c r="A621">
        <v>1</v>
      </c>
      <c r="B621">
        <v>57</v>
      </c>
      <c r="C621">
        <v>5</v>
      </c>
      <c r="D621">
        <v>5</v>
      </c>
      <c r="E621">
        <v>2020</v>
      </c>
      <c r="F621">
        <v>2101</v>
      </c>
      <c r="G621" t="str">
        <f>VLOOKUP(F621,'[1]Sheet 1'!$B$2:$E$347,2,FALSE)</f>
        <v>Antofagasta</v>
      </c>
      <c r="H621" t="str">
        <f>VLOOKUP(F621,'[1]Sheet 1'!$B$2:$E$347,3,FALSE)</f>
        <v>Antofagasta</v>
      </c>
      <c r="I621" t="str">
        <f>VLOOKUP(F621,'[1]Sheet 1'!$B$2:$E$347,4,FALSE)</f>
        <v>Antofagasta</v>
      </c>
      <c r="J621" t="s">
        <v>136</v>
      </c>
      <c r="K621" s="3" t="s">
        <v>4</v>
      </c>
      <c r="L621" s="12" t="str">
        <f>VLOOKUP(K621,[2]Hoja4!$A$2:$C$443,2,FALSE)</f>
        <v>Intentional self-harm by hanging, strangulation and suffocation</v>
      </c>
      <c r="M621" s="12" t="str">
        <f>VLOOKUP(K621,[2]Hoja4!$A$2:$C$443,3,FALSE)</f>
        <v>At home</v>
      </c>
      <c r="N621" s="1">
        <v>13.1</v>
      </c>
      <c r="O621" s="1">
        <v>17.899999999999999</v>
      </c>
      <c r="P621" s="1">
        <v>15.5</v>
      </c>
      <c r="Q621" s="1">
        <v>997</v>
      </c>
      <c r="R621" s="1">
        <v>0</v>
      </c>
      <c r="S621" s="1">
        <v>78.2</v>
      </c>
      <c r="T621" s="5">
        <v>0.11210000000000001</v>
      </c>
      <c r="U621" s="10">
        <v>-1E-3</v>
      </c>
    </row>
    <row r="622" spans="1:21" customFormat="1">
      <c r="A622">
        <v>1</v>
      </c>
      <c r="B622">
        <v>39</v>
      </c>
      <c r="C622">
        <v>5</v>
      </c>
      <c r="D622">
        <v>5</v>
      </c>
      <c r="E622">
        <v>2020</v>
      </c>
      <c r="F622">
        <v>13131</v>
      </c>
      <c r="G622" t="str">
        <f>VLOOKUP(F622,'[1]Sheet 1'!$B$2:$E$347,2,FALSE)</f>
        <v>Metropolitana de Santiago</v>
      </c>
      <c r="H622" t="str">
        <f>VLOOKUP(F622,'[1]Sheet 1'!$B$2:$E$347,3,FALSE)</f>
        <v>Santiago</v>
      </c>
      <c r="I622" t="str">
        <f>VLOOKUP(F622,'[1]Sheet 1'!$B$2:$E$347,4,FALSE)</f>
        <v>San Ramón</v>
      </c>
      <c r="J622" t="s">
        <v>136</v>
      </c>
      <c r="K622" s="3" t="s">
        <v>0</v>
      </c>
      <c r="L622" s="12" t="str">
        <f>VLOOKUP(K622,[2]Hoja4!$A$2:$C$443,2,FALSE)</f>
        <v>Intentional self-harm by hanging, strangulation and suffocation</v>
      </c>
      <c r="M622" s="12" t="str">
        <f>VLOOKUP(K622,[2]Hoja4!$A$2:$C$443,3,FALSE)</f>
        <v>Unspecified place</v>
      </c>
      <c r="N622" s="1">
        <v>6.6</v>
      </c>
      <c r="O622" s="1">
        <v>26.3</v>
      </c>
      <c r="P622" s="1">
        <v>15.1</v>
      </c>
      <c r="Q622" s="1">
        <v>956</v>
      </c>
      <c r="R622" s="1"/>
      <c r="S622" s="1">
        <v>60</v>
      </c>
      <c r="T622" s="5">
        <v>0.11210000000000001</v>
      </c>
      <c r="U622" s="10">
        <v>-1E-3</v>
      </c>
    </row>
    <row r="623" spans="1:21" customFormat="1">
      <c r="A623">
        <v>1</v>
      </c>
      <c r="B623">
        <v>22</v>
      </c>
      <c r="C623">
        <v>5</v>
      </c>
      <c r="D623">
        <v>5</v>
      </c>
      <c r="E623">
        <v>2020</v>
      </c>
      <c r="F623">
        <v>7101</v>
      </c>
      <c r="G623" t="str">
        <f>VLOOKUP(F623,'[1]Sheet 1'!$B$2:$E$347,2,FALSE)</f>
        <v>Maule</v>
      </c>
      <c r="H623" t="str">
        <f>VLOOKUP(F623,'[1]Sheet 1'!$B$2:$E$347,3,FALSE)</f>
        <v>Talca</v>
      </c>
      <c r="I623" t="str">
        <f>VLOOKUP(F623,'[1]Sheet 1'!$B$2:$E$347,4,FALSE)</f>
        <v>Talca</v>
      </c>
      <c r="J623" t="s">
        <v>136</v>
      </c>
      <c r="K623" s="3" t="s">
        <v>0</v>
      </c>
      <c r="L623" s="12" t="str">
        <f>VLOOKUP(K623,[2]Hoja4!$A$2:$C$443,2,FALSE)</f>
        <v>Intentional self-harm by hanging, strangulation and suffocation</v>
      </c>
      <c r="M623" s="12" t="str">
        <f>VLOOKUP(K623,[2]Hoja4!$A$2:$C$443,3,FALSE)</f>
        <v>Unspecified place</v>
      </c>
      <c r="N623" s="1">
        <v>9.8000000000000007</v>
      </c>
      <c r="O623" s="1">
        <v>19.3</v>
      </c>
      <c r="P623" s="1">
        <v>14.7</v>
      </c>
      <c r="Q623" s="1">
        <v>1004.9</v>
      </c>
      <c r="R623" s="1">
        <v>0</v>
      </c>
      <c r="S623" s="1">
        <v>79</v>
      </c>
      <c r="T623" s="5">
        <v>0.11210000000000001</v>
      </c>
      <c r="U623" s="10">
        <v>-1E-3</v>
      </c>
    </row>
    <row r="624" spans="1:21" customFormat="1">
      <c r="A624">
        <v>1</v>
      </c>
      <c r="B624">
        <v>94</v>
      </c>
      <c r="C624">
        <v>6</v>
      </c>
      <c r="D624">
        <v>5</v>
      </c>
      <c r="E624">
        <v>2020</v>
      </c>
      <c r="F624">
        <v>13119</v>
      </c>
      <c r="G624" t="str">
        <f>VLOOKUP(F624,'[1]Sheet 1'!$B$2:$E$347,2,FALSE)</f>
        <v>Metropolitana de Santiago</v>
      </c>
      <c r="H624" t="str">
        <f>VLOOKUP(F624,'[1]Sheet 1'!$B$2:$E$347,3,FALSE)</f>
        <v>Santiago</v>
      </c>
      <c r="I624" t="str">
        <f>VLOOKUP(F624,'[1]Sheet 1'!$B$2:$E$347,4,FALSE)</f>
        <v>Maipú</v>
      </c>
      <c r="J624" t="s">
        <v>136</v>
      </c>
      <c r="K624" s="3" t="s">
        <v>0</v>
      </c>
      <c r="L624" s="12" t="str">
        <f>VLOOKUP(K624,[2]Hoja4!$A$2:$C$443,2,FALSE)</f>
        <v>Intentional self-harm by hanging, strangulation and suffocation</v>
      </c>
      <c r="M624" s="12" t="str">
        <f>VLOOKUP(K624,[2]Hoja4!$A$2:$C$443,3,FALSE)</f>
        <v>Unspecified place</v>
      </c>
      <c r="N624" s="1">
        <v>5.4</v>
      </c>
      <c r="O624" s="1">
        <v>29</v>
      </c>
      <c r="P624" s="1">
        <v>14.8</v>
      </c>
      <c r="Q624" s="1">
        <v>954.2</v>
      </c>
      <c r="R624" s="1"/>
      <c r="S624" s="1">
        <v>61.8</v>
      </c>
      <c r="T624" s="5">
        <v>0.11210000000000001</v>
      </c>
      <c r="U624" s="10">
        <v>-1E-3</v>
      </c>
    </row>
    <row r="625" spans="1:21" customFormat="1">
      <c r="A625">
        <v>2</v>
      </c>
      <c r="B625">
        <v>51</v>
      </c>
      <c r="C625">
        <v>6</v>
      </c>
      <c r="D625">
        <v>5</v>
      </c>
      <c r="E625">
        <v>2020</v>
      </c>
      <c r="F625">
        <v>10101</v>
      </c>
      <c r="G625" t="str">
        <f>VLOOKUP(F625,'[1]Sheet 1'!$B$2:$E$347,2,FALSE)</f>
        <v>Los Lagos</v>
      </c>
      <c r="H625" t="str">
        <f>VLOOKUP(F625,'[1]Sheet 1'!$B$2:$E$347,3,FALSE)</f>
        <v>Llanquihue</v>
      </c>
      <c r="I625" t="str">
        <f>VLOOKUP(F625,'[1]Sheet 1'!$B$2:$E$347,4,FALSE)</f>
        <v>Puerto Montt</v>
      </c>
      <c r="J625" t="s">
        <v>136</v>
      </c>
      <c r="K625" s="3" t="s">
        <v>4</v>
      </c>
      <c r="L625" s="12" t="str">
        <f>VLOOKUP(K625,[2]Hoja4!$A$2:$C$443,2,FALSE)</f>
        <v>Intentional self-harm by hanging, strangulation and suffocation</v>
      </c>
      <c r="M625" s="12" t="str">
        <f>VLOOKUP(K625,[2]Hoja4!$A$2:$C$443,3,FALSE)</f>
        <v>At home</v>
      </c>
      <c r="N625" s="1">
        <v>2.2999999999999998</v>
      </c>
      <c r="O625" s="1">
        <v>15.9</v>
      </c>
      <c r="P625" s="1">
        <v>7.8</v>
      </c>
      <c r="Q625" s="1">
        <v>1011.9</v>
      </c>
      <c r="R625" s="1">
        <v>0</v>
      </c>
      <c r="S625" s="1">
        <v>85.2</v>
      </c>
      <c r="T625" s="5">
        <v>0.11210000000000001</v>
      </c>
      <c r="U625" s="10">
        <v>-1E-3</v>
      </c>
    </row>
    <row r="626" spans="1:21" customFormat="1">
      <c r="A626">
        <v>1</v>
      </c>
      <c r="B626">
        <v>35</v>
      </c>
      <c r="C626">
        <v>6</v>
      </c>
      <c r="D626">
        <v>5</v>
      </c>
      <c r="E626">
        <v>2020</v>
      </c>
      <c r="F626">
        <v>12101</v>
      </c>
      <c r="G626" t="str">
        <f>VLOOKUP(F626,'[1]Sheet 1'!$B$2:$E$347,2,FALSE)</f>
        <v>Magallanes y de la Antártica Chilena</v>
      </c>
      <c r="H626" t="str">
        <f>VLOOKUP(F626,'[1]Sheet 1'!$B$2:$E$347,3,FALSE)</f>
        <v>Magallanes</v>
      </c>
      <c r="I626" t="str">
        <f>VLOOKUP(F626,'[1]Sheet 1'!$B$2:$E$347,4,FALSE)</f>
        <v>Punta Arenas</v>
      </c>
      <c r="J626" t="s">
        <v>136</v>
      </c>
      <c r="K626" s="3" t="s">
        <v>0</v>
      </c>
      <c r="L626" s="12" t="str">
        <f>VLOOKUP(K626,[2]Hoja4!$A$2:$C$443,2,FALSE)</f>
        <v>Intentional self-harm by hanging, strangulation and suffocation</v>
      </c>
      <c r="M626" s="12" t="str">
        <f>VLOOKUP(K626,[2]Hoja4!$A$2:$C$443,3,FALSE)</f>
        <v>Unspecified place</v>
      </c>
      <c r="N626" s="1">
        <v>-0.8</v>
      </c>
      <c r="O626" s="1">
        <v>7</v>
      </c>
      <c r="P626" s="1">
        <v>3.7</v>
      </c>
      <c r="Q626" s="1">
        <v>1006.2</v>
      </c>
      <c r="R626" s="1">
        <v>1.2</v>
      </c>
      <c r="S626" s="1">
        <v>92.8</v>
      </c>
      <c r="T626" s="5">
        <v>0.11210000000000001</v>
      </c>
      <c r="U626" s="10">
        <v>-1E-3</v>
      </c>
    </row>
    <row r="627" spans="1:21" customFormat="1">
      <c r="A627">
        <v>2</v>
      </c>
      <c r="B627">
        <v>22</v>
      </c>
      <c r="C627">
        <v>6</v>
      </c>
      <c r="D627">
        <v>5</v>
      </c>
      <c r="E627">
        <v>2020</v>
      </c>
      <c r="F627">
        <v>9108</v>
      </c>
      <c r="G627" t="str">
        <f>VLOOKUP(F627,'[1]Sheet 1'!$B$2:$E$347,2,FALSE)</f>
        <v>La Araucanía</v>
      </c>
      <c r="H627" t="str">
        <f>VLOOKUP(F627,'[1]Sheet 1'!$B$2:$E$347,3,FALSE)</f>
        <v>Cautín</v>
      </c>
      <c r="I627" t="str">
        <f>VLOOKUP(F627,'[1]Sheet 1'!$B$2:$E$347,4,FALSE)</f>
        <v>Lautaro</v>
      </c>
      <c r="J627" t="s">
        <v>136</v>
      </c>
      <c r="K627" s="3" t="s">
        <v>0</v>
      </c>
      <c r="L627" s="12" t="str">
        <f>VLOOKUP(K627,[2]Hoja4!$A$2:$C$443,2,FALSE)</f>
        <v>Intentional self-harm by hanging, strangulation and suffocation</v>
      </c>
      <c r="M627" s="12" t="str">
        <f>VLOOKUP(K627,[2]Hoja4!$A$2:$C$443,3,FALSE)</f>
        <v>Unspecified place</v>
      </c>
      <c r="N627" s="1">
        <v>2.5</v>
      </c>
      <c r="O627" s="1">
        <v>20.5</v>
      </c>
      <c r="P627" s="1">
        <v>10.1</v>
      </c>
      <c r="Q627" s="1">
        <v>1008.1</v>
      </c>
      <c r="R627" s="1">
        <v>0</v>
      </c>
      <c r="S627" s="1">
        <v>81</v>
      </c>
      <c r="T627" s="5">
        <v>0.11210000000000001</v>
      </c>
      <c r="U627" s="10">
        <v>-1E-3</v>
      </c>
    </row>
    <row r="628" spans="1:21" customFormat="1">
      <c r="A628">
        <v>1</v>
      </c>
      <c r="B628">
        <v>20</v>
      </c>
      <c r="C628">
        <v>6</v>
      </c>
      <c r="D628">
        <v>5</v>
      </c>
      <c r="E628">
        <v>2020</v>
      </c>
      <c r="F628">
        <v>6301</v>
      </c>
      <c r="G628" t="str">
        <f>VLOOKUP(F628,'[1]Sheet 1'!$B$2:$E$347,2,FALSE)</f>
        <v>Libertador General Bernardo O'Higgins</v>
      </c>
      <c r="H628" t="str">
        <f>VLOOKUP(F628,'[1]Sheet 1'!$B$2:$E$347,3,FALSE)</f>
        <v>Colchagua</v>
      </c>
      <c r="I628" t="str">
        <f>VLOOKUP(F628,'[1]Sheet 1'!$B$2:$E$347,4,FALSE)</f>
        <v>San Fernando</v>
      </c>
      <c r="J628" t="s">
        <v>136</v>
      </c>
      <c r="K628" s="3" t="s">
        <v>0</v>
      </c>
      <c r="L628" s="12" t="str">
        <f>VLOOKUP(K628,[2]Hoja4!$A$2:$C$443,2,FALSE)</f>
        <v>Intentional self-harm by hanging, strangulation and suffocation</v>
      </c>
      <c r="M628" s="12" t="str">
        <f>VLOOKUP(K628,[2]Hoja4!$A$2:$C$443,3,FALSE)</f>
        <v>Unspecified place</v>
      </c>
      <c r="N628" s="1">
        <v>8.1999999999999993</v>
      </c>
      <c r="O628" s="1">
        <v>19.2</v>
      </c>
      <c r="P628" s="1">
        <v>13.7</v>
      </c>
      <c r="Q628" s="1">
        <v>981</v>
      </c>
      <c r="R628" s="1">
        <v>0</v>
      </c>
      <c r="S628" s="1">
        <v>81.7</v>
      </c>
      <c r="T628" s="5">
        <v>0.11210000000000001</v>
      </c>
      <c r="U628" s="10">
        <v>-1E-3</v>
      </c>
    </row>
    <row r="629" spans="1:21" customFormat="1">
      <c r="A629">
        <v>1</v>
      </c>
      <c r="B629">
        <v>76</v>
      </c>
      <c r="C629">
        <v>7</v>
      </c>
      <c r="D629">
        <v>5</v>
      </c>
      <c r="E629">
        <v>2020</v>
      </c>
      <c r="F629">
        <v>13201</v>
      </c>
      <c r="G629" t="str">
        <f>VLOOKUP(F629,'[1]Sheet 1'!$B$2:$E$347,2,FALSE)</f>
        <v>Metropolitana de Santiago</v>
      </c>
      <c r="H629" t="str">
        <f>VLOOKUP(F629,'[1]Sheet 1'!$B$2:$E$347,3,FALSE)</f>
        <v>Cordillera</v>
      </c>
      <c r="I629" t="str">
        <f>VLOOKUP(F629,'[1]Sheet 1'!$B$2:$E$347,4,FALSE)</f>
        <v>Puente Alto</v>
      </c>
      <c r="J629" t="s">
        <v>136</v>
      </c>
      <c r="K629" s="3" t="s">
        <v>4</v>
      </c>
      <c r="L629" s="12" t="str">
        <f>VLOOKUP(K629,[2]Hoja4!$A$2:$C$443,2,FALSE)</f>
        <v>Intentional self-harm by hanging, strangulation and suffocation</v>
      </c>
      <c r="M629" s="12" t="str">
        <f>VLOOKUP(K629,[2]Hoja4!$A$2:$C$443,3,FALSE)</f>
        <v>At home</v>
      </c>
      <c r="N629" s="1">
        <v>0.3</v>
      </c>
      <c r="O629" s="1">
        <v>32.299999999999997</v>
      </c>
      <c r="P629" s="1">
        <v>11.7</v>
      </c>
      <c r="Q629" s="1">
        <v>938.2</v>
      </c>
      <c r="R629" s="1">
        <v>0</v>
      </c>
      <c r="S629" s="1">
        <v>53.3</v>
      </c>
      <c r="T629" s="5">
        <v>0.11210000000000001</v>
      </c>
      <c r="U629" s="10">
        <v>-1E-3</v>
      </c>
    </row>
    <row r="630" spans="1:21" customFormat="1">
      <c r="A630">
        <v>2</v>
      </c>
      <c r="B630">
        <v>62</v>
      </c>
      <c r="C630">
        <v>7</v>
      </c>
      <c r="D630">
        <v>5</v>
      </c>
      <c r="E630">
        <v>2020</v>
      </c>
      <c r="F630">
        <v>13101</v>
      </c>
      <c r="G630" t="str">
        <f>VLOOKUP(F630,'[1]Sheet 1'!$B$2:$E$347,2,FALSE)</f>
        <v>Metropolitana de Santiago</v>
      </c>
      <c r="H630" t="str">
        <f>VLOOKUP(F630,'[1]Sheet 1'!$B$2:$E$347,3,FALSE)</f>
        <v>Santiago</v>
      </c>
      <c r="I630" t="str">
        <f>VLOOKUP(F630,'[1]Sheet 1'!$B$2:$E$347,4,FALSE)</f>
        <v>Santiago</v>
      </c>
      <c r="J630" t="s">
        <v>136</v>
      </c>
      <c r="K630" s="3" t="s">
        <v>0</v>
      </c>
      <c r="L630" s="12" t="str">
        <f>VLOOKUP(K630,[2]Hoja4!$A$2:$C$443,2,FALSE)</f>
        <v>Intentional self-harm by hanging, strangulation and suffocation</v>
      </c>
      <c r="M630" s="12" t="str">
        <f>VLOOKUP(K630,[2]Hoja4!$A$2:$C$443,3,FALSE)</f>
        <v>Unspecified place</v>
      </c>
      <c r="N630" s="1">
        <v>5.2</v>
      </c>
      <c r="O630" s="1">
        <v>29.4</v>
      </c>
      <c r="P630" s="1">
        <v>15.6</v>
      </c>
      <c r="Q630" s="1">
        <v>954.3</v>
      </c>
      <c r="R630" s="1"/>
      <c r="S630" s="1">
        <v>51.2</v>
      </c>
      <c r="T630" s="5">
        <v>0.11210000000000001</v>
      </c>
      <c r="U630" s="10">
        <v>-1E-3</v>
      </c>
    </row>
    <row r="631" spans="1:21" customFormat="1">
      <c r="A631">
        <v>2</v>
      </c>
      <c r="B631">
        <v>60</v>
      </c>
      <c r="C631">
        <v>7</v>
      </c>
      <c r="D631">
        <v>5</v>
      </c>
      <c r="E631">
        <v>2020</v>
      </c>
      <c r="F631">
        <v>16106</v>
      </c>
      <c r="G631" t="str">
        <f>VLOOKUP(F631,'[1]Sheet 1'!$B$2:$E$347,2,FALSE)</f>
        <v>Ñuble</v>
      </c>
      <c r="H631" t="str">
        <f>VLOOKUP(F631,'[1]Sheet 1'!$B$2:$E$347,3,FALSE)</f>
        <v>Diguillín</v>
      </c>
      <c r="I631" t="str">
        <f>VLOOKUP(F631,'[1]Sheet 1'!$B$2:$E$347,4,FALSE)</f>
        <v>Pinto</v>
      </c>
      <c r="J631" t="s">
        <v>136</v>
      </c>
      <c r="K631" s="3" t="s">
        <v>4</v>
      </c>
      <c r="L631" s="12" t="str">
        <f>VLOOKUP(K631,[2]Hoja4!$A$2:$C$443,2,FALSE)</f>
        <v>Intentional self-harm by hanging, strangulation and suffocation</v>
      </c>
      <c r="M631" s="12" t="str">
        <f>VLOOKUP(K631,[2]Hoja4!$A$2:$C$443,3,FALSE)</f>
        <v>At home</v>
      </c>
      <c r="N631" s="1">
        <v>1.5</v>
      </c>
      <c r="O631" s="1">
        <v>22.6</v>
      </c>
      <c r="P631" s="1">
        <v>11.5</v>
      </c>
      <c r="Q631" s="1">
        <v>996.5</v>
      </c>
      <c r="R631" s="1">
        <v>0</v>
      </c>
      <c r="S631" s="1">
        <v>79.5</v>
      </c>
      <c r="T631" s="5">
        <v>0.11210000000000001</v>
      </c>
      <c r="U631" s="10">
        <v>-1E-3</v>
      </c>
    </row>
    <row r="632" spans="1:21" customFormat="1">
      <c r="A632">
        <v>2</v>
      </c>
      <c r="B632">
        <v>43</v>
      </c>
      <c r="C632">
        <v>7</v>
      </c>
      <c r="D632">
        <v>5</v>
      </c>
      <c r="E632">
        <v>2020</v>
      </c>
      <c r="F632">
        <v>13103</v>
      </c>
      <c r="G632" t="str">
        <f>VLOOKUP(F632,'[1]Sheet 1'!$B$2:$E$347,2,FALSE)</f>
        <v>Metropolitana de Santiago</v>
      </c>
      <c r="H632" t="str">
        <f>VLOOKUP(F632,'[1]Sheet 1'!$B$2:$E$347,3,FALSE)</f>
        <v>Santiago</v>
      </c>
      <c r="I632" t="str">
        <f>VLOOKUP(F632,'[1]Sheet 1'!$B$2:$E$347,4,FALSE)</f>
        <v>Cerro Navia</v>
      </c>
      <c r="J632" t="s">
        <v>136</v>
      </c>
      <c r="K632" s="3" t="s">
        <v>0</v>
      </c>
      <c r="L632" s="12" t="str">
        <f>VLOOKUP(K632,[2]Hoja4!$A$2:$C$443,2,FALSE)</f>
        <v>Intentional self-harm by hanging, strangulation and suffocation</v>
      </c>
      <c r="M632" s="12" t="str">
        <f>VLOOKUP(K632,[2]Hoja4!$A$2:$C$443,3,FALSE)</f>
        <v>Unspecified place</v>
      </c>
      <c r="N632" s="1">
        <v>5.2</v>
      </c>
      <c r="O632" s="1">
        <v>29.4</v>
      </c>
      <c r="P632" s="1">
        <v>15.6</v>
      </c>
      <c r="Q632" s="1">
        <v>954.3</v>
      </c>
      <c r="R632" s="1"/>
      <c r="S632" s="1">
        <v>51.2</v>
      </c>
      <c r="T632" s="5">
        <v>0.11210000000000001</v>
      </c>
      <c r="U632" s="10">
        <v>-1E-3</v>
      </c>
    </row>
    <row r="633" spans="1:21" customFormat="1">
      <c r="A633">
        <v>1</v>
      </c>
      <c r="B633">
        <v>42</v>
      </c>
      <c r="C633">
        <v>7</v>
      </c>
      <c r="D633">
        <v>5</v>
      </c>
      <c r="E633">
        <v>2020</v>
      </c>
      <c r="F633">
        <v>13125</v>
      </c>
      <c r="G633" t="str">
        <f>VLOOKUP(F633,'[1]Sheet 1'!$B$2:$E$347,2,FALSE)</f>
        <v>Metropolitana de Santiago</v>
      </c>
      <c r="H633" t="str">
        <f>VLOOKUP(F633,'[1]Sheet 1'!$B$2:$E$347,3,FALSE)</f>
        <v>Santiago</v>
      </c>
      <c r="I633" t="str">
        <f>VLOOKUP(F633,'[1]Sheet 1'!$B$2:$E$347,4,FALSE)</f>
        <v>Quilicura</v>
      </c>
      <c r="J633" t="s">
        <v>136</v>
      </c>
      <c r="K633" s="3" t="s">
        <v>0</v>
      </c>
      <c r="L633" s="12" t="str">
        <f>VLOOKUP(K633,[2]Hoja4!$A$2:$C$443,2,FALSE)</f>
        <v>Intentional self-harm by hanging, strangulation and suffocation</v>
      </c>
      <c r="M633" s="12" t="str">
        <f>VLOOKUP(K633,[2]Hoja4!$A$2:$C$443,3,FALSE)</f>
        <v>Unspecified place</v>
      </c>
      <c r="N633" s="1">
        <v>5.2</v>
      </c>
      <c r="O633" s="1">
        <v>29.4</v>
      </c>
      <c r="P633" s="1">
        <v>15.6</v>
      </c>
      <c r="Q633" s="1">
        <v>954.3</v>
      </c>
      <c r="R633" s="1"/>
      <c r="S633" s="1">
        <v>51.2</v>
      </c>
      <c r="T633" s="5">
        <v>0.11210000000000001</v>
      </c>
      <c r="U633" s="10">
        <v>-1E-3</v>
      </c>
    </row>
    <row r="634" spans="1:21" customFormat="1">
      <c r="A634">
        <v>1</v>
      </c>
      <c r="B634">
        <v>33</v>
      </c>
      <c r="C634">
        <v>7</v>
      </c>
      <c r="D634">
        <v>5</v>
      </c>
      <c r="E634">
        <v>2020</v>
      </c>
      <c r="F634">
        <v>13126</v>
      </c>
      <c r="G634" t="str">
        <f>VLOOKUP(F634,'[1]Sheet 1'!$B$2:$E$347,2,FALSE)</f>
        <v>Metropolitana de Santiago</v>
      </c>
      <c r="H634" t="str">
        <f>VLOOKUP(F634,'[1]Sheet 1'!$B$2:$E$347,3,FALSE)</f>
        <v>Santiago</v>
      </c>
      <c r="I634" t="str">
        <f>VLOOKUP(F634,'[1]Sheet 1'!$B$2:$E$347,4,FALSE)</f>
        <v>Quinta Normal</v>
      </c>
      <c r="J634" t="s">
        <v>136</v>
      </c>
      <c r="K634" s="3" t="s">
        <v>0</v>
      </c>
      <c r="L634" s="12" t="str">
        <f>VLOOKUP(K634,[2]Hoja4!$A$2:$C$443,2,FALSE)</f>
        <v>Intentional self-harm by hanging, strangulation and suffocation</v>
      </c>
      <c r="M634" s="12" t="str">
        <f>VLOOKUP(K634,[2]Hoja4!$A$2:$C$443,3,FALSE)</f>
        <v>Unspecified place</v>
      </c>
      <c r="N634" s="1">
        <v>5.2</v>
      </c>
      <c r="O634" s="1">
        <v>29.4</v>
      </c>
      <c r="P634" s="1">
        <v>15.6</v>
      </c>
      <c r="Q634" s="1">
        <v>954.3</v>
      </c>
      <c r="R634" s="1"/>
      <c r="S634" s="1">
        <v>51.2</v>
      </c>
      <c r="T634" s="5">
        <v>0.11210000000000001</v>
      </c>
      <c r="U634" s="10">
        <v>-1E-3</v>
      </c>
    </row>
    <row r="635" spans="1:21" customFormat="1">
      <c r="A635">
        <v>1</v>
      </c>
      <c r="B635">
        <v>36</v>
      </c>
      <c r="C635">
        <v>7</v>
      </c>
      <c r="D635">
        <v>5</v>
      </c>
      <c r="E635">
        <v>2020</v>
      </c>
      <c r="F635">
        <v>5109</v>
      </c>
      <c r="G635" t="str">
        <f>VLOOKUP(F635,'[1]Sheet 1'!$B$2:$E$347,2,FALSE)</f>
        <v>Valparaíso</v>
      </c>
      <c r="H635" t="str">
        <f>VLOOKUP(F635,'[1]Sheet 1'!$B$2:$E$347,3,FALSE)</f>
        <v>Valparaíso</v>
      </c>
      <c r="I635" t="str">
        <f>VLOOKUP(F635,'[1]Sheet 1'!$B$2:$E$347,4,FALSE)</f>
        <v>Viña del Mar</v>
      </c>
      <c r="J635" t="s">
        <v>136</v>
      </c>
      <c r="K635" s="3" t="s">
        <v>0</v>
      </c>
      <c r="L635" s="12" t="str">
        <f>VLOOKUP(K635,[2]Hoja4!$A$2:$C$443,2,FALSE)</f>
        <v>Intentional self-harm by hanging, strangulation and suffocation</v>
      </c>
      <c r="M635" s="12" t="str">
        <f>VLOOKUP(K635,[2]Hoja4!$A$2:$C$443,3,FALSE)</f>
        <v>Unspecified place</v>
      </c>
      <c r="N635" s="1">
        <v>10.1</v>
      </c>
      <c r="O635" s="1">
        <v>18.600000000000001</v>
      </c>
      <c r="P635" s="1">
        <v>13.2</v>
      </c>
      <c r="Q635" s="1">
        <v>975.8</v>
      </c>
      <c r="R635" s="1">
        <v>0</v>
      </c>
      <c r="S635" s="1">
        <v>86.5</v>
      </c>
      <c r="T635" s="5">
        <v>0.11210000000000001</v>
      </c>
      <c r="U635" s="10">
        <v>-1E-3</v>
      </c>
    </row>
    <row r="636" spans="1:21" customFormat="1">
      <c r="A636">
        <v>1</v>
      </c>
      <c r="B636">
        <v>33</v>
      </c>
      <c r="C636">
        <v>7</v>
      </c>
      <c r="D636">
        <v>5</v>
      </c>
      <c r="E636">
        <v>2020</v>
      </c>
      <c r="F636">
        <v>7301</v>
      </c>
      <c r="G636" t="str">
        <f>VLOOKUP(F636,'[1]Sheet 1'!$B$2:$E$347,2,FALSE)</f>
        <v>Maule</v>
      </c>
      <c r="H636" t="str">
        <f>VLOOKUP(F636,'[1]Sheet 1'!$B$2:$E$347,3,FALSE)</f>
        <v>Curicó</v>
      </c>
      <c r="I636" t="str">
        <f>VLOOKUP(F636,'[1]Sheet 1'!$B$2:$E$347,4,FALSE)</f>
        <v>Curicó</v>
      </c>
      <c r="J636" t="s">
        <v>148</v>
      </c>
      <c r="K636" s="3" t="s">
        <v>6</v>
      </c>
      <c r="L636" s="12" t="str">
        <f>VLOOKUP(K636,[2]Hoja4!$A$2:$C$443,2,FALSE)</f>
        <v>Intentional self-harm by sharp object</v>
      </c>
      <c r="M636" s="12" t="str">
        <f>VLOOKUP(K636,[2]Hoja4!$A$2:$C$443,3,FALSE)</f>
        <v>At home</v>
      </c>
      <c r="N636" s="1">
        <v>3.5</v>
      </c>
      <c r="O636" s="1">
        <v>23.8</v>
      </c>
      <c r="P636" s="1">
        <v>12</v>
      </c>
      <c r="Q636" s="1">
        <v>988.3</v>
      </c>
      <c r="R636" s="1">
        <v>0</v>
      </c>
      <c r="S636" s="1">
        <v>73.8</v>
      </c>
      <c r="T636" s="5">
        <v>0.11210000000000001</v>
      </c>
      <c r="U636" s="10">
        <v>-1E-3</v>
      </c>
    </row>
    <row r="637" spans="1:21" customFormat="1">
      <c r="A637">
        <v>1</v>
      </c>
      <c r="B637">
        <v>24</v>
      </c>
      <c r="C637">
        <v>7</v>
      </c>
      <c r="D637">
        <v>5</v>
      </c>
      <c r="E637">
        <v>2020</v>
      </c>
      <c r="F637">
        <v>13112</v>
      </c>
      <c r="G637" t="str">
        <f>VLOOKUP(F637,'[1]Sheet 1'!$B$2:$E$347,2,FALSE)</f>
        <v>Metropolitana de Santiago</v>
      </c>
      <c r="H637" t="str">
        <f>VLOOKUP(F637,'[1]Sheet 1'!$B$2:$E$347,3,FALSE)</f>
        <v>Santiago</v>
      </c>
      <c r="I637" t="str">
        <f>VLOOKUP(F637,'[1]Sheet 1'!$B$2:$E$347,4,FALSE)</f>
        <v>La Pintana</v>
      </c>
      <c r="J637" t="s">
        <v>136</v>
      </c>
      <c r="K637" s="3" t="s">
        <v>0</v>
      </c>
      <c r="L637" s="12" t="str">
        <f>VLOOKUP(K637,[2]Hoja4!$A$2:$C$443,2,FALSE)</f>
        <v>Intentional self-harm by hanging, strangulation and suffocation</v>
      </c>
      <c r="M637" s="12" t="str">
        <f>VLOOKUP(K637,[2]Hoja4!$A$2:$C$443,3,FALSE)</f>
        <v>Unspecified place</v>
      </c>
      <c r="N637" s="1">
        <v>5.2</v>
      </c>
      <c r="O637" s="1">
        <v>29.4</v>
      </c>
      <c r="P637" s="1">
        <v>15.6</v>
      </c>
      <c r="Q637" s="1">
        <v>954.3</v>
      </c>
      <c r="R637" s="1"/>
      <c r="S637" s="1">
        <v>51.2</v>
      </c>
      <c r="T637" s="5">
        <v>0.11210000000000001</v>
      </c>
      <c r="U637" s="10">
        <v>-1E-3</v>
      </c>
    </row>
    <row r="638" spans="1:21" customFormat="1">
      <c r="A638">
        <v>1</v>
      </c>
      <c r="B638">
        <v>55</v>
      </c>
      <c r="C638">
        <v>8</v>
      </c>
      <c r="D638">
        <v>5</v>
      </c>
      <c r="E638">
        <v>2020</v>
      </c>
      <c r="F638">
        <v>13115</v>
      </c>
      <c r="G638" t="str">
        <f>VLOOKUP(F638,'[1]Sheet 1'!$B$2:$E$347,2,FALSE)</f>
        <v>Metropolitana de Santiago</v>
      </c>
      <c r="H638" t="str">
        <f>VLOOKUP(F638,'[1]Sheet 1'!$B$2:$E$347,3,FALSE)</f>
        <v>Santiago</v>
      </c>
      <c r="I638" t="str">
        <f>VLOOKUP(F638,'[1]Sheet 1'!$B$2:$E$347,4,FALSE)</f>
        <v>Lo Barnechea</v>
      </c>
      <c r="J638" t="s">
        <v>136</v>
      </c>
      <c r="K638" s="3" t="s">
        <v>0</v>
      </c>
      <c r="L638" s="12" t="str">
        <f>VLOOKUP(K638,[2]Hoja4!$A$2:$C$443,2,FALSE)</f>
        <v>Intentional self-harm by hanging, strangulation and suffocation</v>
      </c>
      <c r="M638" s="12" t="str">
        <f>VLOOKUP(K638,[2]Hoja4!$A$2:$C$443,3,FALSE)</f>
        <v>Unspecified place</v>
      </c>
      <c r="N638" s="1">
        <v>6.2</v>
      </c>
      <c r="O638" s="1">
        <v>26.1</v>
      </c>
      <c r="P638" s="1">
        <v>14.6</v>
      </c>
      <c r="Q638" s="1">
        <v>955.2</v>
      </c>
      <c r="R638" s="1"/>
      <c r="S638" s="1">
        <v>65</v>
      </c>
      <c r="T638" s="5">
        <v>0.11210000000000001</v>
      </c>
      <c r="U638" s="10">
        <v>-1E-3</v>
      </c>
    </row>
    <row r="639" spans="1:21" customFormat="1">
      <c r="A639">
        <v>1</v>
      </c>
      <c r="B639">
        <v>44</v>
      </c>
      <c r="C639">
        <v>8</v>
      </c>
      <c r="D639">
        <v>5</v>
      </c>
      <c r="E639">
        <v>2020</v>
      </c>
      <c r="F639">
        <v>10101</v>
      </c>
      <c r="G639" t="str">
        <f>VLOOKUP(F639,'[1]Sheet 1'!$B$2:$E$347,2,FALSE)</f>
        <v>Los Lagos</v>
      </c>
      <c r="H639" t="str">
        <f>VLOOKUP(F639,'[1]Sheet 1'!$B$2:$E$347,3,FALSE)</f>
        <v>Llanquihue</v>
      </c>
      <c r="I639" t="str">
        <f>VLOOKUP(F639,'[1]Sheet 1'!$B$2:$E$347,4,FALSE)</f>
        <v>Puerto Montt</v>
      </c>
      <c r="J639" t="s">
        <v>136</v>
      </c>
      <c r="K639" s="3" t="s">
        <v>4</v>
      </c>
      <c r="L639" s="12" t="str">
        <f>VLOOKUP(K639,[2]Hoja4!$A$2:$C$443,2,FALSE)</f>
        <v>Intentional self-harm by hanging, strangulation and suffocation</v>
      </c>
      <c r="M639" s="12" t="str">
        <f>VLOOKUP(K639,[2]Hoja4!$A$2:$C$443,3,FALSE)</f>
        <v>At home</v>
      </c>
      <c r="N639" s="1">
        <v>9</v>
      </c>
      <c r="O639" s="1">
        <v>14.9</v>
      </c>
      <c r="P639" s="1">
        <v>12.2</v>
      </c>
      <c r="Q639" s="1">
        <v>994.9</v>
      </c>
      <c r="R639" s="1">
        <v>15</v>
      </c>
      <c r="S639" s="1">
        <v>90.2</v>
      </c>
      <c r="T639" s="5">
        <v>0.11210000000000001</v>
      </c>
      <c r="U639" s="10">
        <v>-1E-3</v>
      </c>
    </row>
    <row r="640" spans="1:21" customFormat="1">
      <c r="A640">
        <v>1</v>
      </c>
      <c r="B640">
        <v>39</v>
      </c>
      <c r="C640">
        <v>8</v>
      </c>
      <c r="D640">
        <v>5</v>
      </c>
      <c r="E640">
        <v>2020</v>
      </c>
      <c r="F640">
        <v>16207</v>
      </c>
      <c r="G640" t="str">
        <f>VLOOKUP(F640,'[1]Sheet 1'!$B$2:$E$347,2,FALSE)</f>
        <v>Ñuble</v>
      </c>
      <c r="H640" t="str">
        <f>VLOOKUP(F640,'[1]Sheet 1'!$B$2:$E$347,3,FALSE)</f>
        <v>Itata</v>
      </c>
      <c r="I640" t="str">
        <f>VLOOKUP(F640,'[1]Sheet 1'!$B$2:$E$347,4,FALSE)</f>
        <v>Treguaco</v>
      </c>
      <c r="J640" t="s">
        <v>136</v>
      </c>
      <c r="K640" s="3" t="s">
        <v>0</v>
      </c>
      <c r="L640" s="12" t="str">
        <f>VLOOKUP(K640,[2]Hoja4!$A$2:$C$443,2,FALSE)</f>
        <v>Intentional self-harm by hanging, strangulation and suffocation</v>
      </c>
      <c r="M640" s="12" t="str">
        <f>VLOOKUP(K640,[2]Hoja4!$A$2:$C$443,3,FALSE)</f>
        <v>Unspecified place</v>
      </c>
      <c r="N640" s="1">
        <v>6.5</v>
      </c>
      <c r="O640" s="1">
        <v>22.5</v>
      </c>
      <c r="P640" s="1">
        <v>14.5</v>
      </c>
      <c r="Q640" s="1">
        <v>1002.7</v>
      </c>
      <c r="R640" s="1">
        <v>0.1</v>
      </c>
      <c r="S640" s="1">
        <v>81.5</v>
      </c>
      <c r="T640" s="5">
        <v>0.11210000000000001</v>
      </c>
      <c r="U640" s="10">
        <v>-1E-3</v>
      </c>
    </row>
    <row r="641" spans="1:21" customFormat="1">
      <c r="A641">
        <v>1</v>
      </c>
      <c r="B641">
        <v>35</v>
      </c>
      <c r="C641">
        <v>8</v>
      </c>
      <c r="D641">
        <v>5</v>
      </c>
      <c r="E641">
        <v>2020</v>
      </c>
      <c r="F641">
        <v>14101</v>
      </c>
      <c r="G641" t="str">
        <f>VLOOKUP(F641,'[1]Sheet 1'!$B$2:$E$347,2,FALSE)</f>
        <v>Los Ríos</v>
      </c>
      <c r="H641" t="str">
        <f>VLOOKUP(F641,'[1]Sheet 1'!$B$2:$E$347,3,FALSE)</f>
        <v>Valdivia</v>
      </c>
      <c r="I641" t="str">
        <f>VLOOKUP(F641,'[1]Sheet 1'!$B$2:$E$347,4,FALSE)</f>
        <v>Valdivia</v>
      </c>
      <c r="J641" t="s">
        <v>136</v>
      </c>
      <c r="K641" s="3" t="s">
        <v>0</v>
      </c>
      <c r="L641" s="12" t="str">
        <f>VLOOKUP(K641,[2]Hoja4!$A$2:$C$443,2,FALSE)</f>
        <v>Intentional self-harm by hanging, strangulation and suffocation</v>
      </c>
      <c r="M641" s="12" t="str">
        <f>VLOOKUP(K641,[2]Hoja4!$A$2:$C$443,3,FALSE)</f>
        <v>Unspecified place</v>
      </c>
      <c r="N641" s="1">
        <v>8.8000000000000007</v>
      </c>
      <c r="O641" s="1">
        <v>17</v>
      </c>
      <c r="P641" s="1">
        <v>11.7</v>
      </c>
      <c r="Q641" s="1">
        <v>1007.9</v>
      </c>
      <c r="R641" s="1">
        <v>11.8</v>
      </c>
      <c r="S641" s="1">
        <v>96</v>
      </c>
      <c r="T641" s="5">
        <v>0.11210000000000001</v>
      </c>
      <c r="U641" s="10">
        <v>-1E-3</v>
      </c>
    </row>
    <row r="642" spans="1:21" customFormat="1">
      <c r="A642">
        <v>1</v>
      </c>
      <c r="B642">
        <v>29</v>
      </c>
      <c r="C642">
        <v>8</v>
      </c>
      <c r="D642">
        <v>5</v>
      </c>
      <c r="E642">
        <v>2020</v>
      </c>
      <c r="F642">
        <v>13302</v>
      </c>
      <c r="G642" t="str">
        <f>VLOOKUP(F642,'[1]Sheet 1'!$B$2:$E$347,2,FALSE)</f>
        <v>Metropolitana de Santiago</v>
      </c>
      <c r="H642" t="str">
        <f>VLOOKUP(F642,'[1]Sheet 1'!$B$2:$E$347,3,FALSE)</f>
        <v>Chacabuco</v>
      </c>
      <c r="I642" t="str">
        <f>VLOOKUP(F642,'[1]Sheet 1'!$B$2:$E$347,4,FALSE)</f>
        <v>Lampa</v>
      </c>
      <c r="J642" t="s">
        <v>136</v>
      </c>
      <c r="K642" s="3" t="s">
        <v>0</v>
      </c>
      <c r="L642" s="12" t="str">
        <f>VLOOKUP(K642,[2]Hoja4!$A$2:$C$443,2,FALSE)</f>
        <v>Intentional self-harm by hanging, strangulation and suffocation</v>
      </c>
      <c r="M642" s="12" t="str">
        <f>VLOOKUP(K642,[2]Hoja4!$A$2:$C$443,3,FALSE)</f>
        <v>Unspecified place</v>
      </c>
      <c r="N642" s="1">
        <v>6.2</v>
      </c>
      <c r="O642" s="1">
        <v>28.6</v>
      </c>
      <c r="P642" s="1">
        <v>16.5</v>
      </c>
      <c r="Q642" s="1">
        <v>937.2</v>
      </c>
      <c r="R642" s="1"/>
      <c r="S642" s="1">
        <v>34.5</v>
      </c>
      <c r="T642" s="5">
        <v>0.11210000000000001</v>
      </c>
      <c r="U642" s="10">
        <v>-1E-3</v>
      </c>
    </row>
    <row r="643" spans="1:21" customFormat="1">
      <c r="A643">
        <v>1</v>
      </c>
      <c r="B643">
        <v>34</v>
      </c>
      <c r="C643">
        <v>8</v>
      </c>
      <c r="D643">
        <v>5</v>
      </c>
      <c r="E643">
        <v>2020</v>
      </c>
      <c r="F643">
        <v>12101</v>
      </c>
      <c r="G643" t="str">
        <f>VLOOKUP(F643,'[1]Sheet 1'!$B$2:$E$347,2,FALSE)</f>
        <v>Magallanes y de la Antártica Chilena</v>
      </c>
      <c r="H643" t="str">
        <f>VLOOKUP(F643,'[1]Sheet 1'!$B$2:$E$347,3,FALSE)</f>
        <v>Magallanes</v>
      </c>
      <c r="I643" t="str">
        <f>VLOOKUP(F643,'[1]Sheet 1'!$B$2:$E$347,4,FALSE)</f>
        <v>Punta Arenas</v>
      </c>
      <c r="J643" t="s">
        <v>136</v>
      </c>
      <c r="K643" s="3" t="s">
        <v>17</v>
      </c>
      <c r="L643" s="12" t="str">
        <f>VLOOKUP(K643,[2]Hoja4!$A$2:$C$443,2,FALSE)</f>
        <v>Intentional self-harm by hanging, strangulation and suffocation</v>
      </c>
      <c r="M643" s="12" t="str">
        <f>VLOOKUP(K643,[2]Hoja4!$A$2:$C$443,3,FALSE)</f>
        <v>Industrial and construction area</v>
      </c>
      <c r="N643" s="1">
        <v>1</v>
      </c>
      <c r="O643" s="1">
        <v>11.8</v>
      </c>
      <c r="P643" s="1">
        <v>5.7</v>
      </c>
      <c r="Q643" s="1">
        <v>989.3</v>
      </c>
      <c r="R643" s="1">
        <v>0</v>
      </c>
      <c r="S643" s="1">
        <v>87</v>
      </c>
      <c r="T643" s="5">
        <v>0.11210000000000001</v>
      </c>
      <c r="U643" s="10">
        <v>-1E-3</v>
      </c>
    </row>
    <row r="644" spans="1:21" customFormat="1">
      <c r="A644">
        <v>1</v>
      </c>
      <c r="B644">
        <v>24</v>
      </c>
      <c r="C644">
        <v>8</v>
      </c>
      <c r="D644">
        <v>5</v>
      </c>
      <c r="E644">
        <v>2020</v>
      </c>
      <c r="F644">
        <v>8203</v>
      </c>
      <c r="G644" t="str">
        <f>VLOOKUP(F644,'[1]Sheet 1'!$B$2:$E$347,2,FALSE)</f>
        <v>Biobío</v>
      </c>
      <c r="H644" t="str">
        <f>VLOOKUP(F644,'[1]Sheet 1'!$B$2:$E$347,3,FALSE)</f>
        <v>Arauco</v>
      </c>
      <c r="I644" t="str">
        <f>VLOOKUP(F644,'[1]Sheet 1'!$B$2:$E$347,4,FALSE)</f>
        <v>Cañete</v>
      </c>
      <c r="J644" t="s">
        <v>136</v>
      </c>
      <c r="K644" s="3" t="s">
        <v>4</v>
      </c>
      <c r="L644" s="12" t="str">
        <f>VLOOKUP(K644,[2]Hoja4!$A$2:$C$443,2,FALSE)</f>
        <v>Intentional self-harm by hanging, strangulation and suffocation</v>
      </c>
      <c r="M644" s="12" t="str">
        <f>VLOOKUP(K644,[2]Hoja4!$A$2:$C$443,3,FALSE)</f>
        <v>At home</v>
      </c>
      <c r="N644" s="1">
        <v>9.3000000000000007</v>
      </c>
      <c r="O644" s="1">
        <v>13.8</v>
      </c>
      <c r="P644" s="1">
        <v>12.1</v>
      </c>
      <c r="Q644" s="1">
        <v>1013.7</v>
      </c>
      <c r="R644" s="1">
        <v>0.2</v>
      </c>
      <c r="S644" s="1">
        <v>97.8</v>
      </c>
      <c r="T644" s="5">
        <v>0.11210000000000001</v>
      </c>
      <c r="U644" s="10">
        <v>-1E-3</v>
      </c>
    </row>
    <row r="645" spans="1:21" customFormat="1">
      <c r="A645">
        <v>1</v>
      </c>
      <c r="B645">
        <v>21</v>
      </c>
      <c r="C645">
        <v>8</v>
      </c>
      <c r="D645">
        <v>5</v>
      </c>
      <c r="E645">
        <v>2020</v>
      </c>
      <c r="F645">
        <v>13201</v>
      </c>
      <c r="G645" t="str">
        <f>VLOOKUP(F645,'[1]Sheet 1'!$B$2:$E$347,2,FALSE)</f>
        <v>Metropolitana de Santiago</v>
      </c>
      <c r="H645" t="str">
        <f>VLOOKUP(F645,'[1]Sheet 1'!$B$2:$E$347,3,FALSE)</f>
        <v>Cordillera</v>
      </c>
      <c r="I645" t="str">
        <f>VLOOKUP(F645,'[1]Sheet 1'!$B$2:$E$347,4,FALSE)</f>
        <v>Puente Alto</v>
      </c>
      <c r="J645" t="s">
        <v>136</v>
      </c>
      <c r="K645" s="3" t="s">
        <v>0</v>
      </c>
      <c r="L645" s="12" t="str">
        <f>VLOOKUP(K645,[2]Hoja4!$A$2:$C$443,2,FALSE)</f>
        <v>Intentional self-harm by hanging, strangulation and suffocation</v>
      </c>
      <c r="M645" s="12" t="str">
        <f>VLOOKUP(K645,[2]Hoja4!$A$2:$C$443,3,FALSE)</f>
        <v>Unspecified place</v>
      </c>
      <c r="N645" s="1">
        <v>1.4</v>
      </c>
      <c r="O645" s="1">
        <v>28.9</v>
      </c>
      <c r="P645" s="1">
        <v>12.8</v>
      </c>
      <c r="Q645" s="1">
        <v>939</v>
      </c>
      <c r="R645" s="1">
        <v>0</v>
      </c>
      <c r="S645" s="1">
        <v>57.8</v>
      </c>
      <c r="T645" s="5">
        <v>0.11210000000000001</v>
      </c>
      <c r="U645" s="10">
        <v>-1E-3</v>
      </c>
    </row>
    <row r="646" spans="1:21" customFormat="1">
      <c r="A646">
        <v>1</v>
      </c>
      <c r="B646">
        <v>84</v>
      </c>
      <c r="C646">
        <v>9</v>
      </c>
      <c r="D646">
        <v>5</v>
      </c>
      <c r="E646">
        <v>2020</v>
      </c>
      <c r="F646">
        <v>7406</v>
      </c>
      <c r="G646" t="str">
        <f>VLOOKUP(F646,'[1]Sheet 1'!$B$2:$E$347,2,FALSE)</f>
        <v>Maule</v>
      </c>
      <c r="H646" t="str">
        <f>VLOOKUP(F646,'[1]Sheet 1'!$B$2:$E$347,3,FALSE)</f>
        <v>Linares</v>
      </c>
      <c r="I646" t="str">
        <f>VLOOKUP(F646,'[1]Sheet 1'!$B$2:$E$347,4,FALSE)</f>
        <v>San Javier</v>
      </c>
      <c r="J646" t="s">
        <v>136</v>
      </c>
      <c r="K646" s="3" t="s">
        <v>4</v>
      </c>
      <c r="L646" s="12" t="str">
        <f>VLOOKUP(K646,[2]Hoja4!$A$2:$C$443,2,FALSE)</f>
        <v>Intentional self-harm by hanging, strangulation and suffocation</v>
      </c>
      <c r="M646" s="12" t="str">
        <f>VLOOKUP(K646,[2]Hoja4!$A$2:$C$443,3,FALSE)</f>
        <v>At home</v>
      </c>
      <c r="N646" s="1">
        <v>3.9</v>
      </c>
      <c r="O646" s="1">
        <v>19</v>
      </c>
      <c r="P646" s="1">
        <v>12</v>
      </c>
      <c r="Q646" s="1">
        <v>996.6</v>
      </c>
      <c r="R646" s="1">
        <v>0</v>
      </c>
      <c r="S646" s="1">
        <v>85.7</v>
      </c>
      <c r="T646" s="5">
        <v>0.11210000000000001</v>
      </c>
      <c r="U646" s="10">
        <v>-1E-3</v>
      </c>
    </row>
    <row r="647" spans="1:21" customFormat="1">
      <c r="A647">
        <v>2</v>
      </c>
      <c r="B647">
        <v>63</v>
      </c>
      <c r="C647">
        <v>9</v>
      </c>
      <c r="D647">
        <v>5</v>
      </c>
      <c r="E647">
        <v>2020</v>
      </c>
      <c r="F647">
        <v>10109</v>
      </c>
      <c r="G647" t="str">
        <f>VLOOKUP(F647,'[1]Sheet 1'!$B$2:$E$347,2,FALSE)</f>
        <v>Los Lagos</v>
      </c>
      <c r="H647" t="str">
        <f>VLOOKUP(F647,'[1]Sheet 1'!$B$2:$E$347,3,FALSE)</f>
        <v>Llanquihue</v>
      </c>
      <c r="I647" t="str">
        <f>VLOOKUP(F647,'[1]Sheet 1'!$B$2:$E$347,4,FALSE)</f>
        <v>Puerto Varas</v>
      </c>
      <c r="J647" t="s">
        <v>167</v>
      </c>
      <c r="K647" s="3" t="s">
        <v>6</v>
      </c>
      <c r="L647" s="12" t="str">
        <f>VLOOKUP(K647,[2]Hoja4!$A$2:$C$443,2,FALSE)</f>
        <v>Intentional self-harm by sharp object</v>
      </c>
      <c r="M647" s="12" t="str">
        <f>VLOOKUP(K647,[2]Hoja4!$A$2:$C$443,3,FALSE)</f>
        <v>At home</v>
      </c>
      <c r="N647" s="1">
        <v>10.1</v>
      </c>
      <c r="O647" s="1">
        <v>12.7</v>
      </c>
      <c r="P647" s="1">
        <v>11.3</v>
      </c>
      <c r="Q647" s="1">
        <v>993.9</v>
      </c>
      <c r="R647" s="1">
        <v>14.8</v>
      </c>
      <c r="S647" s="1">
        <v>92.5</v>
      </c>
      <c r="T647" s="5">
        <v>0.11210000000000001</v>
      </c>
      <c r="U647" s="10">
        <v>-1E-3</v>
      </c>
    </row>
    <row r="648" spans="1:21" customFormat="1">
      <c r="A648">
        <v>1</v>
      </c>
      <c r="B648">
        <v>32</v>
      </c>
      <c r="C648">
        <v>9</v>
      </c>
      <c r="D648">
        <v>5</v>
      </c>
      <c r="E648">
        <v>2020</v>
      </c>
      <c r="F648">
        <v>6113</v>
      </c>
      <c r="G648" t="str">
        <f>VLOOKUP(F648,'[1]Sheet 1'!$B$2:$E$347,2,FALSE)</f>
        <v>Libertador General Bernardo O'Higgins</v>
      </c>
      <c r="H648" t="str">
        <f>VLOOKUP(F648,'[1]Sheet 1'!$B$2:$E$347,3,FALSE)</f>
        <v>Cachapoal</v>
      </c>
      <c r="I648" t="str">
        <f>VLOOKUP(F648,'[1]Sheet 1'!$B$2:$E$347,4,FALSE)</f>
        <v>Pichidegua</v>
      </c>
      <c r="J648" t="s">
        <v>136</v>
      </c>
      <c r="K648" s="3" t="s">
        <v>0</v>
      </c>
      <c r="L648" s="12" t="str">
        <f>VLOOKUP(K648,[2]Hoja4!$A$2:$C$443,2,FALSE)</f>
        <v>Intentional self-harm by hanging, strangulation and suffocation</v>
      </c>
      <c r="M648" s="12" t="str">
        <f>VLOOKUP(K648,[2]Hoja4!$A$2:$C$443,3,FALSE)</f>
        <v>Unspecified place</v>
      </c>
      <c r="N648" s="1">
        <v>6.1</v>
      </c>
      <c r="O648" s="1">
        <v>23.7</v>
      </c>
      <c r="P648" s="1">
        <v>14.1</v>
      </c>
      <c r="Q648" s="1">
        <v>959.3</v>
      </c>
      <c r="R648" s="1">
        <v>0</v>
      </c>
      <c r="S648" s="1">
        <v>73.5</v>
      </c>
      <c r="T648" s="5">
        <v>0.11210000000000001</v>
      </c>
      <c r="U648" s="10">
        <v>-1E-3</v>
      </c>
    </row>
    <row r="649" spans="1:21" customFormat="1">
      <c r="A649">
        <v>1</v>
      </c>
      <c r="B649">
        <v>19</v>
      </c>
      <c r="C649">
        <v>9</v>
      </c>
      <c r="D649">
        <v>5</v>
      </c>
      <c r="E649">
        <v>2020</v>
      </c>
      <c r="F649">
        <v>13602</v>
      </c>
      <c r="G649" t="str">
        <f>VLOOKUP(F649,'[1]Sheet 1'!$B$2:$E$347,2,FALSE)</f>
        <v>Metropolitana de Santiago</v>
      </c>
      <c r="H649" t="str">
        <f>VLOOKUP(F649,'[1]Sheet 1'!$B$2:$E$347,3,FALSE)</f>
        <v>Talagante</v>
      </c>
      <c r="I649" t="str">
        <f>VLOOKUP(F649,'[1]Sheet 1'!$B$2:$E$347,4,FALSE)</f>
        <v>El Monte</v>
      </c>
      <c r="J649" t="s">
        <v>136</v>
      </c>
      <c r="K649" s="3" t="s">
        <v>0</v>
      </c>
      <c r="L649" s="12" t="str">
        <f>VLOOKUP(K649,[2]Hoja4!$A$2:$C$443,2,FALSE)</f>
        <v>Intentional self-harm by hanging, strangulation and suffocation</v>
      </c>
      <c r="M649" s="12" t="str">
        <f>VLOOKUP(K649,[2]Hoja4!$A$2:$C$443,3,FALSE)</f>
        <v>Unspecified place</v>
      </c>
      <c r="N649" s="1">
        <v>5.8</v>
      </c>
      <c r="O649" s="1">
        <v>22.4</v>
      </c>
      <c r="P649" s="1">
        <v>13.2</v>
      </c>
      <c r="Q649" s="1"/>
      <c r="R649" s="1">
        <v>0</v>
      </c>
      <c r="S649" s="1">
        <v>70.5</v>
      </c>
      <c r="T649" s="5">
        <v>0.11210000000000001</v>
      </c>
      <c r="U649" s="10">
        <v>-1E-3</v>
      </c>
    </row>
    <row r="650" spans="1:21" customFormat="1">
      <c r="A650">
        <v>1</v>
      </c>
      <c r="B650">
        <v>84</v>
      </c>
      <c r="C650">
        <v>10</v>
      </c>
      <c r="D650">
        <v>5</v>
      </c>
      <c r="E650">
        <v>2020</v>
      </c>
      <c r="F650">
        <v>8101</v>
      </c>
      <c r="G650" t="str">
        <f>VLOOKUP(F650,'[1]Sheet 1'!$B$2:$E$347,2,FALSE)</f>
        <v>Biobío</v>
      </c>
      <c r="H650" t="str">
        <f>VLOOKUP(F650,'[1]Sheet 1'!$B$2:$E$347,3,FALSE)</f>
        <v>Concepción</v>
      </c>
      <c r="I650" t="str">
        <f>VLOOKUP(F650,'[1]Sheet 1'!$B$2:$E$347,4,FALSE)</f>
        <v>Concepción</v>
      </c>
      <c r="J650" t="s">
        <v>136</v>
      </c>
      <c r="K650" s="3" t="s">
        <v>4</v>
      </c>
      <c r="L650" s="12" t="str">
        <f>VLOOKUP(K650,[2]Hoja4!$A$2:$C$443,2,FALSE)</f>
        <v>Intentional self-harm by hanging, strangulation and suffocation</v>
      </c>
      <c r="M650" s="12" t="str">
        <f>VLOOKUP(K650,[2]Hoja4!$A$2:$C$443,3,FALSE)</f>
        <v>At home</v>
      </c>
      <c r="N650" s="1">
        <v>12.7</v>
      </c>
      <c r="O650" s="1">
        <v>17.100000000000001</v>
      </c>
      <c r="P650" s="1">
        <v>14.4</v>
      </c>
      <c r="Q650" s="1">
        <v>1018.8</v>
      </c>
      <c r="R650" s="1">
        <v>0</v>
      </c>
      <c r="S650" s="1">
        <v>86.5</v>
      </c>
      <c r="T650" s="5">
        <v>0.11210000000000001</v>
      </c>
      <c r="U650" s="10">
        <v>-1E-3</v>
      </c>
    </row>
    <row r="651" spans="1:21" customFormat="1">
      <c r="A651">
        <v>1</v>
      </c>
      <c r="B651">
        <v>64</v>
      </c>
      <c r="C651">
        <v>10</v>
      </c>
      <c r="D651">
        <v>5</v>
      </c>
      <c r="E651">
        <v>2020</v>
      </c>
      <c r="F651">
        <v>13105</v>
      </c>
      <c r="G651" t="str">
        <f>VLOOKUP(F651,'[1]Sheet 1'!$B$2:$E$347,2,FALSE)</f>
        <v>Metropolitana de Santiago</v>
      </c>
      <c r="H651" t="str">
        <f>VLOOKUP(F651,'[1]Sheet 1'!$B$2:$E$347,3,FALSE)</f>
        <v>Santiago</v>
      </c>
      <c r="I651" t="str">
        <f>VLOOKUP(F651,'[1]Sheet 1'!$B$2:$E$347,4,FALSE)</f>
        <v>El Bosque</v>
      </c>
      <c r="J651" t="s">
        <v>136</v>
      </c>
      <c r="K651" s="3" t="s">
        <v>0</v>
      </c>
      <c r="L651" s="12" t="str">
        <f>VLOOKUP(K651,[2]Hoja4!$A$2:$C$443,2,FALSE)</f>
        <v>Intentional self-harm by hanging, strangulation and suffocation</v>
      </c>
      <c r="M651" s="12" t="str">
        <f>VLOOKUP(K651,[2]Hoja4!$A$2:$C$443,3,FALSE)</f>
        <v>Unspecified place</v>
      </c>
      <c r="N651" s="1">
        <v>6.1</v>
      </c>
      <c r="O651" s="1">
        <v>19.3</v>
      </c>
      <c r="P651" s="1">
        <v>12.5</v>
      </c>
      <c r="Q651" s="1">
        <v>958</v>
      </c>
      <c r="R651" s="1"/>
      <c r="S651" s="1">
        <v>80.5</v>
      </c>
      <c r="T651" s="5">
        <v>0.11210000000000001</v>
      </c>
      <c r="U651" s="10">
        <v>-1E-3</v>
      </c>
    </row>
    <row r="652" spans="1:21" customFormat="1">
      <c r="A652">
        <v>1</v>
      </c>
      <c r="B652">
        <v>54</v>
      </c>
      <c r="C652">
        <v>10</v>
      </c>
      <c r="D652">
        <v>5</v>
      </c>
      <c r="E652">
        <v>2020</v>
      </c>
      <c r="F652">
        <v>9209</v>
      </c>
      <c r="G652" t="str">
        <f>VLOOKUP(F652,'[1]Sheet 1'!$B$2:$E$347,2,FALSE)</f>
        <v>La Araucanía</v>
      </c>
      <c r="H652" t="str">
        <f>VLOOKUP(F652,'[1]Sheet 1'!$B$2:$E$347,3,FALSE)</f>
        <v>Malleco</v>
      </c>
      <c r="I652" t="str">
        <f>VLOOKUP(F652,'[1]Sheet 1'!$B$2:$E$347,4,FALSE)</f>
        <v>Renaico</v>
      </c>
      <c r="J652" t="s">
        <v>136</v>
      </c>
      <c r="K652" s="3" t="s">
        <v>0</v>
      </c>
      <c r="L652" s="12" t="str">
        <f>VLOOKUP(K652,[2]Hoja4!$A$2:$C$443,2,FALSE)</f>
        <v>Intentional self-harm by hanging, strangulation and suffocation</v>
      </c>
      <c r="M652" s="12" t="str">
        <f>VLOOKUP(K652,[2]Hoja4!$A$2:$C$443,3,FALSE)</f>
        <v>Unspecified place</v>
      </c>
      <c r="N652" s="1">
        <v>9.4</v>
      </c>
      <c r="O652" s="1">
        <v>17</v>
      </c>
      <c r="P652" s="1">
        <v>12.9</v>
      </c>
      <c r="Q652" s="1">
        <v>502</v>
      </c>
      <c r="R652" s="1">
        <v>0.1</v>
      </c>
      <c r="S652" s="1">
        <v>85.8</v>
      </c>
      <c r="T652" s="5">
        <v>0.11210000000000001</v>
      </c>
      <c r="U652" s="10">
        <v>-1E-3</v>
      </c>
    </row>
    <row r="653" spans="1:21" customFormat="1">
      <c r="A653">
        <v>1</v>
      </c>
      <c r="B653">
        <v>39</v>
      </c>
      <c r="C653">
        <v>10</v>
      </c>
      <c r="D653">
        <v>5</v>
      </c>
      <c r="E653">
        <v>2020</v>
      </c>
      <c r="F653">
        <v>13404</v>
      </c>
      <c r="G653" t="str">
        <f>VLOOKUP(F653,'[1]Sheet 1'!$B$2:$E$347,2,FALSE)</f>
        <v>Metropolitana de Santiago</v>
      </c>
      <c r="H653" t="str">
        <f>VLOOKUP(F653,'[1]Sheet 1'!$B$2:$E$347,3,FALSE)</f>
        <v>Maipo</v>
      </c>
      <c r="I653" t="str">
        <f>VLOOKUP(F653,'[1]Sheet 1'!$B$2:$E$347,4,FALSE)</f>
        <v>Paine</v>
      </c>
      <c r="J653" t="s">
        <v>136</v>
      </c>
      <c r="K653" s="3" t="s">
        <v>0</v>
      </c>
      <c r="L653" s="12" t="str">
        <f>VLOOKUP(K653,[2]Hoja4!$A$2:$C$443,2,FALSE)</f>
        <v>Intentional self-harm by hanging, strangulation and suffocation</v>
      </c>
      <c r="M653" s="12" t="str">
        <f>VLOOKUP(K653,[2]Hoja4!$A$2:$C$443,3,FALSE)</f>
        <v>Unspecified place</v>
      </c>
      <c r="N653" s="1">
        <v>4.0999999999999996</v>
      </c>
      <c r="O653" s="1">
        <v>20.399999999999999</v>
      </c>
      <c r="P653" s="1">
        <v>11.1</v>
      </c>
      <c r="Q653" s="1">
        <v>967.6</v>
      </c>
      <c r="R653" s="1">
        <v>0</v>
      </c>
      <c r="S653" s="1">
        <v>83.6</v>
      </c>
      <c r="T653" s="5">
        <v>0.11210000000000001</v>
      </c>
      <c r="U653" s="10">
        <v>-1E-3</v>
      </c>
    </row>
    <row r="654" spans="1:21" customFormat="1">
      <c r="A654">
        <v>2</v>
      </c>
      <c r="B654">
        <v>28</v>
      </c>
      <c r="C654">
        <v>10</v>
      </c>
      <c r="D654">
        <v>5</v>
      </c>
      <c r="E654">
        <v>2020</v>
      </c>
      <c r="F654">
        <v>8110</v>
      </c>
      <c r="G654" t="str">
        <f>VLOOKUP(F654,'[1]Sheet 1'!$B$2:$E$347,2,FALSE)</f>
        <v>Biobío</v>
      </c>
      <c r="H654" t="str">
        <f>VLOOKUP(F654,'[1]Sheet 1'!$B$2:$E$347,3,FALSE)</f>
        <v>Concepción</v>
      </c>
      <c r="I654" t="str">
        <f>VLOOKUP(F654,'[1]Sheet 1'!$B$2:$E$347,4,FALSE)</f>
        <v>Talcahuano</v>
      </c>
      <c r="J654" t="s">
        <v>136</v>
      </c>
      <c r="K654" s="3" t="s">
        <v>4</v>
      </c>
      <c r="L654" s="12" t="str">
        <f>VLOOKUP(K654,[2]Hoja4!$A$2:$C$443,2,FALSE)</f>
        <v>Intentional self-harm by hanging, strangulation and suffocation</v>
      </c>
      <c r="M654" s="12" t="str">
        <f>VLOOKUP(K654,[2]Hoja4!$A$2:$C$443,3,FALSE)</f>
        <v>At home</v>
      </c>
      <c r="N654" s="1">
        <v>12.7</v>
      </c>
      <c r="O654" s="1">
        <v>17.100000000000001</v>
      </c>
      <c r="P654" s="1">
        <v>14.4</v>
      </c>
      <c r="Q654" s="1">
        <v>1018.8</v>
      </c>
      <c r="R654" s="1">
        <v>0</v>
      </c>
      <c r="S654" s="1">
        <v>86.5</v>
      </c>
      <c r="T654" s="5">
        <v>0.11210000000000001</v>
      </c>
      <c r="U654" s="10">
        <v>-1E-3</v>
      </c>
    </row>
    <row r="655" spans="1:21" customFormat="1">
      <c r="A655">
        <v>1</v>
      </c>
      <c r="B655">
        <v>22</v>
      </c>
      <c r="C655">
        <v>10</v>
      </c>
      <c r="D655">
        <v>5</v>
      </c>
      <c r="E655">
        <v>2020</v>
      </c>
      <c r="F655">
        <v>13128</v>
      </c>
      <c r="G655" t="str">
        <f>VLOOKUP(F655,'[1]Sheet 1'!$B$2:$E$347,2,FALSE)</f>
        <v>Metropolitana de Santiago</v>
      </c>
      <c r="H655" t="str">
        <f>VLOOKUP(F655,'[1]Sheet 1'!$B$2:$E$347,3,FALSE)</f>
        <v>Santiago</v>
      </c>
      <c r="I655" t="str">
        <f>VLOOKUP(F655,'[1]Sheet 1'!$B$2:$E$347,4,FALSE)</f>
        <v>Renca</v>
      </c>
      <c r="J655" t="s">
        <v>136</v>
      </c>
      <c r="K655" s="3" t="s">
        <v>0</v>
      </c>
      <c r="L655" s="12" t="str">
        <f>VLOOKUP(K655,[2]Hoja4!$A$2:$C$443,2,FALSE)</f>
        <v>Intentional self-harm by hanging, strangulation and suffocation</v>
      </c>
      <c r="M655" s="12" t="str">
        <f>VLOOKUP(K655,[2]Hoja4!$A$2:$C$443,3,FALSE)</f>
        <v>Unspecified place</v>
      </c>
      <c r="N655" s="1">
        <v>6.1</v>
      </c>
      <c r="O655" s="1">
        <v>19.3</v>
      </c>
      <c r="P655" s="1">
        <v>12.5</v>
      </c>
      <c r="Q655" s="1">
        <v>958</v>
      </c>
      <c r="R655" s="1"/>
      <c r="S655" s="1">
        <v>80.5</v>
      </c>
      <c r="T655" s="5">
        <v>0.11210000000000001</v>
      </c>
      <c r="U655" s="10">
        <v>-1E-3</v>
      </c>
    </row>
    <row r="656" spans="1:21" customFormat="1">
      <c r="A656">
        <v>1</v>
      </c>
      <c r="B656">
        <v>26</v>
      </c>
      <c r="C656">
        <v>10</v>
      </c>
      <c r="D656">
        <v>5</v>
      </c>
      <c r="E656">
        <v>2020</v>
      </c>
      <c r="F656">
        <v>4301</v>
      </c>
      <c r="G656" t="str">
        <f>VLOOKUP(F656,'[1]Sheet 1'!$B$2:$E$347,2,FALSE)</f>
        <v>Coquimbo</v>
      </c>
      <c r="H656" t="str">
        <f>VLOOKUP(F656,'[1]Sheet 1'!$B$2:$E$347,3,FALSE)</f>
        <v>Limarí</v>
      </c>
      <c r="I656" t="str">
        <f>VLOOKUP(F656,'[1]Sheet 1'!$B$2:$E$347,4,FALSE)</f>
        <v>Ovalle</v>
      </c>
      <c r="J656" t="s">
        <v>136</v>
      </c>
      <c r="K656" s="3" t="s">
        <v>4</v>
      </c>
      <c r="L656" s="12" t="str">
        <f>VLOOKUP(K656,[2]Hoja4!$A$2:$C$443,2,FALSE)</f>
        <v>Intentional self-harm by hanging, strangulation and suffocation</v>
      </c>
      <c r="M656" s="12" t="str">
        <f>VLOOKUP(K656,[2]Hoja4!$A$2:$C$443,3,FALSE)</f>
        <v>At home</v>
      </c>
      <c r="N656" s="1">
        <v>4.8</v>
      </c>
      <c r="O656" s="1">
        <v>22.4</v>
      </c>
      <c r="P656" s="1">
        <v>12.1</v>
      </c>
      <c r="Q656" s="1">
        <v>979.9</v>
      </c>
      <c r="R656" s="1">
        <v>0</v>
      </c>
      <c r="S656" s="1">
        <v>79.099999999999994</v>
      </c>
      <c r="T656" s="5">
        <v>0.11210000000000001</v>
      </c>
      <c r="U656" s="10">
        <v>-1E-3</v>
      </c>
    </row>
    <row r="657" spans="1:21" customFormat="1">
      <c r="A657">
        <v>1</v>
      </c>
      <c r="B657">
        <v>72</v>
      </c>
      <c r="C657">
        <v>11</v>
      </c>
      <c r="D657">
        <v>5</v>
      </c>
      <c r="E657">
        <v>2020</v>
      </c>
      <c r="F657">
        <v>1101</v>
      </c>
      <c r="G657" t="str">
        <f>VLOOKUP(F657,'[1]Sheet 1'!$B$2:$E$347,2,FALSE)</f>
        <v>Tarapacá</v>
      </c>
      <c r="H657" t="str">
        <f>VLOOKUP(F657,'[1]Sheet 1'!$B$2:$E$347,3,FALSE)</f>
        <v>Iquique</v>
      </c>
      <c r="I657" t="str">
        <f>VLOOKUP(F657,'[1]Sheet 1'!$B$2:$E$347,4,FALSE)</f>
        <v>Iquique</v>
      </c>
      <c r="J657" t="s">
        <v>136</v>
      </c>
      <c r="K657" s="3" t="s">
        <v>4</v>
      </c>
      <c r="L657" s="12" t="str">
        <f>VLOOKUP(K657,[2]Hoja4!$A$2:$C$443,2,FALSE)</f>
        <v>Intentional self-harm by hanging, strangulation and suffocation</v>
      </c>
      <c r="M657" s="12" t="str">
        <f>VLOOKUP(K657,[2]Hoja4!$A$2:$C$443,3,FALSE)</f>
        <v>At home</v>
      </c>
      <c r="N657" s="1">
        <v>16.8</v>
      </c>
      <c r="O657" s="1">
        <v>19.8</v>
      </c>
      <c r="P657" s="1">
        <v>18.3</v>
      </c>
      <c r="Q657" s="1">
        <v>1013.7</v>
      </c>
      <c r="R657" s="1">
        <v>0</v>
      </c>
      <c r="S657" s="1">
        <v>68.7</v>
      </c>
      <c r="T657" s="5">
        <v>0.11210000000000001</v>
      </c>
      <c r="U657" s="10">
        <v>-1E-3</v>
      </c>
    </row>
    <row r="658" spans="1:21" customFormat="1">
      <c r="A658">
        <v>1</v>
      </c>
      <c r="B658">
        <v>58</v>
      </c>
      <c r="C658">
        <v>11</v>
      </c>
      <c r="D658">
        <v>5</v>
      </c>
      <c r="E658">
        <v>2020</v>
      </c>
      <c r="F658">
        <v>5102</v>
      </c>
      <c r="G658" t="str">
        <f>VLOOKUP(F658,'[1]Sheet 1'!$B$2:$E$347,2,FALSE)</f>
        <v>Valparaíso</v>
      </c>
      <c r="H658" t="str">
        <f>VLOOKUP(F658,'[1]Sheet 1'!$B$2:$E$347,3,FALSE)</f>
        <v>Valparaíso</v>
      </c>
      <c r="I658" t="str">
        <f>VLOOKUP(F658,'[1]Sheet 1'!$B$2:$E$347,4,FALSE)</f>
        <v>Casablanca</v>
      </c>
      <c r="J658" t="s">
        <v>136</v>
      </c>
      <c r="K658" s="3" t="s">
        <v>4</v>
      </c>
      <c r="L658" s="12" t="str">
        <f>VLOOKUP(K658,[2]Hoja4!$A$2:$C$443,2,FALSE)</f>
        <v>Intentional self-harm by hanging, strangulation and suffocation</v>
      </c>
      <c r="M658" s="12" t="str">
        <f>VLOOKUP(K658,[2]Hoja4!$A$2:$C$443,3,FALSE)</f>
        <v>At home</v>
      </c>
      <c r="N658" s="1" t="s">
        <v>96</v>
      </c>
      <c r="O658" s="1">
        <v>20.100000000000001</v>
      </c>
      <c r="P658" s="1">
        <v>13</v>
      </c>
      <c r="Q658" s="1">
        <v>977.3</v>
      </c>
      <c r="R658" s="1">
        <v>0</v>
      </c>
      <c r="S658" s="1">
        <v>80.5</v>
      </c>
      <c r="T658" s="5">
        <v>0.11210000000000001</v>
      </c>
      <c r="U658" s="10">
        <v>-1E-3</v>
      </c>
    </row>
    <row r="659" spans="1:21" customFormat="1">
      <c r="A659">
        <v>1</v>
      </c>
      <c r="B659">
        <v>50</v>
      </c>
      <c r="C659">
        <v>11</v>
      </c>
      <c r="D659">
        <v>5</v>
      </c>
      <c r="E659">
        <v>2020</v>
      </c>
      <c r="F659">
        <v>13501</v>
      </c>
      <c r="G659" t="str">
        <f>VLOOKUP(F659,'[1]Sheet 1'!$B$2:$E$347,2,FALSE)</f>
        <v>Metropolitana de Santiago</v>
      </c>
      <c r="H659" t="str">
        <f>VLOOKUP(F659,'[1]Sheet 1'!$B$2:$E$347,3,FALSE)</f>
        <v>Melipilla</v>
      </c>
      <c r="I659" t="str">
        <f>VLOOKUP(F659,'[1]Sheet 1'!$B$2:$E$347,4,FALSE)</f>
        <v>Melipilla</v>
      </c>
      <c r="J659" t="s">
        <v>136</v>
      </c>
      <c r="K659" s="3" t="s">
        <v>2</v>
      </c>
      <c r="L659" s="12" t="str">
        <f>VLOOKUP(K659,[2]Hoja4!$A$2:$C$443,2,FALSE)</f>
        <v>Intentional self-harm by hanging, strangulation and suffocation</v>
      </c>
      <c r="M659" s="12" t="str">
        <f>VLOOKUP(K659,[2]Hoja4!$A$2:$C$443,3,FALSE)</f>
        <v>Street and highway</v>
      </c>
      <c r="N659" s="1">
        <v>4.3</v>
      </c>
      <c r="O659" s="1">
        <v>20.399999999999999</v>
      </c>
      <c r="P659" s="1">
        <v>11.5</v>
      </c>
      <c r="Q659" s="1">
        <v>1017.2</v>
      </c>
      <c r="R659" s="1">
        <v>0</v>
      </c>
      <c r="S659" s="1">
        <v>63.5</v>
      </c>
      <c r="T659" s="5">
        <v>0.11210000000000001</v>
      </c>
      <c r="U659" s="10">
        <v>-1E-3</v>
      </c>
    </row>
    <row r="660" spans="1:21" customFormat="1">
      <c r="A660">
        <v>1</v>
      </c>
      <c r="B660">
        <v>41</v>
      </c>
      <c r="C660">
        <v>11</v>
      </c>
      <c r="D660">
        <v>5</v>
      </c>
      <c r="E660">
        <v>2020</v>
      </c>
      <c r="F660">
        <v>13118</v>
      </c>
      <c r="G660" t="str">
        <f>VLOOKUP(F660,'[1]Sheet 1'!$B$2:$E$347,2,FALSE)</f>
        <v>Metropolitana de Santiago</v>
      </c>
      <c r="H660" t="str">
        <f>VLOOKUP(F660,'[1]Sheet 1'!$B$2:$E$347,3,FALSE)</f>
        <v>Santiago</v>
      </c>
      <c r="I660" t="str">
        <f>VLOOKUP(F660,'[1]Sheet 1'!$B$2:$E$347,4,FALSE)</f>
        <v>Macul</v>
      </c>
      <c r="J660" t="s">
        <v>136</v>
      </c>
      <c r="K660" s="3" t="s">
        <v>0</v>
      </c>
      <c r="L660" s="12" t="str">
        <f>VLOOKUP(K660,[2]Hoja4!$A$2:$C$443,2,FALSE)</f>
        <v>Intentional self-harm by hanging, strangulation and suffocation</v>
      </c>
      <c r="M660" s="12" t="str">
        <f>VLOOKUP(K660,[2]Hoja4!$A$2:$C$443,3,FALSE)</f>
        <v>Unspecified place</v>
      </c>
      <c r="N660" s="1">
        <v>4.7</v>
      </c>
      <c r="O660" s="1">
        <v>20.9</v>
      </c>
      <c r="P660" s="1">
        <v>11.4</v>
      </c>
      <c r="Q660" s="1">
        <v>956.3</v>
      </c>
      <c r="R660" s="1"/>
      <c r="S660" s="1">
        <v>78.2</v>
      </c>
      <c r="T660" s="5">
        <v>0.11210000000000001</v>
      </c>
      <c r="U660" s="10">
        <v>-1E-3</v>
      </c>
    </row>
    <row r="661" spans="1:21" customFormat="1">
      <c r="A661">
        <v>1</v>
      </c>
      <c r="B661">
        <v>31</v>
      </c>
      <c r="C661">
        <v>11</v>
      </c>
      <c r="D661">
        <v>5</v>
      </c>
      <c r="E661">
        <v>2020</v>
      </c>
      <c r="F661">
        <v>8101</v>
      </c>
      <c r="G661" t="str">
        <f>VLOOKUP(F661,'[1]Sheet 1'!$B$2:$E$347,2,FALSE)</f>
        <v>Biobío</v>
      </c>
      <c r="H661" t="str">
        <f>VLOOKUP(F661,'[1]Sheet 1'!$B$2:$E$347,3,FALSE)</f>
        <v>Concepción</v>
      </c>
      <c r="I661" t="str">
        <f>VLOOKUP(F661,'[1]Sheet 1'!$B$2:$E$347,4,FALSE)</f>
        <v>Concepción</v>
      </c>
      <c r="J661" t="s">
        <v>136</v>
      </c>
      <c r="K661" s="3" t="s">
        <v>0</v>
      </c>
      <c r="L661" s="12" t="str">
        <f>VLOOKUP(K661,[2]Hoja4!$A$2:$C$443,2,FALSE)</f>
        <v>Intentional self-harm by hanging, strangulation and suffocation</v>
      </c>
      <c r="M661" s="12" t="str">
        <f>VLOOKUP(K661,[2]Hoja4!$A$2:$C$443,3,FALSE)</f>
        <v>Unspecified place</v>
      </c>
      <c r="N661" s="1">
        <v>6.7</v>
      </c>
      <c r="O661" s="1">
        <v>16.8</v>
      </c>
      <c r="P661" s="1">
        <v>11</v>
      </c>
      <c r="Q661" s="1">
        <v>1019.6</v>
      </c>
      <c r="R661" s="1">
        <v>0</v>
      </c>
      <c r="S661" s="1">
        <v>82.5</v>
      </c>
      <c r="T661" s="5">
        <v>0.11210000000000001</v>
      </c>
      <c r="U661" s="10">
        <v>-1E-3</v>
      </c>
    </row>
    <row r="662" spans="1:21" customFormat="1">
      <c r="A662">
        <v>1</v>
      </c>
      <c r="B662">
        <v>15</v>
      </c>
      <c r="C662">
        <v>11</v>
      </c>
      <c r="D662">
        <v>5</v>
      </c>
      <c r="E662">
        <v>2020</v>
      </c>
      <c r="F662">
        <v>13111</v>
      </c>
      <c r="G662" t="str">
        <f>VLOOKUP(F662,'[1]Sheet 1'!$B$2:$E$347,2,FALSE)</f>
        <v>Metropolitana de Santiago</v>
      </c>
      <c r="H662" t="str">
        <f>VLOOKUP(F662,'[1]Sheet 1'!$B$2:$E$347,3,FALSE)</f>
        <v>Santiago</v>
      </c>
      <c r="I662" t="str">
        <f>VLOOKUP(F662,'[1]Sheet 1'!$B$2:$E$347,4,FALSE)</f>
        <v>La Granja</v>
      </c>
      <c r="J662" t="s">
        <v>136</v>
      </c>
      <c r="K662" s="3" t="s">
        <v>0</v>
      </c>
      <c r="L662" s="12" t="str">
        <f>VLOOKUP(K662,[2]Hoja4!$A$2:$C$443,2,FALSE)</f>
        <v>Intentional self-harm by hanging, strangulation and suffocation</v>
      </c>
      <c r="M662" s="12" t="str">
        <f>VLOOKUP(K662,[2]Hoja4!$A$2:$C$443,3,FALSE)</f>
        <v>Unspecified place</v>
      </c>
      <c r="N662" s="1">
        <v>4.7</v>
      </c>
      <c r="O662" s="1">
        <v>20.9</v>
      </c>
      <c r="P662" s="1">
        <v>11.4</v>
      </c>
      <c r="Q662" s="1">
        <v>956.3</v>
      </c>
      <c r="R662" s="1"/>
      <c r="S662" s="1">
        <v>78.2</v>
      </c>
      <c r="T662" s="5">
        <v>0.11210000000000001</v>
      </c>
      <c r="U662" s="10">
        <v>-1E-3</v>
      </c>
    </row>
    <row r="663" spans="1:21" customFormat="1">
      <c r="A663">
        <v>1</v>
      </c>
      <c r="B663">
        <v>81</v>
      </c>
      <c r="C663">
        <v>12</v>
      </c>
      <c r="D663">
        <v>5</v>
      </c>
      <c r="E663">
        <v>2020</v>
      </c>
      <c r="F663">
        <v>9203</v>
      </c>
      <c r="G663" t="str">
        <f>VLOOKUP(F663,'[1]Sheet 1'!$B$2:$E$347,2,FALSE)</f>
        <v>La Araucanía</v>
      </c>
      <c r="H663" t="str">
        <f>VLOOKUP(F663,'[1]Sheet 1'!$B$2:$E$347,3,FALSE)</f>
        <v>Malleco</v>
      </c>
      <c r="I663" t="str">
        <f>VLOOKUP(F663,'[1]Sheet 1'!$B$2:$E$347,4,FALSE)</f>
        <v>Curacautín</v>
      </c>
      <c r="J663" t="s">
        <v>136</v>
      </c>
      <c r="K663" s="3" t="s">
        <v>0</v>
      </c>
      <c r="L663" s="12" t="str">
        <f>VLOOKUP(K663,[2]Hoja4!$A$2:$C$443,2,FALSE)</f>
        <v>Intentional self-harm by hanging, strangulation and suffocation</v>
      </c>
      <c r="M663" s="12" t="str">
        <f>VLOOKUP(K663,[2]Hoja4!$A$2:$C$443,3,FALSE)</f>
        <v>Unspecified place</v>
      </c>
      <c r="N663" s="1" t="s">
        <v>60</v>
      </c>
      <c r="O663" s="1">
        <v>15.7</v>
      </c>
      <c r="P663" s="1">
        <v>11.4</v>
      </c>
      <c r="Q663" s="1">
        <v>502</v>
      </c>
      <c r="R663" s="1">
        <v>0.1</v>
      </c>
      <c r="S663" s="1">
        <v>78.400000000000006</v>
      </c>
      <c r="T663" s="5">
        <v>0.11210000000000001</v>
      </c>
      <c r="U663" s="10">
        <v>-1E-3</v>
      </c>
    </row>
    <row r="664" spans="1:21" customFormat="1">
      <c r="A664">
        <v>1</v>
      </c>
      <c r="B664">
        <v>46</v>
      </c>
      <c r="C664">
        <v>12</v>
      </c>
      <c r="D664">
        <v>5</v>
      </c>
      <c r="E664">
        <v>2020</v>
      </c>
      <c r="F664">
        <v>5101</v>
      </c>
      <c r="G664" t="str">
        <f>VLOOKUP(F664,'[1]Sheet 1'!$B$2:$E$347,2,FALSE)</f>
        <v>Valparaíso</v>
      </c>
      <c r="H664" t="str">
        <f>VLOOKUP(F664,'[1]Sheet 1'!$B$2:$E$347,3,FALSE)</f>
        <v>Valparaíso</v>
      </c>
      <c r="I664" t="str">
        <f>VLOOKUP(F664,'[1]Sheet 1'!$B$2:$E$347,4,FALSE)</f>
        <v>Valparaíso</v>
      </c>
      <c r="J664" t="s">
        <v>136</v>
      </c>
      <c r="K664" s="3" t="s">
        <v>17</v>
      </c>
      <c r="L664" s="12" t="str">
        <f>VLOOKUP(K664,[2]Hoja4!$A$2:$C$443,2,FALSE)</f>
        <v>Intentional self-harm by hanging, strangulation and suffocation</v>
      </c>
      <c r="M664" s="12" t="str">
        <f>VLOOKUP(K664,[2]Hoja4!$A$2:$C$443,3,FALSE)</f>
        <v>Industrial and construction area</v>
      </c>
      <c r="N664" s="1">
        <v>7.7</v>
      </c>
      <c r="O664" s="1">
        <v>16.100000000000001</v>
      </c>
      <c r="P664" s="1">
        <v>10.9</v>
      </c>
      <c r="Q664" s="1">
        <v>980.9</v>
      </c>
      <c r="R664" s="1">
        <v>0</v>
      </c>
      <c r="S664" s="1">
        <v>71.5</v>
      </c>
      <c r="T664" s="5">
        <v>0.11210000000000001</v>
      </c>
      <c r="U664" s="10">
        <v>-1E-3</v>
      </c>
    </row>
    <row r="665" spans="1:21" customFormat="1">
      <c r="A665">
        <v>1</v>
      </c>
      <c r="B665">
        <v>45</v>
      </c>
      <c r="C665">
        <v>12</v>
      </c>
      <c r="D665">
        <v>5</v>
      </c>
      <c r="E665">
        <v>2020</v>
      </c>
      <c r="F665">
        <v>13112</v>
      </c>
      <c r="G665" t="str">
        <f>VLOOKUP(F665,'[1]Sheet 1'!$B$2:$E$347,2,FALSE)</f>
        <v>Metropolitana de Santiago</v>
      </c>
      <c r="H665" t="str">
        <f>VLOOKUP(F665,'[1]Sheet 1'!$B$2:$E$347,3,FALSE)</f>
        <v>Santiago</v>
      </c>
      <c r="I665" t="str">
        <f>VLOOKUP(F665,'[1]Sheet 1'!$B$2:$E$347,4,FALSE)</f>
        <v>La Pintana</v>
      </c>
      <c r="J665" t="s">
        <v>136</v>
      </c>
      <c r="K665" s="3" t="s">
        <v>0</v>
      </c>
      <c r="L665" s="12" t="str">
        <f>VLOOKUP(K665,[2]Hoja4!$A$2:$C$443,2,FALSE)</f>
        <v>Intentional self-harm by hanging, strangulation and suffocation</v>
      </c>
      <c r="M665" s="12" t="str">
        <f>VLOOKUP(K665,[2]Hoja4!$A$2:$C$443,3,FALSE)</f>
        <v>Unspecified place</v>
      </c>
      <c r="N665" s="1">
        <v>6.9</v>
      </c>
      <c r="O665" s="1">
        <v>16</v>
      </c>
      <c r="P665" s="1">
        <v>11</v>
      </c>
      <c r="Q665" s="1">
        <v>959.8</v>
      </c>
      <c r="R665" s="1"/>
      <c r="S665" s="1">
        <v>70</v>
      </c>
      <c r="T665" s="5">
        <v>0.11210000000000001</v>
      </c>
      <c r="U665" s="10">
        <v>-1E-3</v>
      </c>
    </row>
    <row r="666" spans="1:21" customFormat="1">
      <c r="A666">
        <v>1</v>
      </c>
      <c r="B666">
        <v>37</v>
      </c>
      <c r="C666">
        <v>12</v>
      </c>
      <c r="D666">
        <v>5</v>
      </c>
      <c r="E666">
        <v>2020</v>
      </c>
      <c r="F666">
        <v>13127</v>
      </c>
      <c r="G666" t="str">
        <f>VLOOKUP(F666,'[1]Sheet 1'!$B$2:$E$347,2,FALSE)</f>
        <v>Metropolitana de Santiago</v>
      </c>
      <c r="H666" t="str">
        <f>VLOOKUP(F666,'[1]Sheet 1'!$B$2:$E$347,3,FALSE)</f>
        <v>Santiago</v>
      </c>
      <c r="I666" t="str">
        <f>VLOOKUP(F666,'[1]Sheet 1'!$B$2:$E$347,4,FALSE)</f>
        <v>Recoleta</v>
      </c>
      <c r="J666" t="s">
        <v>136</v>
      </c>
      <c r="K666" s="3" t="s">
        <v>0</v>
      </c>
      <c r="L666" s="12" t="str">
        <f>VLOOKUP(K666,[2]Hoja4!$A$2:$C$443,2,FALSE)</f>
        <v>Intentional self-harm by hanging, strangulation and suffocation</v>
      </c>
      <c r="M666" s="12" t="str">
        <f>VLOOKUP(K666,[2]Hoja4!$A$2:$C$443,3,FALSE)</f>
        <v>Unspecified place</v>
      </c>
      <c r="N666" s="1">
        <v>6.9</v>
      </c>
      <c r="O666" s="1">
        <v>16</v>
      </c>
      <c r="P666" s="1">
        <v>11</v>
      </c>
      <c r="Q666" s="1">
        <v>959.8</v>
      </c>
      <c r="R666" s="1"/>
      <c r="S666" s="1">
        <v>70</v>
      </c>
      <c r="T666" s="5">
        <v>0.11210000000000001</v>
      </c>
      <c r="U666" s="10">
        <v>-1E-3</v>
      </c>
    </row>
    <row r="667" spans="1:21" customFormat="1">
      <c r="A667">
        <v>2</v>
      </c>
      <c r="B667">
        <v>36</v>
      </c>
      <c r="C667">
        <v>12</v>
      </c>
      <c r="D667">
        <v>5</v>
      </c>
      <c r="E667">
        <v>2020</v>
      </c>
      <c r="F667">
        <v>7301</v>
      </c>
      <c r="G667" t="str">
        <f>VLOOKUP(F667,'[1]Sheet 1'!$B$2:$E$347,2,FALSE)</f>
        <v>Maule</v>
      </c>
      <c r="H667" t="str">
        <f>VLOOKUP(F667,'[1]Sheet 1'!$B$2:$E$347,3,FALSE)</f>
        <v>Curicó</v>
      </c>
      <c r="I667" t="str">
        <f>VLOOKUP(F667,'[1]Sheet 1'!$B$2:$E$347,4,FALSE)</f>
        <v>Curicó</v>
      </c>
      <c r="J667" t="s">
        <v>136</v>
      </c>
      <c r="K667" s="3" t="s">
        <v>4</v>
      </c>
      <c r="L667" s="12" t="str">
        <f>VLOOKUP(K667,[2]Hoja4!$A$2:$C$443,2,FALSE)</f>
        <v>Intentional self-harm by hanging, strangulation and suffocation</v>
      </c>
      <c r="M667" s="12" t="str">
        <f>VLOOKUP(K667,[2]Hoja4!$A$2:$C$443,3,FALSE)</f>
        <v>At home</v>
      </c>
      <c r="N667" s="1">
        <v>6.5</v>
      </c>
      <c r="O667" s="1">
        <v>11.5</v>
      </c>
      <c r="P667" s="1">
        <v>8.8000000000000007</v>
      </c>
      <c r="Q667" s="1">
        <v>995.3</v>
      </c>
      <c r="R667" s="1">
        <v>0</v>
      </c>
      <c r="S667" s="1">
        <v>90.8</v>
      </c>
      <c r="T667" s="5">
        <v>0.11210000000000001</v>
      </c>
      <c r="U667" s="10">
        <v>-1E-3</v>
      </c>
    </row>
    <row r="668" spans="1:21" customFormat="1">
      <c r="A668">
        <v>1</v>
      </c>
      <c r="B668">
        <v>34</v>
      </c>
      <c r="C668">
        <v>12</v>
      </c>
      <c r="D668">
        <v>5</v>
      </c>
      <c r="E668">
        <v>2020</v>
      </c>
      <c r="F668">
        <v>8206</v>
      </c>
      <c r="G668" t="str">
        <f>VLOOKUP(F668,'[1]Sheet 1'!$B$2:$E$347,2,FALSE)</f>
        <v>Biobío</v>
      </c>
      <c r="H668" t="str">
        <f>VLOOKUP(F668,'[1]Sheet 1'!$B$2:$E$347,3,FALSE)</f>
        <v>Arauco</v>
      </c>
      <c r="I668" t="str">
        <f>VLOOKUP(F668,'[1]Sheet 1'!$B$2:$E$347,4,FALSE)</f>
        <v>Los Alamos</v>
      </c>
      <c r="J668" t="s">
        <v>136</v>
      </c>
      <c r="K668" s="3" t="s">
        <v>4</v>
      </c>
      <c r="L668" s="12" t="str">
        <f>VLOOKUP(K668,[2]Hoja4!$A$2:$C$443,2,FALSE)</f>
        <v>Intentional self-harm by hanging, strangulation and suffocation</v>
      </c>
      <c r="M668" s="12" t="str">
        <f>VLOOKUP(K668,[2]Hoja4!$A$2:$C$443,3,FALSE)</f>
        <v>At home</v>
      </c>
      <c r="N668" s="1">
        <v>4.5999999999999996</v>
      </c>
      <c r="O668" s="1" t="s">
        <v>54</v>
      </c>
      <c r="P668" s="1">
        <v>10.5</v>
      </c>
      <c r="Q668" s="1">
        <v>1022.5</v>
      </c>
      <c r="R668" s="1">
        <v>0</v>
      </c>
      <c r="S668" s="1">
        <v>81.5</v>
      </c>
      <c r="T668" s="5">
        <v>0.11210000000000001</v>
      </c>
      <c r="U668" s="10">
        <v>-1E-3</v>
      </c>
    </row>
    <row r="669" spans="1:21" customFormat="1">
      <c r="A669">
        <v>1</v>
      </c>
      <c r="B669">
        <v>23</v>
      </c>
      <c r="C669">
        <v>12</v>
      </c>
      <c r="D669">
        <v>5</v>
      </c>
      <c r="E669">
        <v>2020</v>
      </c>
      <c r="F669">
        <v>6101</v>
      </c>
      <c r="G669" t="str">
        <f>VLOOKUP(F669,'[1]Sheet 1'!$B$2:$E$347,2,FALSE)</f>
        <v>Libertador General Bernardo O'Higgins</v>
      </c>
      <c r="H669" t="str">
        <f>VLOOKUP(F669,'[1]Sheet 1'!$B$2:$E$347,3,FALSE)</f>
        <v>Cachapoal</v>
      </c>
      <c r="I669" t="str">
        <f>VLOOKUP(F669,'[1]Sheet 1'!$B$2:$E$347,4,FALSE)</f>
        <v>Rancagua</v>
      </c>
      <c r="J669" t="s">
        <v>136</v>
      </c>
      <c r="K669" s="3" t="s">
        <v>0</v>
      </c>
      <c r="L669" s="12" t="str">
        <f>VLOOKUP(K669,[2]Hoja4!$A$2:$C$443,2,FALSE)</f>
        <v>Intentional self-harm by hanging, strangulation and suffocation</v>
      </c>
      <c r="M669" s="12" t="str">
        <f>VLOOKUP(K669,[2]Hoja4!$A$2:$C$443,3,FALSE)</f>
        <v>Unspecified place</v>
      </c>
      <c r="N669" s="1">
        <v>6.4</v>
      </c>
      <c r="O669" s="1">
        <v>15.5</v>
      </c>
      <c r="P669" s="1">
        <v>9.8000000000000007</v>
      </c>
      <c r="Q669" s="1">
        <v>964</v>
      </c>
      <c r="R669" s="1">
        <v>0</v>
      </c>
      <c r="S669" s="1">
        <v>80.8</v>
      </c>
      <c r="T669" s="5">
        <v>0.11210000000000001</v>
      </c>
      <c r="U669" s="10">
        <v>-1E-3</v>
      </c>
    </row>
    <row r="670" spans="1:21" customFormat="1">
      <c r="A670">
        <v>1</v>
      </c>
      <c r="B670">
        <v>86</v>
      </c>
      <c r="C670">
        <v>13</v>
      </c>
      <c r="D670">
        <v>5</v>
      </c>
      <c r="E670">
        <v>2020</v>
      </c>
      <c r="F670">
        <v>7101</v>
      </c>
      <c r="G670" t="str">
        <f>VLOOKUP(F670,'[1]Sheet 1'!$B$2:$E$347,2,FALSE)</f>
        <v>Maule</v>
      </c>
      <c r="H670" t="str">
        <f>VLOOKUP(F670,'[1]Sheet 1'!$B$2:$E$347,3,FALSE)</f>
        <v>Talca</v>
      </c>
      <c r="I670" t="str">
        <f>VLOOKUP(F670,'[1]Sheet 1'!$B$2:$E$347,4,FALSE)</f>
        <v>Talca</v>
      </c>
      <c r="J670" t="s">
        <v>142</v>
      </c>
      <c r="K670" s="3" t="s">
        <v>5</v>
      </c>
      <c r="L670" s="12" t="str">
        <f>VLOOKUP(K670,[2]Hoja4!$A$2:$C$443,2,FALSE)</f>
        <v>Intentional self-harm by other and unspecified firearm discharge</v>
      </c>
      <c r="M670" s="12" t="str">
        <f>VLOOKUP(K670,[2]Hoja4!$A$2:$C$443,3,FALSE)</f>
        <v>At home</v>
      </c>
      <c r="N670" s="1">
        <v>-1.1000000000000001</v>
      </c>
      <c r="O670" s="1">
        <v>19.7</v>
      </c>
      <c r="P670" s="1">
        <v>7.2</v>
      </c>
      <c r="Q670" s="1">
        <v>1009.3</v>
      </c>
      <c r="R670" s="1">
        <v>3.8</v>
      </c>
      <c r="S670" s="1">
        <v>80.3</v>
      </c>
      <c r="T670" s="5">
        <v>0.11210000000000001</v>
      </c>
      <c r="U670" s="10">
        <v>-1E-3</v>
      </c>
    </row>
    <row r="671" spans="1:21" customFormat="1">
      <c r="A671">
        <v>1</v>
      </c>
      <c r="B671">
        <v>73</v>
      </c>
      <c r="C671">
        <v>14</v>
      </c>
      <c r="D671">
        <v>5</v>
      </c>
      <c r="E671">
        <v>2020</v>
      </c>
      <c r="F671">
        <v>10301</v>
      </c>
      <c r="G671" t="str">
        <f>VLOOKUP(F671,'[1]Sheet 1'!$B$2:$E$347,2,FALSE)</f>
        <v>Los Lagos</v>
      </c>
      <c r="H671" t="str">
        <f>VLOOKUP(F671,'[1]Sheet 1'!$B$2:$E$347,3,FALSE)</f>
        <v>Osorno</v>
      </c>
      <c r="I671" t="str">
        <f>VLOOKUP(F671,'[1]Sheet 1'!$B$2:$E$347,4,FALSE)</f>
        <v>Osorno</v>
      </c>
      <c r="J671" t="s">
        <v>136</v>
      </c>
      <c r="K671" s="3" t="s">
        <v>0</v>
      </c>
      <c r="L671" s="12" t="str">
        <f>VLOOKUP(K671,[2]Hoja4!$A$2:$C$443,2,FALSE)</f>
        <v>Intentional self-harm by hanging, strangulation and suffocation</v>
      </c>
      <c r="M671" s="12" t="str">
        <f>VLOOKUP(K671,[2]Hoja4!$A$2:$C$443,3,FALSE)</f>
        <v>Unspecified place</v>
      </c>
      <c r="N671" s="1">
        <v>10.8</v>
      </c>
      <c r="O671" s="1">
        <v>15.4</v>
      </c>
      <c r="P671" s="1">
        <v>12.6</v>
      </c>
      <c r="Q671" s="1">
        <v>1011.1</v>
      </c>
      <c r="R671" s="1">
        <v>3</v>
      </c>
      <c r="S671" s="1">
        <v>88.5</v>
      </c>
      <c r="T671" s="5">
        <v>0.11210000000000001</v>
      </c>
      <c r="U671" s="10">
        <v>-1E-3</v>
      </c>
    </row>
    <row r="672" spans="1:21" customFormat="1">
      <c r="A672">
        <v>1</v>
      </c>
      <c r="B672">
        <v>58</v>
      </c>
      <c r="C672">
        <v>14</v>
      </c>
      <c r="D672">
        <v>5</v>
      </c>
      <c r="E672">
        <v>2020</v>
      </c>
      <c r="F672">
        <v>13127</v>
      </c>
      <c r="G672" t="str">
        <f>VLOOKUP(F672,'[1]Sheet 1'!$B$2:$E$347,2,FALSE)</f>
        <v>Metropolitana de Santiago</v>
      </c>
      <c r="H672" t="str">
        <f>VLOOKUP(F672,'[1]Sheet 1'!$B$2:$E$347,3,FALSE)</f>
        <v>Santiago</v>
      </c>
      <c r="I672" t="str">
        <f>VLOOKUP(F672,'[1]Sheet 1'!$B$2:$E$347,4,FALSE)</f>
        <v>Recoleta</v>
      </c>
      <c r="J672" t="s">
        <v>136</v>
      </c>
      <c r="K672" s="3" t="s">
        <v>0</v>
      </c>
      <c r="L672" s="12" t="str">
        <f>VLOOKUP(K672,[2]Hoja4!$A$2:$C$443,2,FALSE)</f>
        <v>Intentional self-harm by hanging, strangulation and suffocation</v>
      </c>
      <c r="M672" s="12" t="str">
        <f>VLOOKUP(K672,[2]Hoja4!$A$2:$C$443,3,FALSE)</f>
        <v>Unspecified place</v>
      </c>
      <c r="N672" s="1">
        <v>3</v>
      </c>
      <c r="O672" s="1">
        <v>23.4</v>
      </c>
      <c r="P672" s="1">
        <v>11.4</v>
      </c>
      <c r="Q672" s="1">
        <v>960.7</v>
      </c>
      <c r="R672" s="1"/>
      <c r="S672" s="1">
        <v>61</v>
      </c>
      <c r="T672" s="5">
        <v>0.11210000000000001</v>
      </c>
      <c r="U672" s="10">
        <v>-1E-3</v>
      </c>
    </row>
    <row r="673" spans="1:21" customFormat="1">
      <c r="A673">
        <v>2</v>
      </c>
      <c r="B673">
        <v>42</v>
      </c>
      <c r="C673">
        <v>14</v>
      </c>
      <c r="D673">
        <v>5</v>
      </c>
      <c r="E673">
        <v>2020</v>
      </c>
      <c r="F673">
        <v>6101</v>
      </c>
      <c r="G673" t="str">
        <f>VLOOKUP(F673,'[1]Sheet 1'!$B$2:$E$347,2,FALSE)</f>
        <v>Libertador General Bernardo O'Higgins</v>
      </c>
      <c r="H673" t="str">
        <f>VLOOKUP(F673,'[1]Sheet 1'!$B$2:$E$347,3,FALSE)</f>
        <v>Cachapoal</v>
      </c>
      <c r="I673" t="str">
        <f>VLOOKUP(F673,'[1]Sheet 1'!$B$2:$E$347,4,FALSE)</f>
        <v>Rancagua</v>
      </c>
      <c r="J673" t="s">
        <v>151</v>
      </c>
      <c r="K673" s="3" t="s">
        <v>32</v>
      </c>
      <c r="L673" s="12" t="str">
        <f>VLOOKUP(K673,[2]Hoja4!$A$2:$C$443,2,FALSE)</f>
        <v>Intentional self-harm by jumping or lying before moving object</v>
      </c>
      <c r="M673" s="12" t="str">
        <f>VLOOKUP(K673,[2]Hoja4!$A$2:$C$443,3,FALSE)</f>
        <v>Other specified places</v>
      </c>
      <c r="N673" s="1">
        <v>1.5</v>
      </c>
      <c r="O673" s="1">
        <v>21.9</v>
      </c>
      <c r="P673" s="1">
        <v>11</v>
      </c>
      <c r="Q673" s="1">
        <v>964.4</v>
      </c>
      <c r="R673" s="1">
        <v>0</v>
      </c>
      <c r="S673" s="1">
        <v>59.8</v>
      </c>
      <c r="T673" s="5">
        <v>0.11210000000000001</v>
      </c>
      <c r="U673" s="10">
        <v>-1E-3</v>
      </c>
    </row>
    <row r="674" spans="1:21" customFormat="1">
      <c r="A674">
        <v>2</v>
      </c>
      <c r="B674">
        <v>11</v>
      </c>
      <c r="C674">
        <v>14</v>
      </c>
      <c r="D674">
        <v>5</v>
      </c>
      <c r="E674">
        <v>2020</v>
      </c>
      <c r="F674">
        <v>14202</v>
      </c>
      <c r="G674" t="str">
        <f>VLOOKUP(F674,'[1]Sheet 1'!$B$2:$E$347,2,FALSE)</f>
        <v>Los Ríos</v>
      </c>
      <c r="H674" t="str">
        <f>VLOOKUP(F674,'[1]Sheet 1'!$B$2:$E$347,3,FALSE)</f>
        <v>Ranco</v>
      </c>
      <c r="I674" t="str">
        <f>VLOOKUP(F674,'[1]Sheet 1'!$B$2:$E$347,4,FALSE)</f>
        <v>Futrono</v>
      </c>
      <c r="J674" t="s">
        <v>136</v>
      </c>
      <c r="K674" s="3" t="s">
        <v>0</v>
      </c>
      <c r="L674" s="12" t="str">
        <f>VLOOKUP(K674,[2]Hoja4!$A$2:$C$443,2,FALSE)</f>
        <v>Intentional self-harm by hanging, strangulation and suffocation</v>
      </c>
      <c r="M674" s="12" t="str">
        <f>VLOOKUP(K674,[2]Hoja4!$A$2:$C$443,3,FALSE)</f>
        <v>Unspecified place</v>
      </c>
      <c r="N674" s="1">
        <v>10.199999999999999</v>
      </c>
      <c r="O674" s="1">
        <v>17</v>
      </c>
      <c r="P674" s="1">
        <v>13.6</v>
      </c>
      <c r="Q674" s="1">
        <v>1009</v>
      </c>
      <c r="R674" s="1">
        <v>0.3</v>
      </c>
      <c r="S674" s="1">
        <v>84.6</v>
      </c>
      <c r="T674" s="5">
        <v>0.11210000000000001</v>
      </c>
      <c r="U674" s="10">
        <v>-1E-3</v>
      </c>
    </row>
    <row r="675" spans="1:21" customFormat="1">
      <c r="A675">
        <v>1</v>
      </c>
      <c r="B675">
        <v>27</v>
      </c>
      <c r="C675">
        <v>14</v>
      </c>
      <c r="D675">
        <v>5</v>
      </c>
      <c r="E675">
        <v>2020</v>
      </c>
      <c r="F675">
        <v>13119</v>
      </c>
      <c r="G675" t="str">
        <f>VLOOKUP(F675,'[1]Sheet 1'!$B$2:$E$347,2,FALSE)</f>
        <v>Metropolitana de Santiago</v>
      </c>
      <c r="H675" t="str">
        <f>VLOOKUP(F675,'[1]Sheet 1'!$B$2:$E$347,3,FALSE)</f>
        <v>Santiago</v>
      </c>
      <c r="I675" t="str">
        <f>VLOOKUP(F675,'[1]Sheet 1'!$B$2:$E$347,4,FALSE)</f>
        <v>Maipú</v>
      </c>
      <c r="J675" t="s">
        <v>136</v>
      </c>
      <c r="K675" s="3" t="s">
        <v>0</v>
      </c>
      <c r="L675" s="12" t="str">
        <f>VLOOKUP(K675,[2]Hoja4!$A$2:$C$443,2,FALSE)</f>
        <v>Intentional self-harm by hanging, strangulation and suffocation</v>
      </c>
      <c r="M675" s="12" t="str">
        <f>VLOOKUP(K675,[2]Hoja4!$A$2:$C$443,3,FALSE)</f>
        <v>Unspecified place</v>
      </c>
      <c r="N675" s="1">
        <v>3</v>
      </c>
      <c r="O675" s="1">
        <v>23.4</v>
      </c>
      <c r="P675" s="1">
        <v>11.4</v>
      </c>
      <c r="Q675" s="1">
        <v>960.7</v>
      </c>
      <c r="R675" s="1"/>
      <c r="S675" s="1">
        <v>61</v>
      </c>
      <c r="T675" s="5">
        <v>0.11210000000000001</v>
      </c>
      <c r="U675" s="10">
        <v>-1E-3</v>
      </c>
    </row>
    <row r="676" spans="1:21" customFormat="1">
      <c r="A676">
        <v>1</v>
      </c>
      <c r="B676">
        <v>79</v>
      </c>
      <c r="C676">
        <v>15</v>
      </c>
      <c r="D676">
        <v>5</v>
      </c>
      <c r="E676">
        <v>2020</v>
      </c>
      <c r="F676">
        <v>7308</v>
      </c>
      <c r="G676" t="str">
        <f>VLOOKUP(F676,'[1]Sheet 1'!$B$2:$E$347,2,FALSE)</f>
        <v>Maule</v>
      </c>
      <c r="H676" t="str">
        <f>VLOOKUP(F676,'[1]Sheet 1'!$B$2:$E$347,3,FALSE)</f>
        <v>Curicó</v>
      </c>
      <c r="I676" t="str">
        <f>VLOOKUP(F676,'[1]Sheet 1'!$B$2:$E$347,4,FALSE)</f>
        <v>Teno</v>
      </c>
      <c r="J676" t="s">
        <v>137</v>
      </c>
      <c r="K676" s="3" t="s">
        <v>3</v>
      </c>
      <c r="L676" s="12" t="str">
        <f>VLOOKUP(K676,[2]Hoja4!$A$2:$C$443,2,FALSE)</f>
        <v>Intentional self-poisoning by and exposure to pesticides</v>
      </c>
      <c r="M676" s="12" t="str">
        <f>VLOOKUP(K676,[2]Hoja4!$A$2:$C$443,3,FALSE)</f>
        <v>Unspecified place</v>
      </c>
      <c r="N676" s="1">
        <v>6.7</v>
      </c>
      <c r="O676" s="1">
        <v>24.2</v>
      </c>
      <c r="P676" s="1">
        <v>14.7</v>
      </c>
      <c r="Q676" s="1">
        <v>992.6</v>
      </c>
      <c r="R676" s="1">
        <v>0</v>
      </c>
      <c r="S676" s="1">
        <v>72</v>
      </c>
      <c r="T676" s="5">
        <v>0.11210000000000001</v>
      </c>
      <c r="U676" s="10">
        <v>-1E-3</v>
      </c>
    </row>
    <row r="677" spans="1:21" customFormat="1">
      <c r="A677">
        <v>2</v>
      </c>
      <c r="B677">
        <v>37</v>
      </c>
      <c r="C677">
        <v>15</v>
      </c>
      <c r="D677">
        <v>5</v>
      </c>
      <c r="E677">
        <v>2020</v>
      </c>
      <c r="F677">
        <v>7101</v>
      </c>
      <c r="G677" t="str">
        <f>VLOOKUP(F677,'[1]Sheet 1'!$B$2:$E$347,2,FALSE)</f>
        <v>Maule</v>
      </c>
      <c r="H677" t="str">
        <f>VLOOKUP(F677,'[1]Sheet 1'!$B$2:$E$347,3,FALSE)</f>
        <v>Talca</v>
      </c>
      <c r="I677" t="str">
        <f>VLOOKUP(F677,'[1]Sheet 1'!$B$2:$E$347,4,FALSE)</f>
        <v>Talca</v>
      </c>
      <c r="J677" t="s">
        <v>136</v>
      </c>
      <c r="K677" s="3" t="s">
        <v>4</v>
      </c>
      <c r="L677" s="12" t="str">
        <f>VLOOKUP(K677,[2]Hoja4!$A$2:$C$443,2,FALSE)</f>
        <v>Intentional self-harm by hanging, strangulation and suffocation</v>
      </c>
      <c r="M677" s="12" t="str">
        <f>VLOOKUP(K677,[2]Hoja4!$A$2:$C$443,3,FALSE)</f>
        <v>At home</v>
      </c>
      <c r="N677" s="1">
        <v>7</v>
      </c>
      <c r="O677" s="1">
        <v>25.2</v>
      </c>
      <c r="P677" s="1">
        <v>16.2</v>
      </c>
      <c r="Q677" s="1">
        <v>1006.4</v>
      </c>
      <c r="R677" s="1">
        <v>0</v>
      </c>
      <c r="S677" s="1">
        <v>77.599999999999994</v>
      </c>
      <c r="T677" s="5">
        <v>0.11210000000000001</v>
      </c>
      <c r="U677" s="10">
        <v>-1E-3</v>
      </c>
    </row>
    <row r="678" spans="1:21" customFormat="1">
      <c r="A678">
        <v>1</v>
      </c>
      <c r="B678">
        <v>24</v>
      </c>
      <c r="C678">
        <v>15</v>
      </c>
      <c r="D678">
        <v>5</v>
      </c>
      <c r="E678">
        <v>2020</v>
      </c>
      <c r="F678">
        <v>14106</v>
      </c>
      <c r="G678" t="str">
        <f>VLOOKUP(F678,'[1]Sheet 1'!$B$2:$E$347,2,FALSE)</f>
        <v>Los Ríos</v>
      </c>
      <c r="H678" t="str">
        <f>VLOOKUP(F678,'[1]Sheet 1'!$B$2:$E$347,3,FALSE)</f>
        <v>Valdivia</v>
      </c>
      <c r="I678" t="str">
        <f>VLOOKUP(F678,'[1]Sheet 1'!$B$2:$E$347,4,FALSE)</f>
        <v>Mariquina</v>
      </c>
      <c r="J678" t="s">
        <v>136</v>
      </c>
      <c r="K678" s="3" t="s">
        <v>0</v>
      </c>
      <c r="L678" s="12" t="str">
        <f>VLOOKUP(K678,[2]Hoja4!$A$2:$C$443,2,FALSE)</f>
        <v>Intentional self-harm by hanging, strangulation and suffocation</v>
      </c>
      <c r="M678" s="12" t="str">
        <f>VLOOKUP(K678,[2]Hoja4!$A$2:$C$443,3,FALSE)</f>
        <v>Unspecified place</v>
      </c>
      <c r="N678" s="1">
        <v>14.3</v>
      </c>
      <c r="O678" s="1">
        <v>18</v>
      </c>
      <c r="P678" s="1">
        <v>15.6</v>
      </c>
      <c r="Q678" s="1">
        <v>1017.5</v>
      </c>
      <c r="R678" s="1">
        <v>2.4</v>
      </c>
      <c r="S678" s="1">
        <v>96.8</v>
      </c>
      <c r="T678" s="5">
        <v>0.11210000000000001</v>
      </c>
      <c r="U678" s="10">
        <v>-1E-3</v>
      </c>
    </row>
    <row r="679" spans="1:21" customFormat="1">
      <c r="A679">
        <v>1</v>
      </c>
      <c r="B679">
        <v>26</v>
      </c>
      <c r="C679">
        <v>15</v>
      </c>
      <c r="D679">
        <v>5</v>
      </c>
      <c r="E679">
        <v>2020</v>
      </c>
      <c r="F679">
        <v>8108</v>
      </c>
      <c r="G679" t="str">
        <f>VLOOKUP(F679,'[1]Sheet 1'!$B$2:$E$347,2,FALSE)</f>
        <v>Biobío</v>
      </c>
      <c r="H679" t="str">
        <f>VLOOKUP(F679,'[1]Sheet 1'!$B$2:$E$347,3,FALSE)</f>
        <v>Concepción</v>
      </c>
      <c r="I679" t="str">
        <f>VLOOKUP(F679,'[1]Sheet 1'!$B$2:$E$347,4,FALSE)</f>
        <v>San Pedro de la Paz</v>
      </c>
      <c r="J679" t="s">
        <v>136</v>
      </c>
      <c r="K679" s="3" t="s">
        <v>13</v>
      </c>
      <c r="L679" s="12" t="str">
        <f>VLOOKUP(K679,[2]Hoja4!$A$2:$C$443,2,FALSE)</f>
        <v>Intentional self-harm by hanging, strangulation and suffocation</v>
      </c>
      <c r="M679" s="12" t="str">
        <f>VLOOKUP(K679,[2]Hoja4!$A$2:$C$443,3,FALSE)</f>
        <v>Other specified places</v>
      </c>
      <c r="N679" s="1">
        <v>14.1</v>
      </c>
      <c r="O679" s="1">
        <v>19.600000000000001</v>
      </c>
      <c r="P679" s="1">
        <v>15.4</v>
      </c>
      <c r="Q679" s="1">
        <v>1020.5</v>
      </c>
      <c r="R679" s="1">
        <v>0</v>
      </c>
      <c r="S679" s="1">
        <v>95.2</v>
      </c>
      <c r="T679" s="5">
        <v>0.11210000000000001</v>
      </c>
      <c r="U679" s="10">
        <v>-1E-3</v>
      </c>
    </row>
    <row r="680" spans="1:21" customFormat="1">
      <c r="A680">
        <v>1</v>
      </c>
      <c r="B680">
        <v>32</v>
      </c>
      <c r="C680">
        <v>16</v>
      </c>
      <c r="D680">
        <v>5</v>
      </c>
      <c r="E680">
        <v>2020</v>
      </c>
      <c r="F680">
        <v>13401</v>
      </c>
      <c r="G680" t="str">
        <f>VLOOKUP(F680,'[1]Sheet 1'!$B$2:$E$347,2,FALSE)</f>
        <v>Metropolitana de Santiago</v>
      </c>
      <c r="H680" t="str">
        <f>VLOOKUP(F680,'[1]Sheet 1'!$B$2:$E$347,3,FALSE)</f>
        <v>Maipo</v>
      </c>
      <c r="I680" t="str">
        <f>VLOOKUP(F680,'[1]Sheet 1'!$B$2:$E$347,4,FALSE)</f>
        <v>San Bernardo</v>
      </c>
      <c r="J680" t="s">
        <v>136</v>
      </c>
      <c r="K680" s="3" t="s">
        <v>4</v>
      </c>
      <c r="L680" s="12" t="str">
        <f>VLOOKUP(K680,[2]Hoja4!$A$2:$C$443,2,FALSE)</f>
        <v>Intentional self-harm by hanging, strangulation and suffocation</v>
      </c>
      <c r="M680" s="12" t="str">
        <f>VLOOKUP(K680,[2]Hoja4!$A$2:$C$443,3,FALSE)</f>
        <v>At home</v>
      </c>
      <c r="N680" s="1">
        <v>6.6</v>
      </c>
      <c r="O680" s="1">
        <v>28.3</v>
      </c>
      <c r="P680" s="1">
        <v>16.600000000000001</v>
      </c>
      <c r="Q680" s="1">
        <v>963.6</v>
      </c>
      <c r="R680" s="1">
        <v>0</v>
      </c>
      <c r="S680" s="1">
        <v>65.2</v>
      </c>
      <c r="T680" s="5">
        <v>0.11210000000000001</v>
      </c>
      <c r="U680" s="10">
        <v>-1E-3</v>
      </c>
    </row>
    <row r="681" spans="1:21" customFormat="1">
      <c r="A681">
        <v>1</v>
      </c>
      <c r="B681">
        <v>23</v>
      </c>
      <c r="C681">
        <v>16</v>
      </c>
      <c r="D681">
        <v>5</v>
      </c>
      <c r="E681">
        <v>2020</v>
      </c>
      <c r="F681">
        <v>6101</v>
      </c>
      <c r="G681" t="str">
        <f>VLOOKUP(F681,'[1]Sheet 1'!$B$2:$E$347,2,FALSE)</f>
        <v>Libertador General Bernardo O'Higgins</v>
      </c>
      <c r="H681" t="str">
        <f>VLOOKUP(F681,'[1]Sheet 1'!$B$2:$E$347,3,FALSE)</f>
        <v>Cachapoal</v>
      </c>
      <c r="I681" t="str">
        <f>VLOOKUP(F681,'[1]Sheet 1'!$B$2:$E$347,4,FALSE)</f>
        <v>Rancagua</v>
      </c>
      <c r="J681" t="s">
        <v>136</v>
      </c>
      <c r="K681" s="3" t="s">
        <v>0</v>
      </c>
      <c r="L681" s="12" t="str">
        <f>VLOOKUP(K681,[2]Hoja4!$A$2:$C$443,2,FALSE)</f>
        <v>Intentional self-harm by hanging, strangulation and suffocation</v>
      </c>
      <c r="M681" s="12" t="str">
        <f>VLOOKUP(K681,[2]Hoja4!$A$2:$C$443,3,FALSE)</f>
        <v>Unspecified place</v>
      </c>
      <c r="N681" s="1">
        <v>6</v>
      </c>
      <c r="O681" s="1">
        <v>24</v>
      </c>
      <c r="P681" s="1">
        <v>15</v>
      </c>
      <c r="Q681" s="1">
        <v>958.5</v>
      </c>
      <c r="R681" s="1">
        <v>0</v>
      </c>
      <c r="S681" s="1">
        <v>70.400000000000006</v>
      </c>
      <c r="T681" s="5">
        <v>0.11210000000000001</v>
      </c>
      <c r="U681" s="10">
        <v>-1E-3</v>
      </c>
    </row>
    <row r="682" spans="1:21" customFormat="1">
      <c r="A682">
        <v>1</v>
      </c>
      <c r="B682">
        <v>21</v>
      </c>
      <c r="C682">
        <v>16</v>
      </c>
      <c r="D682">
        <v>5</v>
      </c>
      <c r="E682">
        <v>2020</v>
      </c>
      <c r="F682">
        <v>10303</v>
      </c>
      <c r="G682" t="str">
        <f>VLOOKUP(F682,'[1]Sheet 1'!$B$2:$E$347,2,FALSE)</f>
        <v>Los Lagos</v>
      </c>
      <c r="H682" t="str">
        <f>VLOOKUP(F682,'[1]Sheet 1'!$B$2:$E$347,3,FALSE)</f>
        <v>Osorno</v>
      </c>
      <c r="I682" t="str">
        <f>VLOOKUP(F682,'[1]Sheet 1'!$B$2:$E$347,4,FALSE)</f>
        <v>Purranque</v>
      </c>
      <c r="J682" t="s">
        <v>136</v>
      </c>
      <c r="K682" s="3" t="s">
        <v>4</v>
      </c>
      <c r="L682" s="12" t="str">
        <f>VLOOKUP(K682,[2]Hoja4!$A$2:$C$443,2,FALSE)</f>
        <v>Intentional self-harm by hanging, strangulation and suffocation</v>
      </c>
      <c r="M682" s="12" t="str">
        <f>VLOOKUP(K682,[2]Hoja4!$A$2:$C$443,3,FALSE)</f>
        <v>At home</v>
      </c>
      <c r="N682" s="1">
        <v>14.2</v>
      </c>
      <c r="O682" s="1">
        <v>17.7</v>
      </c>
      <c r="P682" s="1">
        <v>15.3</v>
      </c>
      <c r="Q682" s="1">
        <v>1008.7</v>
      </c>
      <c r="R682" s="1">
        <v>0.2</v>
      </c>
      <c r="S682" s="1">
        <v>90.8</v>
      </c>
      <c r="T682" s="5">
        <v>0.11210000000000001</v>
      </c>
      <c r="U682" s="10">
        <v>-1E-3</v>
      </c>
    </row>
    <row r="683" spans="1:21" customFormat="1">
      <c r="A683">
        <v>1</v>
      </c>
      <c r="B683">
        <v>24</v>
      </c>
      <c r="C683">
        <v>16</v>
      </c>
      <c r="D683">
        <v>5</v>
      </c>
      <c r="E683">
        <v>2020</v>
      </c>
      <c r="F683">
        <v>7403</v>
      </c>
      <c r="G683" t="str">
        <f>VLOOKUP(F683,'[1]Sheet 1'!$B$2:$E$347,2,FALSE)</f>
        <v>Maule</v>
      </c>
      <c r="H683" t="str">
        <f>VLOOKUP(F683,'[1]Sheet 1'!$B$2:$E$347,3,FALSE)</f>
        <v>Linares</v>
      </c>
      <c r="I683" t="str">
        <f>VLOOKUP(F683,'[1]Sheet 1'!$B$2:$E$347,4,FALSE)</f>
        <v>Longaví</v>
      </c>
      <c r="J683" t="s">
        <v>136</v>
      </c>
      <c r="K683" s="3" t="s">
        <v>4</v>
      </c>
      <c r="L683" s="12" t="str">
        <f>VLOOKUP(K683,[2]Hoja4!$A$2:$C$443,2,FALSE)</f>
        <v>Intentional self-harm by hanging, strangulation and suffocation</v>
      </c>
      <c r="M683" s="12" t="str">
        <f>VLOOKUP(K683,[2]Hoja4!$A$2:$C$443,3,FALSE)</f>
        <v>At home</v>
      </c>
      <c r="N683" s="1"/>
      <c r="O683" s="1">
        <v>21.5</v>
      </c>
      <c r="P683" s="1">
        <v>15.6</v>
      </c>
      <c r="Q683" s="1">
        <v>997.2</v>
      </c>
      <c r="R683" s="1">
        <v>0.1</v>
      </c>
      <c r="S683" s="1">
        <v>87.4</v>
      </c>
      <c r="T683" s="5">
        <v>0.11210000000000001</v>
      </c>
      <c r="U683" s="10">
        <v>-1E-3</v>
      </c>
    </row>
    <row r="684" spans="1:21" customFormat="1">
      <c r="A684">
        <v>1</v>
      </c>
      <c r="B684">
        <v>50</v>
      </c>
      <c r="C684">
        <v>17</v>
      </c>
      <c r="D684">
        <v>5</v>
      </c>
      <c r="E684">
        <v>2020</v>
      </c>
      <c r="F684">
        <v>13125</v>
      </c>
      <c r="G684" t="str">
        <f>VLOOKUP(F684,'[1]Sheet 1'!$B$2:$E$347,2,FALSE)</f>
        <v>Metropolitana de Santiago</v>
      </c>
      <c r="H684" t="str">
        <f>VLOOKUP(F684,'[1]Sheet 1'!$B$2:$E$347,3,FALSE)</f>
        <v>Santiago</v>
      </c>
      <c r="I684" t="str">
        <f>VLOOKUP(F684,'[1]Sheet 1'!$B$2:$E$347,4,FALSE)</f>
        <v>Quilicura</v>
      </c>
      <c r="J684" t="s">
        <v>136</v>
      </c>
      <c r="K684" s="3" t="s">
        <v>0</v>
      </c>
      <c r="L684" s="12" t="str">
        <f>VLOOKUP(K684,[2]Hoja4!$A$2:$C$443,2,FALSE)</f>
        <v>Intentional self-harm by hanging, strangulation and suffocation</v>
      </c>
      <c r="M684" s="12" t="str">
        <f>VLOOKUP(K684,[2]Hoja4!$A$2:$C$443,3,FALSE)</f>
        <v>Unspecified place</v>
      </c>
      <c r="N684" s="1">
        <v>6.6</v>
      </c>
      <c r="O684" s="1">
        <v>27.9</v>
      </c>
      <c r="P684" s="1">
        <v>15.3</v>
      </c>
      <c r="Q684" s="1">
        <v>953.8</v>
      </c>
      <c r="R684" s="1"/>
      <c r="S684" s="1">
        <v>59.8</v>
      </c>
      <c r="T684" s="5">
        <v>0.11210000000000001</v>
      </c>
      <c r="U684" s="10">
        <v>-1E-3</v>
      </c>
    </row>
    <row r="685" spans="1:21" customFormat="1">
      <c r="A685">
        <v>1</v>
      </c>
      <c r="B685">
        <v>45</v>
      </c>
      <c r="C685">
        <v>17</v>
      </c>
      <c r="D685">
        <v>5</v>
      </c>
      <c r="E685">
        <v>2020</v>
      </c>
      <c r="F685">
        <v>16101</v>
      </c>
      <c r="G685" t="str">
        <f>VLOOKUP(F685,'[1]Sheet 1'!$B$2:$E$347,2,FALSE)</f>
        <v>Ñuble</v>
      </c>
      <c r="H685" t="str">
        <f>VLOOKUP(F685,'[1]Sheet 1'!$B$2:$E$347,3,FALSE)</f>
        <v>Diguillín</v>
      </c>
      <c r="I685" t="str">
        <f>VLOOKUP(F685,'[1]Sheet 1'!$B$2:$E$347,4,FALSE)</f>
        <v>Chillán</v>
      </c>
      <c r="J685" t="s">
        <v>136</v>
      </c>
      <c r="K685" s="3" t="s">
        <v>0</v>
      </c>
      <c r="L685" s="12" t="str">
        <f>VLOOKUP(K685,[2]Hoja4!$A$2:$C$443,2,FALSE)</f>
        <v>Intentional self-harm by hanging, strangulation and suffocation</v>
      </c>
      <c r="M685" s="12" t="str">
        <f>VLOOKUP(K685,[2]Hoja4!$A$2:$C$443,3,FALSE)</f>
        <v>Unspecified place</v>
      </c>
      <c r="N685" s="1">
        <v>10.3</v>
      </c>
      <c r="O685" s="1">
        <v>21.4</v>
      </c>
      <c r="P685" s="1">
        <v>14</v>
      </c>
      <c r="Q685" s="1">
        <v>996.2</v>
      </c>
      <c r="R685" s="1">
        <v>0</v>
      </c>
      <c r="S685" s="1">
        <v>93.2</v>
      </c>
      <c r="T685" s="5">
        <v>0.11210000000000001</v>
      </c>
      <c r="U685" s="10">
        <v>-1E-3</v>
      </c>
    </row>
    <row r="686" spans="1:21" customFormat="1">
      <c r="A686">
        <v>1</v>
      </c>
      <c r="B686">
        <v>37</v>
      </c>
      <c r="C686">
        <v>17</v>
      </c>
      <c r="D686">
        <v>5</v>
      </c>
      <c r="E686">
        <v>2020</v>
      </c>
      <c r="F686">
        <v>8103</v>
      </c>
      <c r="G686" t="str">
        <f>VLOOKUP(F686,'[1]Sheet 1'!$B$2:$E$347,2,FALSE)</f>
        <v>Biobío</v>
      </c>
      <c r="H686" t="str">
        <f>VLOOKUP(F686,'[1]Sheet 1'!$B$2:$E$347,3,FALSE)</f>
        <v>Concepción</v>
      </c>
      <c r="I686" t="str">
        <f>VLOOKUP(F686,'[1]Sheet 1'!$B$2:$E$347,4,FALSE)</f>
        <v>Chiguayante</v>
      </c>
      <c r="J686" t="s">
        <v>136</v>
      </c>
      <c r="K686" s="3" t="s">
        <v>2</v>
      </c>
      <c r="L686" s="12" t="str">
        <f>VLOOKUP(K686,[2]Hoja4!$A$2:$C$443,2,FALSE)</f>
        <v>Intentional self-harm by hanging, strangulation and suffocation</v>
      </c>
      <c r="M686" s="12" t="str">
        <f>VLOOKUP(K686,[2]Hoja4!$A$2:$C$443,3,FALSE)</f>
        <v>Street and highway</v>
      </c>
      <c r="N686" s="1">
        <v>10.3</v>
      </c>
      <c r="O686" s="1">
        <v>20.100000000000001</v>
      </c>
      <c r="P686" s="1">
        <v>14.7</v>
      </c>
      <c r="Q686" s="1">
        <v>1013.5</v>
      </c>
      <c r="R686" s="1">
        <v>0</v>
      </c>
      <c r="S686" s="1">
        <v>92.5</v>
      </c>
      <c r="T686" s="5">
        <v>0.11210000000000001</v>
      </c>
      <c r="U686" s="10">
        <v>-1E-3</v>
      </c>
    </row>
    <row r="687" spans="1:21" customFormat="1">
      <c r="A687">
        <v>1</v>
      </c>
      <c r="B687">
        <v>66</v>
      </c>
      <c r="C687">
        <v>18</v>
      </c>
      <c r="D687">
        <v>5</v>
      </c>
      <c r="E687">
        <v>2020</v>
      </c>
      <c r="F687">
        <v>13404</v>
      </c>
      <c r="G687" t="str">
        <f>VLOOKUP(F687,'[1]Sheet 1'!$B$2:$E$347,2,FALSE)</f>
        <v>Metropolitana de Santiago</v>
      </c>
      <c r="H687" t="str">
        <f>VLOOKUP(F687,'[1]Sheet 1'!$B$2:$E$347,3,FALSE)</f>
        <v>Maipo</v>
      </c>
      <c r="I687" t="str">
        <f>VLOOKUP(F687,'[1]Sheet 1'!$B$2:$E$347,4,FALSE)</f>
        <v>Paine</v>
      </c>
      <c r="J687" t="s">
        <v>136</v>
      </c>
      <c r="K687" s="3" t="s">
        <v>0</v>
      </c>
      <c r="L687" s="12" t="str">
        <f>VLOOKUP(K687,[2]Hoja4!$A$2:$C$443,2,FALSE)</f>
        <v>Intentional self-harm by hanging, strangulation and suffocation</v>
      </c>
      <c r="M687" s="12" t="str">
        <f>VLOOKUP(K687,[2]Hoja4!$A$2:$C$443,3,FALSE)</f>
        <v>Unspecified place</v>
      </c>
      <c r="N687" s="1">
        <v>6.4</v>
      </c>
      <c r="O687" s="1">
        <v>19</v>
      </c>
      <c r="P687" s="1">
        <v>10.6</v>
      </c>
      <c r="Q687" s="1">
        <v>965.6</v>
      </c>
      <c r="R687" s="1">
        <v>0.2</v>
      </c>
      <c r="S687" s="1">
        <v>86.9</v>
      </c>
      <c r="T687" s="5">
        <v>0.11210000000000001</v>
      </c>
      <c r="U687" s="10">
        <v>-1E-3</v>
      </c>
    </row>
    <row r="688" spans="1:21" customFormat="1">
      <c r="A688">
        <v>1</v>
      </c>
      <c r="B688">
        <v>64</v>
      </c>
      <c r="C688">
        <v>18</v>
      </c>
      <c r="D688">
        <v>5</v>
      </c>
      <c r="E688">
        <v>2020</v>
      </c>
      <c r="F688">
        <v>6310</v>
      </c>
      <c r="G688" t="str">
        <f>VLOOKUP(F688,'[1]Sheet 1'!$B$2:$E$347,2,FALSE)</f>
        <v>Libertador General Bernardo O'Higgins</v>
      </c>
      <c r="H688" t="str">
        <f>VLOOKUP(F688,'[1]Sheet 1'!$B$2:$E$347,3,FALSE)</f>
        <v>Colchagua</v>
      </c>
      <c r="I688" t="str">
        <f>VLOOKUP(F688,'[1]Sheet 1'!$B$2:$E$347,4,FALSE)</f>
        <v>Santa Cruz</v>
      </c>
      <c r="J688" t="s">
        <v>136</v>
      </c>
      <c r="K688" s="3" t="s">
        <v>0</v>
      </c>
      <c r="L688" s="12" t="str">
        <f>VLOOKUP(K688,[2]Hoja4!$A$2:$C$443,2,FALSE)</f>
        <v>Intentional self-harm by hanging, strangulation and suffocation</v>
      </c>
      <c r="M688" s="12" t="str">
        <f>VLOOKUP(K688,[2]Hoja4!$A$2:$C$443,3,FALSE)</f>
        <v>Unspecified place</v>
      </c>
      <c r="N688" s="1">
        <v>4.2</v>
      </c>
      <c r="O688" s="1">
        <v>18</v>
      </c>
      <c r="P688" s="1">
        <v>11.1</v>
      </c>
      <c r="Q688" s="1">
        <v>981.1</v>
      </c>
      <c r="R688" s="1">
        <v>0</v>
      </c>
      <c r="S688" s="1">
        <v>82.7</v>
      </c>
      <c r="T688" s="5">
        <v>0.11210000000000001</v>
      </c>
      <c r="U688" s="10">
        <v>-1E-3</v>
      </c>
    </row>
    <row r="689" spans="1:21" customFormat="1">
      <c r="A689">
        <v>1</v>
      </c>
      <c r="B689">
        <v>51</v>
      </c>
      <c r="C689">
        <v>18</v>
      </c>
      <c r="D689">
        <v>5</v>
      </c>
      <c r="E689">
        <v>2020</v>
      </c>
      <c r="F689">
        <v>7109</v>
      </c>
      <c r="G689" t="str">
        <f>VLOOKUP(F689,'[1]Sheet 1'!$B$2:$E$347,2,FALSE)</f>
        <v>Maule</v>
      </c>
      <c r="H689" t="str">
        <f>VLOOKUP(F689,'[1]Sheet 1'!$B$2:$E$347,3,FALSE)</f>
        <v>Talca</v>
      </c>
      <c r="I689" t="str">
        <f>VLOOKUP(F689,'[1]Sheet 1'!$B$2:$E$347,4,FALSE)</f>
        <v>San Clemente</v>
      </c>
      <c r="J689" t="s">
        <v>136</v>
      </c>
      <c r="K689" s="3" t="s">
        <v>0</v>
      </c>
      <c r="L689" s="12" t="str">
        <f>VLOOKUP(K689,[2]Hoja4!$A$2:$C$443,2,FALSE)</f>
        <v>Intentional self-harm by hanging, strangulation and suffocation</v>
      </c>
      <c r="M689" s="12" t="str">
        <f>VLOOKUP(K689,[2]Hoja4!$A$2:$C$443,3,FALSE)</f>
        <v>Unspecified place</v>
      </c>
      <c r="N689" s="1">
        <v>3.5</v>
      </c>
      <c r="O689" s="1">
        <v>20.8</v>
      </c>
      <c r="P689" s="1">
        <v>10.7</v>
      </c>
      <c r="Q689" s="1">
        <v>1003.2</v>
      </c>
      <c r="R689" s="1">
        <v>0</v>
      </c>
      <c r="S689" s="1">
        <v>89.7</v>
      </c>
      <c r="T689" s="5">
        <v>0.11210000000000001</v>
      </c>
      <c r="U689" s="10">
        <v>-1E-3</v>
      </c>
    </row>
    <row r="690" spans="1:21" customFormat="1">
      <c r="A690">
        <v>1</v>
      </c>
      <c r="B690">
        <v>41</v>
      </c>
      <c r="C690">
        <v>18</v>
      </c>
      <c r="D690">
        <v>5</v>
      </c>
      <c r="E690">
        <v>2020</v>
      </c>
      <c r="F690">
        <v>6106</v>
      </c>
      <c r="G690" t="str">
        <f>VLOOKUP(F690,'[1]Sheet 1'!$B$2:$E$347,2,FALSE)</f>
        <v>Libertador General Bernardo O'Higgins</v>
      </c>
      <c r="H690" t="str">
        <f>VLOOKUP(F690,'[1]Sheet 1'!$B$2:$E$347,3,FALSE)</f>
        <v>Cachapoal</v>
      </c>
      <c r="I690" t="str">
        <f>VLOOKUP(F690,'[1]Sheet 1'!$B$2:$E$347,4,FALSE)</f>
        <v>Graneros</v>
      </c>
      <c r="J690" t="s">
        <v>136</v>
      </c>
      <c r="K690" s="3" t="s">
        <v>0</v>
      </c>
      <c r="L690" s="12" t="str">
        <f>VLOOKUP(K690,[2]Hoja4!$A$2:$C$443,2,FALSE)</f>
        <v>Intentional self-harm by hanging, strangulation and suffocation</v>
      </c>
      <c r="M690" s="12" t="str">
        <f>VLOOKUP(K690,[2]Hoja4!$A$2:$C$443,3,FALSE)</f>
        <v>Unspecified place</v>
      </c>
      <c r="N690" s="1">
        <v>4</v>
      </c>
      <c r="O690" s="1">
        <v>19</v>
      </c>
      <c r="P690" s="1">
        <v>12</v>
      </c>
      <c r="Q690" s="1">
        <v>959.6</v>
      </c>
      <c r="R690" s="1">
        <v>0.1</v>
      </c>
      <c r="S690" s="1">
        <v>76.900000000000006</v>
      </c>
      <c r="T690" s="5">
        <v>0.11210000000000001</v>
      </c>
      <c r="U690" s="10">
        <v>-1E-3</v>
      </c>
    </row>
    <row r="691" spans="1:21" customFormat="1">
      <c r="A691">
        <v>1</v>
      </c>
      <c r="B691">
        <v>25</v>
      </c>
      <c r="C691">
        <v>18</v>
      </c>
      <c r="D691">
        <v>5</v>
      </c>
      <c r="E691">
        <v>2020</v>
      </c>
      <c r="F691">
        <v>7105</v>
      </c>
      <c r="G691" t="str">
        <f>VLOOKUP(F691,'[1]Sheet 1'!$B$2:$E$347,2,FALSE)</f>
        <v>Maule</v>
      </c>
      <c r="H691" t="str">
        <f>VLOOKUP(F691,'[1]Sheet 1'!$B$2:$E$347,3,FALSE)</f>
        <v>Talca</v>
      </c>
      <c r="I691" t="str">
        <f>VLOOKUP(F691,'[1]Sheet 1'!$B$2:$E$347,4,FALSE)</f>
        <v>Maule</v>
      </c>
      <c r="J691" t="s">
        <v>136</v>
      </c>
      <c r="K691" s="3" t="s">
        <v>4</v>
      </c>
      <c r="L691" s="12" t="str">
        <f>VLOOKUP(K691,[2]Hoja4!$A$2:$C$443,2,FALSE)</f>
        <v>Intentional self-harm by hanging, strangulation and suffocation</v>
      </c>
      <c r="M691" s="12" t="str">
        <f>VLOOKUP(K691,[2]Hoja4!$A$2:$C$443,3,FALSE)</f>
        <v>At home</v>
      </c>
      <c r="N691" s="1">
        <v>3.5</v>
      </c>
      <c r="O691" s="1">
        <v>20.8</v>
      </c>
      <c r="P691" s="1">
        <v>10.7</v>
      </c>
      <c r="Q691" s="1">
        <v>1003.2</v>
      </c>
      <c r="R691" s="1">
        <v>0</v>
      </c>
      <c r="S691" s="1">
        <v>89.7</v>
      </c>
      <c r="T691" s="5">
        <v>0.11210000000000001</v>
      </c>
      <c r="U691" s="10">
        <v>-1E-3</v>
      </c>
    </row>
    <row r="692" spans="1:21" customFormat="1">
      <c r="A692">
        <v>1</v>
      </c>
      <c r="B692">
        <v>57</v>
      </c>
      <c r="C692">
        <v>19</v>
      </c>
      <c r="D692">
        <v>5</v>
      </c>
      <c r="E692">
        <v>2020</v>
      </c>
      <c r="F692">
        <v>13116</v>
      </c>
      <c r="G692" t="str">
        <f>VLOOKUP(F692,'[1]Sheet 1'!$B$2:$E$347,2,FALSE)</f>
        <v>Metropolitana de Santiago</v>
      </c>
      <c r="H692" t="str">
        <f>VLOOKUP(F692,'[1]Sheet 1'!$B$2:$E$347,3,FALSE)</f>
        <v>Santiago</v>
      </c>
      <c r="I692" t="str">
        <f>VLOOKUP(F692,'[1]Sheet 1'!$B$2:$E$347,4,FALSE)</f>
        <v>Lo Espejo</v>
      </c>
      <c r="J692" t="s">
        <v>136</v>
      </c>
      <c r="K692" s="3" t="s">
        <v>0</v>
      </c>
      <c r="L692" s="12" t="str">
        <f>VLOOKUP(K692,[2]Hoja4!$A$2:$C$443,2,FALSE)</f>
        <v>Intentional self-harm by hanging, strangulation and suffocation</v>
      </c>
      <c r="M692" s="12" t="str">
        <f>VLOOKUP(K692,[2]Hoja4!$A$2:$C$443,3,FALSE)</f>
        <v>Unspecified place</v>
      </c>
      <c r="N692" s="1">
        <v>5.9</v>
      </c>
      <c r="O692" s="1">
        <v>12.1</v>
      </c>
      <c r="P692" s="1">
        <v>9.1999999999999993</v>
      </c>
      <c r="Q692" s="1">
        <v>957</v>
      </c>
      <c r="R692" s="1"/>
      <c r="S692" s="1">
        <v>90.5</v>
      </c>
      <c r="T692" s="5">
        <v>0.11210000000000001</v>
      </c>
      <c r="U692" s="10">
        <v>-1E-3</v>
      </c>
    </row>
    <row r="693" spans="1:21" customFormat="1">
      <c r="A693">
        <v>1</v>
      </c>
      <c r="B693">
        <v>38</v>
      </c>
      <c r="C693">
        <v>19</v>
      </c>
      <c r="D693">
        <v>5</v>
      </c>
      <c r="E693">
        <v>2020</v>
      </c>
      <c r="F693">
        <v>2201</v>
      </c>
      <c r="G693" t="str">
        <f>VLOOKUP(F693,'[1]Sheet 1'!$B$2:$E$347,2,FALSE)</f>
        <v>Antofagasta</v>
      </c>
      <c r="H693" t="str">
        <f>VLOOKUP(F693,'[1]Sheet 1'!$B$2:$E$347,3,FALSE)</f>
        <v>El Loa</v>
      </c>
      <c r="I693" t="str">
        <f>VLOOKUP(F693,'[1]Sheet 1'!$B$2:$E$347,4,FALSE)</f>
        <v>Calama</v>
      </c>
      <c r="J693" t="s">
        <v>136</v>
      </c>
      <c r="K693" s="3" t="s">
        <v>0</v>
      </c>
      <c r="L693" s="12" t="str">
        <f>VLOOKUP(K693,[2]Hoja4!$A$2:$C$443,2,FALSE)</f>
        <v>Intentional self-harm by hanging, strangulation and suffocation</v>
      </c>
      <c r="M693" s="12" t="str">
        <f>VLOOKUP(K693,[2]Hoja4!$A$2:$C$443,3,FALSE)</f>
        <v>Unspecified place</v>
      </c>
      <c r="N693" s="1">
        <v>0.4</v>
      </c>
      <c r="O693" s="1">
        <v>23.2</v>
      </c>
      <c r="P693" s="1">
        <v>12</v>
      </c>
      <c r="Q693" s="1">
        <v>774.2</v>
      </c>
      <c r="R693" s="1">
        <v>0</v>
      </c>
      <c r="S693" s="1">
        <v>17.2</v>
      </c>
      <c r="T693" s="5">
        <v>0.11210000000000001</v>
      </c>
      <c r="U693" s="10">
        <v>-1E-3</v>
      </c>
    </row>
    <row r="694" spans="1:21" customFormat="1">
      <c r="A694">
        <v>1</v>
      </c>
      <c r="B694">
        <v>19</v>
      </c>
      <c r="C694">
        <v>20</v>
      </c>
      <c r="D694">
        <v>5</v>
      </c>
      <c r="E694">
        <v>2020</v>
      </c>
      <c r="F694">
        <v>13122</v>
      </c>
      <c r="G694" t="str">
        <f>VLOOKUP(F694,'[1]Sheet 1'!$B$2:$E$347,2,FALSE)</f>
        <v>Metropolitana de Santiago</v>
      </c>
      <c r="H694" t="str">
        <f>VLOOKUP(F694,'[1]Sheet 1'!$B$2:$E$347,3,FALSE)</f>
        <v>Santiago</v>
      </c>
      <c r="I694" t="str">
        <f>VLOOKUP(F694,'[1]Sheet 1'!$B$2:$E$347,4,FALSE)</f>
        <v>Peñalolén</v>
      </c>
      <c r="J694" t="s">
        <v>136</v>
      </c>
      <c r="K694" s="3" t="s">
        <v>0</v>
      </c>
      <c r="L694" s="12" t="str">
        <f>VLOOKUP(K694,[2]Hoja4!$A$2:$C$443,2,FALSE)</f>
        <v>Intentional self-harm by hanging, strangulation and suffocation</v>
      </c>
      <c r="M694" s="12" t="str">
        <f>VLOOKUP(K694,[2]Hoja4!$A$2:$C$443,3,FALSE)</f>
        <v>Unspecified place</v>
      </c>
      <c r="N694" s="1">
        <v>10.4</v>
      </c>
      <c r="O694" s="1">
        <v>13.9</v>
      </c>
      <c r="P694" s="1">
        <v>11.3</v>
      </c>
      <c r="Q694" s="1">
        <v>958.9</v>
      </c>
      <c r="R694" s="1"/>
      <c r="S694" s="1">
        <v>84.2</v>
      </c>
      <c r="T694" s="5">
        <v>0.11210000000000001</v>
      </c>
      <c r="U694" s="10">
        <v>-1E-3</v>
      </c>
    </row>
    <row r="695" spans="1:21" customFormat="1">
      <c r="A695">
        <v>1</v>
      </c>
      <c r="B695">
        <v>30</v>
      </c>
      <c r="C695">
        <v>21</v>
      </c>
      <c r="D695">
        <v>5</v>
      </c>
      <c r="E695">
        <v>2020</v>
      </c>
      <c r="F695">
        <v>13112</v>
      </c>
      <c r="G695" t="str">
        <f>VLOOKUP(F695,'[1]Sheet 1'!$B$2:$E$347,2,FALSE)</f>
        <v>Metropolitana de Santiago</v>
      </c>
      <c r="H695" t="str">
        <f>VLOOKUP(F695,'[1]Sheet 1'!$B$2:$E$347,3,FALSE)</f>
        <v>Santiago</v>
      </c>
      <c r="I695" t="str">
        <f>VLOOKUP(F695,'[1]Sheet 1'!$B$2:$E$347,4,FALSE)</f>
        <v>La Pintana</v>
      </c>
      <c r="J695" t="s">
        <v>136</v>
      </c>
      <c r="K695" s="3" t="s">
        <v>0</v>
      </c>
      <c r="L695" s="12" t="str">
        <f>VLOOKUP(K695,[2]Hoja4!$A$2:$C$443,2,FALSE)</f>
        <v>Intentional self-harm by hanging, strangulation and suffocation</v>
      </c>
      <c r="M695" s="12" t="str">
        <f>VLOOKUP(K695,[2]Hoja4!$A$2:$C$443,3,FALSE)</f>
        <v>Unspecified place</v>
      </c>
      <c r="N695" s="1">
        <v>7.5</v>
      </c>
      <c r="O695" s="1">
        <v>15.6</v>
      </c>
      <c r="P695" s="1">
        <v>10.199999999999999</v>
      </c>
      <c r="Q695" s="1">
        <v>960.4</v>
      </c>
      <c r="R695" s="1"/>
      <c r="S695" s="1">
        <v>84.2</v>
      </c>
      <c r="T695" s="5">
        <v>0.11210000000000001</v>
      </c>
      <c r="U695" s="10">
        <v>-1E-3</v>
      </c>
    </row>
    <row r="696" spans="1:21" customFormat="1">
      <c r="A696">
        <v>1</v>
      </c>
      <c r="B696">
        <v>69</v>
      </c>
      <c r="C696">
        <v>22</v>
      </c>
      <c r="D696">
        <v>5</v>
      </c>
      <c r="E696">
        <v>2020</v>
      </c>
      <c r="F696">
        <v>9121</v>
      </c>
      <c r="G696" t="str">
        <f>VLOOKUP(F696,'[1]Sheet 1'!$B$2:$E$347,2,FALSE)</f>
        <v>La Araucanía</v>
      </c>
      <c r="H696" t="str">
        <f>VLOOKUP(F696,'[1]Sheet 1'!$B$2:$E$347,3,FALSE)</f>
        <v>Cautín</v>
      </c>
      <c r="I696" t="str">
        <f>VLOOKUP(F696,'[1]Sheet 1'!$B$2:$E$347,4,FALSE)</f>
        <v>Cholchol</v>
      </c>
      <c r="J696" t="s">
        <v>136</v>
      </c>
      <c r="K696" s="3" t="s">
        <v>4</v>
      </c>
      <c r="L696" s="12" t="str">
        <f>VLOOKUP(K696,[2]Hoja4!$A$2:$C$443,2,FALSE)</f>
        <v>Intentional self-harm by hanging, strangulation and suffocation</v>
      </c>
      <c r="M696" s="12" t="str">
        <f>VLOOKUP(K696,[2]Hoja4!$A$2:$C$443,3,FALSE)</f>
        <v>At home</v>
      </c>
      <c r="N696" s="1">
        <v>-2.1</v>
      </c>
      <c r="O696" s="1">
        <v>16</v>
      </c>
      <c r="P696" s="1">
        <v>5.2</v>
      </c>
      <c r="Q696" s="1">
        <v>1014.7</v>
      </c>
      <c r="R696" s="1">
        <v>0</v>
      </c>
      <c r="S696" s="1">
        <v>87.8</v>
      </c>
      <c r="T696" s="5">
        <v>0.11210000000000001</v>
      </c>
      <c r="U696" s="10">
        <v>-1E-3</v>
      </c>
    </row>
    <row r="697" spans="1:21" customFormat="1">
      <c r="A697">
        <v>1</v>
      </c>
      <c r="B697">
        <v>54</v>
      </c>
      <c r="C697">
        <v>22</v>
      </c>
      <c r="D697">
        <v>5</v>
      </c>
      <c r="E697">
        <v>2020</v>
      </c>
      <c r="F697">
        <v>4101</v>
      </c>
      <c r="G697" t="str">
        <f>VLOOKUP(F697,'[1]Sheet 1'!$B$2:$E$347,2,FALSE)</f>
        <v>Coquimbo</v>
      </c>
      <c r="H697" t="str">
        <f>VLOOKUP(F697,'[1]Sheet 1'!$B$2:$E$347,3,FALSE)</f>
        <v>Elqui</v>
      </c>
      <c r="I697" t="str">
        <f>VLOOKUP(F697,'[1]Sheet 1'!$B$2:$E$347,4,FALSE)</f>
        <v>La Serena</v>
      </c>
      <c r="J697" t="s">
        <v>136</v>
      </c>
      <c r="K697" s="3" t="s">
        <v>4</v>
      </c>
      <c r="L697" s="12" t="str">
        <f>VLOOKUP(K697,[2]Hoja4!$A$2:$C$443,2,FALSE)</f>
        <v>Intentional self-harm by hanging, strangulation and suffocation</v>
      </c>
      <c r="M697" s="12" t="str">
        <f>VLOOKUP(K697,[2]Hoja4!$A$2:$C$443,3,FALSE)</f>
        <v>At home</v>
      </c>
      <c r="N697" s="1">
        <v>7.5</v>
      </c>
      <c r="O697" s="1">
        <v>17.100000000000001</v>
      </c>
      <c r="P697" s="1">
        <v>11.8</v>
      </c>
      <c r="Q697" s="1">
        <v>1002.7</v>
      </c>
      <c r="R697" s="1">
        <v>0</v>
      </c>
      <c r="S697" s="1">
        <v>71.5</v>
      </c>
      <c r="T697" s="5">
        <v>0.11210000000000001</v>
      </c>
      <c r="U697" s="10">
        <v>-1E-3</v>
      </c>
    </row>
    <row r="698" spans="1:21" customFormat="1">
      <c r="A698">
        <v>1</v>
      </c>
      <c r="B698">
        <v>45</v>
      </c>
      <c r="C698">
        <v>22</v>
      </c>
      <c r="D698">
        <v>5</v>
      </c>
      <c r="E698">
        <v>2020</v>
      </c>
      <c r="F698">
        <v>13501</v>
      </c>
      <c r="G698" t="str">
        <f>VLOOKUP(F698,'[1]Sheet 1'!$B$2:$E$347,2,FALSE)</f>
        <v>Metropolitana de Santiago</v>
      </c>
      <c r="H698" t="str">
        <f>VLOOKUP(F698,'[1]Sheet 1'!$B$2:$E$347,3,FALSE)</f>
        <v>Melipilla</v>
      </c>
      <c r="I698" t="str">
        <f>VLOOKUP(F698,'[1]Sheet 1'!$B$2:$E$347,4,FALSE)</f>
        <v>Melipilla</v>
      </c>
      <c r="J698" t="s">
        <v>136</v>
      </c>
      <c r="K698" s="3" t="s">
        <v>4</v>
      </c>
      <c r="L698" s="12" t="str">
        <f>VLOOKUP(K698,[2]Hoja4!$A$2:$C$443,2,FALSE)</f>
        <v>Intentional self-harm by hanging, strangulation and suffocation</v>
      </c>
      <c r="M698" s="12" t="str">
        <f>VLOOKUP(K698,[2]Hoja4!$A$2:$C$443,3,FALSE)</f>
        <v>At home</v>
      </c>
      <c r="N698" s="1">
        <v>2.2000000000000002</v>
      </c>
      <c r="O698" s="1">
        <v>19.399999999999999</v>
      </c>
      <c r="P698" s="1">
        <v>9.4</v>
      </c>
      <c r="Q698" s="1">
        <v>1022.4</v>
      </c>
      <c r="R698" s="1">
        <v>0</v>
      </c>
      <c r="S698" s="1">
        <v>64.5</v>
      </c>
      <c r="T698" s="5">
        <v>0.11210000000000001</v>
      </c>
      <c r="U698" s="10">
        <v>-1E-3</v>
      </c>
    </row>
    <row r="699" spans="1:21" customFormat="1">
      <c r="A699">
        <v>2</v>
      </c>
      <c r="B699">
        <v>41</v>
      </c>
      <c r="C699">
        <v>22</v>
      </c>
      <c r="D699">
        <v>5</v>
      </c>
      <c r="E699">
        <v>2020</v>
      </c>
      <c r="F699">
        <v>7304</v>
      </c>
      <c r="G699" t="str">
        <f>VLOOKUP(F699,'[1]Sheet 1'!$B$2:$E$347,2,FALSE)</f>
        <v>Maule</v>
      </c>
      <c r="H699" t="str">
        <f>VLOOKUP(F699,'[1]Sheet 1'!$B$2:$E$347,3,FALSE)</f>
        <v>Curicó</v>
      </c>
      <c r="I699" t="str">
        <f>VLOOKUP(F699,'[1]Sheet 1'!$B$2:$E$347,4,FALSE)</f>
        <v>Molina</v>
      </c>
      <c r="J699" t="s">
        <v>136</v>
      </c>
      <c r="K699" s="3" t="s">
        <v>4</v>
      </c>
      <c r="L699" s="12" t="str">
        <f>VLOOKUP(K699,[2]Hoja4!$A$2:$C$443,2,FALSE)</f>
        <v>Intentional self-harm by hanging, strangulation and suffocation</v>
      </c>
      <c r="M699" s="12" t="str">
        <f>VLOOKUP(K699,[2]Hoja4!$A$2:$C$443,3,FALSE)</f>
        <v>At home</v>
      </c>
      <c r="N699" s="1">
        <v>1.2</v>
      </c>
      <c r="O699" s="1">
        <v>14.5</v>
      </c>
      <c r="P699" s="1">
        <v>6.2</v>
      </c>
      <c r="Q699" s="1">
        <v>997.1</v>
      </c>
      <c r="R699" s="1">
        <v>0</v>
      </c>
      <c r="S699" s="1">
        <v>90.8</v>
      </c>
      <c r="T699" s="5">
        <v>0.11210000000000001</v>
      </c>
      <c r="U699" s="10">
        <v>-1E-3</v>
      </c>
    </row>
    <row r="700" spans="1:21" customFormat="1">
      <c r="A700">
        <v>1</v>
      </c>
      <c r="B700">
        <v>31</v>
      </c>
      <c r="C700">
        <v>22</v>
      </c>
      <c r="D700">
        <v>5</v>
      </c>
      <c r="E700">
        <v>2020</v>
      </c>
      <c r="F700">
        <v>10101</v>
      </c>
      <c r="G700" t="str">
        <f>VLOOKUP(F700,'[1]Sheet 1'!$B$2:$E$347,2,FALSE)</f>
        <v>Los Lagos</v>
      </c>
      <c r="H700" t="str">
        <f>VLOOKUP(F700,'[1]Sheet 1'!$B$2:$E$347,3,FALSE)</f>
        <v>Llanquihue</v>
      </c>
      <c r="I700" t="str">
        <f>VLOOKUP(F700,'[1]Sheet 1'!$B$2:$E$347,4,FALSE)</f>
        <v>Puerto Montt</v>
      </c>
      <c r="J700" t="s">
        <v>136</v>
      </c>
      <c r="K700" s="3" t="s">
        <v>4</v>
      </c>
      <c r="L700" s="12" t="str">
        <f>VLOOKUP(K700,[2]Hoja4!$A$2:$C$443,2,FALSE)</f>
        <v>Intentional self-harm by hanging, strangulation and suffocation</v>
      </c>
      <c r="M700" s="12" t="str">
        <f>VLOOKUP(K700,[2]Hoja4!$A$2:$C$443,3,FALSE)</f>
        <v>At home</v>
      </c>
      <c r="N700" s="1">
        <v>0.5</v>
      </c>
      <c r="O700" s="1">
        <v>13</v>
      </c>
      <c r="P700" s="1">
        <v>5.7</v>
      </c>
      <c r="Q700" s="1">
        <v>1016</v>
      </c>
      <c r="R700" s="1">
        <v>0</v>
      </c>
      <c r="S700" s="1">
        <v>87.5</v>
      </c>
      <c r="T700" s="5">
        <v>0.11210000000000001</v>
      </c>
      <c r="U700" s="10">
        <v>-1E-3</v>
      </c>
    </row>
    <row r="701" spans="1:21" customFormat="1">
      <c r="A701">
        <v>1</v>
      </c>
      <c r="B701">
        <v>52</v>
      </c>
      <c r="C701">
        <v>23</v>
      </c>
      <c r="D701">
        <v>5</v>
      </c>
      <c r="E701">
        <v>2020</v>
      </c>
      <c r="F701">
        <v>13501</v>
      </c>
      <c r="G701" t="str">
        <f>VLOOKUP(F701,'[1]Sheet 1'!$B$2:$E$347,2,FALSE)</f>
        <v>Metropolitana de Santiago</v>
      </c>
      <c r="H701" t="str">
        <f>VLOOKUP(F701,'[1]Sheet 1'!$B$2:$E$347,3,FALSE)</f>
        <v>Melipilla</v>
      </c>
      <c r="I701" t="str">
        <f>VLOOKUP(F701,'[1]Sheet 1'!$B$2:$E$347,4,FALSE)</f>
        <v>Melipilla</v>
      </c>
      <c r="J701" t="s">
        <v>136</v>
      </c>
      <c r="K701" s="3" t="s">
        <v>4</v>
      </c>
      <c r="L701" s="12" t="str">
        <f>VLOOKUP(K701,[2]Hoja4!$A$2:$C$443,2,FALSE)</f>
        <v>Intentional self-harm by hanging, strangulation and suffocation</v>
      </c>
      <c r="M701" s="12" t="str">
        <f>VLOOKUP(K701,[2]Hoja4!$A$2:$C$443,3,FALSE)</f>
        <v>At home</v>
      </c>
      <c r="N701" s="1">
        <v>2</v>
      </c>
      <c r="O701" s="1">
        <v>22.2</v>
      </c>
      <c r="P701" s="1">
        <v>10</v>
      </c>
      <c r="Q701" s="1">
        <v>1019</v>
      </c>
      <c r="R701" s="1">
        <v>0</v>
      </c>
      <c r="S701" s="1">
        <v>57.5</v>
      </c>
      <c r="T701" s="5">
        <v>0.11210000000000001</v>
      </c>
      <c r="U701" s="10">
        <v>-1E-3</v>
      </c>
    </row>
    <row r="702" spans="1:21" customFormat="1">
      <c r="A702">
        <v>1</v>
      </c>
      <c r="B702">
        <v>53</v>
      </c>
      <c r="C702">
        <v>23</v>
      </c>
      <c r="D702">
        <v>5</v>
      </c>
      <c r="E702">
        <v>2020</v>
      </c>
      <c r="F702">
        <v>8111</v>
      </c>
      <c r="G702" t="str">
        <f>VLOOKUP(F702,'[1]Sheet 1'!$B$2:$E$347,2,FALSE)</f>
        <v>Biobío</v>
      </c>
      <c r="H702" t="str">
        <f>VLOOKUP(F702,'[1]Sheet 1'!$B$2:$E$347,3,FALSE)</f>
        <v>Concepción</v>
      </c>
      <c r="I702" t="str">
        <f>VLOOKUP(F702,'[1]Sheet 1'!$B$2:$E$347,4,FALSE)</f>
        <v>Tomé</v>
      </c>
      <c r="J702" t="s">
        <v>136</v>
      </c>
      <c r="K702" s="3" t="s">
        <v>4</v>
      </c>
      <c r="L702" s="12" t="str">
        <f>VLOOKUP(K702,[2]Hoja4!$A$2:$C$443,2,FALSE)</f>
        <v>Intentional self-harm by hanging, strangulation and suffocation</v>
      </c>
      <c r="M702" s="12" t="str">
        <f>VLOOKUP(K702,[2]Hoja4!$A$2:$C$443,3,FALSE)</f>
        <v>At home</v>
      </c>
      <c r="N702" s="1">
        <v>4.5</v>
      </c>
      <c r="O702" s="1">
        <v>17.600000000000001</v>
      </c>
      <c r="P702" s="1">
        <v>9.6999999999999993</v>
      </c>
      <c r="Q702" s="1">
        <v>1020.9</v>
      </c>
      <c r="R702" s="1">
        <v>0</v>
      </c>
      <c r="S702" s="1">
        <v>80.8</v>
      </c>
      <c r="T702" s="5">
        <v>0.11210000000000001</v>
      </c>
      <c r="U702" s="10">
        <v>-1E-3</v>
      </c>
    </row>
    <row r="703" spans="1:21" customFormat="1">
      <c r="A703">
        <v>2</v>
      </c>
      <c r="B703">
        <v>45</v>
      </c>
      <c r="C703">
        <v>23</v>
      </c>
      <c r="D703">
        <v>5</v>
      </c>
      <c r="E703">
        <v>2020</v>
      </c>
      <c r="F703">
        <v>13201</v>
      </c>
      <c r="G703" t="str">
        <f>VLOOKUP(F703,'[1]Sheet 1'!$B$2:$E$347,2,FALSE)</f>
        <v>Metropolitana de Santiago</v>
      </c>
      <c r="H703" t="str">
        <f>VLOOKUP(F703,'[1]Sheet 1'!$B$2:$E$347,3,FALSE)</f>
        <v>Cordillera</v>
      </c>
      <c r="I703" t="str">
        <f>VLOOKUP(F703,'[1]Sheet 1'!$B$2:$E$347,4,FALSE)</f>
        <v>Puente Alto</v>
      </c>
      <c r="J703" t="s">
        <v>136</v>
      </c>
      <c r="K703" s="3" t="s">
        <v>0</v>
      </c>
      <c r="L703" s="12" t="str">
        <f>VLOOKUP(K703,[2]Hoja4!$A$2:$C$443,2,FALSE)</f>
        <v>Intentional self-harm by hanging, strangulation and suffocation</v>
      </c>
      <c r="M703" s="12" t="str">
        <f>VLOOKUP(K703,[2]Hoja4!$A$2:$C$443,3,FALSE)</f>
        <v>Unspecified place</v>
      </c>
      <c r="N703" s="1">
        <v>-1.8</v>
      </c>
      <c r="O703" s="1">
        <v>26.6</v>
      </c>
      <c r="P703" s="1">
        <v>9.5</v>
      </c>
      <c r="Q703" s="1">
        <v>941.9</v>
      </c>
      <c r="R703" s="1">
        <v>0</v>
      </c>
      <c r="S703" s="1">
        <v>64.5</v>
      </c>
      <c r="T703" s="5">
        <v>0.11210000000000001</v>
      </c>
      <c r="U703" s="10">
        <v>-1E-3</v>
      </c>
    </row>
    <row r="704" spans="1:21" customFormat="1">
      <c r="A704">
        <v>1</v>
      </c>
      <c r="B704">
        <v>32</v>
      </c>
      <c r="C704">
        <v>23</v>
      </c>
      <c r="D704">
        <v>5</v>
      </c>
      <c r="E704">
        <v>2020</v>
      </c>
      <c r="F704">
        <v>13118</v>
      </c>
      <c r="G704" t="str">
        <f>VLOOKUP(F704,'[1]Sheet 1'!$B$2:$E$347,2,FALSE)</f>
        <v>Metropolitana de Santiago</v>
      </c>
      <c r="H704" t="str">
        <f>VLOOKUP(F704,'[1]Sheet 1'!$B$2:$E$347,3,FALSE)</f>
        <v>Santiago</v>
      </c>
      <c r="I704" t="str">
        <f>VLOOKUP(F704,'[1]Sheet 1'!$B$2:$E$347,4,FALSE)</f>
        <v>Macul</v>
      </c>
      <c r="J704" t="s">
        <v>136</v>
      </c>
      <c r="K704" s="3" t="s">
        <v>0</v>
      </c>
      <c r="L704" s="12" t="str">
        <f>VLOOKUP(K704,[2]Hoja4!$A$2:$C$443,2,FALSE)</f>
        <v>Intentional self-harm by hanging, strangulation and suffocation</v>
      </c>
      <c r="M704" s="12" t="str">
        <f>VLOOKUP(K704,[2]Hoja4!$A$2:$C$443,3,FALSE)</f>
        <v>Unspecified place</v>
      </c>
      <c r="N704" s="1">
        <v>1.8</v>
      </c>
      <c r="O704" s="1">
        <v>24.2</v>
      </c>
      <c r="P704" s="1">
        <v>10.4</v>
      </c>
      <c r="Q704" s="1">
        <v>958.4</v>
      </c>
      <c r="R704" s="1"/>
      <c r="S704" s="1">
        <v>64</v>
      </c>
      <c r="T704" s="5">
        <v>0.11210000000000001</v>
      </c>
      <c r="U704" s="10">
        <v>-1E-3</v>
      </c>
    </row>
    <row r="705" spans="1:21" customFormat="1">
      <c r="A705">
        <v>2</v>
      </c>
      <c r="B705">
        <v>29</v>
      </c>
      <c r="C705">
        <v>23</v>
      </c>
      <c r="D705">
        <v>5</v>
      </c>
      <c r="E705">
        <v>2020</v>
      </c>
      <c r="F705">
        <v>5705</v>
      </c>
      <c r="G705" t="str">
        <f>VLOOKUP(F705,'[1]Sheet 1'!$B$2:$E$347,2,FALSE)</f>
        <v>Valparaíso</v>
      </c>
      <c r="H705" t="str">
        <f>VLOOKUP(F705,'[1]Sheet 1'!$B$2:$E$347,3,FALSE)</f>
        <v>San Felipe de Aconcagua</v>
      </c>
      <c r="I705" t="str">
        <f>VLOOKUP(F705,'[1]Sheet 1'!$B$2:$E$347,4,FALSE)</f>
        <v>Putaendo</v>
      </c>
      <c r="J705" t="s">
        <v>136</v>
      </c>
      <c r="K705" s="3" t="s">
        <v>4</v>
      </c>
      <c r="L705" s="12" t="str">
        <f>VLOOKUP(K705,[2]Hoja4!$A$2:$C$443,2,FALSE)</f>
        <v>Intentional self-harm by hanging, strangulation and suffocation</v>
      </c>
      <c r="M705" s="12" t="str">
        <f>VLOOKUP(K705,[2]Hoja4!$A$2:$C$443,3,FALSE)</f>
        <v>At home</v>
      </c>
      <c r="N705" s="1">
        <v>0.4</v>
      </c>
      <c r="O705" s="1">
        <v>29.4</v>
      </c>
      <c r="P705" s="1">
        <v>11.8</v>
      </c>
      <c r="Q705" s="1">
        <v>941.4</v>
      </c>
      <c r="R705" s="1">
        <v>0</v>
      </c>
      <c r="S705" s="1">
        <v>42.3</v>
      </c>
      <c r="T705" s="5">
        <v>0.11210000000000001</v>
      </c>
      <c r="U705" s="10">
        <v>-1E-3</v>
      </c>
    </row>
    <row r="706" spans="1:21" customFormat="1">
      <c r="A706">
        <v>1</v>
      </c>
      <c r="B706">
        <v>18</v>
      </c>
      <c r="C706">
        <v>23</v>
      </c>
      <c r="D706">
        <v>5</v>
      </c>
      <c r="E706">
        <v>2020</v>
      </c>
      <c r="F706">
        <v>14108</v>
      </c>
      <c r="G706" t="str">
        <f>VLOOKUP(F706,'[1]Sheet 1'!$B$2:$E$347,2,FALSE)</f>
        <v>Los Ríos</v>
      </c>
      <c r="H706" t="str">
        <f>VLOOKUP(F706,'[1]Sheet 1'!$B$2:$E$347,3,FALSE)</f>
        <v>Valdivia</v>
      </c>
      <c r="I706" t="str">
        <f>VLOOKUP(F706,'[1]Sheet 1'!$B$2:$E$347,4,FALSE)</f>
        <v>Panguipulli</v>
      </c>
      <c r="J706" t="s">
        <v>136</v>
      </c>
      <c r="K706" s="3" t="s">
        <v>4</v>
      </c>
      <c r="L706" s="12" t="str">
        <f>VLOOKUP(K706,[2]Hoja4!$A$2:$C$443,2,FALSE)</f>
        <v>Intentional self-harm by hanging, strangulation and suffocation</v>
      </c>
      <c r="M706" s="12" t="str">
        <f>VLOOKUP(K706,[2]Hoja4!$A$2:$C$443,3,FALSE)</f>
        <v>At home</v>
      </c>
      <c r="N706" s="1">
        <v>2.2000000000000002</v>
      </c>
      <c r="O706" s="1">
        <v>9.4</v>
      </c>
      <c r="P706" s="1">
        <v>4.5</v>
      </c>
      <c r="Q706" s="1">
        <v>1020</v>
      </c>
      <c r="R706" s="1">
        <v>14.8</v>
      </c>
      <c r="S706" s="1">
        <v>100</v>
      </c>
      <c r="T706" s="5">
        <v>0.11210000000000001</v>
      </c>
      <c r="U706" s="10">
        <v>-1E-3</v>
      </c>
    </row>
    <row r="707" spans="1:21" customFormat="1">
      <c r="A707">
        <v>1</v>
      </c>
      <c r="B707">
        <v>60</v>
      </c>
      <c r="C707">
        <v>24</v>
      </c>
      <c r="D707">
        <v>5</v>
      </c>
      <c r="E707">
        <v>2020</v>
      </c>
      <c r="F707">
        <v>3101</v>
      </c>
      <c r="G707" t="str">
        <f>VLOOKUP(F707,'[1]Sheet 1'!$B$2:$E$347,2,FALSE)</f>
        <v>Atacama</v>
      </c>
      <c r="H707" t="str">
        <f>VLOOKUP(F707,'[1]Sheet 1'!$B$2:$E$347,3,FALSE)</f>
        <v>Copiapó</v>
      </c>
      <c r="I707" t="str">
        <f>VLOOKUP(F707,'[1]Sheet 1'!$B$2:$E$347,4,FALSE)</f>
        <v>Copiapó</v>
      </c>
      <c r="J707" t="s">
        <v>136</v>
      </c>
      <c r="K707" s="3" t="s">
        <v>4</v>
      </c>
      <c r="L707" s="12" t="str">
        <f>VLOOKUP(K707,[2]Hoja4!$A$2:$C$443,2,FALSE)</f>
        <v>Intentional self-harm by hanging, strangulation and suffocation</v>
      </c>
      <c r="M707" s="12" t="str">
        <f>VLOOKUP(K707,[2]Hoja4!$A$2:$C$443,3,FALSE)</f>
        <v>At home</v>
      </c>
      <c r="N707" s="1">
        <v>9.8000000000000007</v>
      </c>
      <c r="O707" s="1">
        <v>17.600000000000001</v>
      </c>
      <c r="P707" s="1">
        <v>13.2</v>
      </c>
      <c r="Q707" s="1">
        <v>991.3</v>
      </c>
      <c r="R707" s="1">
        <v>0</v>
      </c>
      <c r="S707" s="1">
        <v>83.5</v>
      </c>
      <c r="T707" s="5">
        <v>0.11210000000000001</v>
      </c>
      <c r="U707" s="10">
        <v>-1E-3</v>
      </c>
    </row>
    <row r="708" spans="1:21" customFormat="1">
      <c r="A708">
        <v>1</v>
      </c>
      <c r="B708">
        <v>43</v>
      </c>
      <c r="C708">
        <v>24</v>
      </c>
      <c r="D708">
        <v>5</v>
      </c>
      <c r="E708">
        <v>2020</v>
      </c>
      <c r="F708">
        <v>6101</v>
      </c>
      <c r="G708" t="str">
        <f>VLOOKUP(F708,'[1]Sheet 1'!$B$2:$E$347,2,FALSE)</f>
        <v>Libertador General Bernardo O'Higgins</v>
      </c>
      <c r="H708" t="str">
        <f>VLOOKUP(F708,'[1]Sheet 1'!$B$2:$E$347,3,FALSE)</f>
        <v>Cachapoal</v>
      </c>
      <c r="I708" t="str">
        <f>VLOOKUP(F708,'[1]Sheet 1'!$B$2:$E$347,4,FALSE)</f>
        <v>Rancagua</v>
      </c>
      <c r="J708" t="s">
        <v>136</v>
      </c>
      <c r="K708" s="3" t="s">
        <v>0</v>
      </c>
      <c r="L708" s="12" t="str">
        <f>VLOOKUP(K708,[2]Hoja4!$A$2:$C$443,2,FALSE)</f>
        <v>Intentional self-harm by hanging, strangulation and suffocation</v>
      </c>
      <c r="M708" s="12" t="str">
        <f>VLOOKUP(K708,[2]Hoja4!$A$2:$C$443,3,FALSE)</f>
        <v>Unspecified place</v>
      </c>
      <c r="N708" s="1">
        <v>10.5</v>
      </c>
      <c r="O708" s="1">
        <v>10.6</v>
      </c>
      <c r="P708" s="1">
        <v>10.5</v>
      </c>
      <c r="Q708" s="1">
        <v>962.5</v>
      </c>
      <c r="R708" s="1">
        <v>0</v>
      </c>
      <c r="S708" s="1">
        <v>66.599999999999994</v>
      </c>
      <c r="T708" s="5">
        <v>0.11210000000000001</v>
      </c>
      <c r="U708" s="10">
        <v>-1E-3</v>
      </c>
    </row>
    <row r="709" spans="1:21" customFormat="1">
      <c r="A709">
        <v>1</v>
      </c>
      <c r="B709">
        <v>27</v>
      </c>
      <c r="C709">
        <v>24</v>
      </c>
      <c r="D709">
        <v>5</v>
      </c>
      <c r="E709">
        <v>2020</v>
      </c>
      <c r="F709">
        <v>10201</v>
      </c>
      <c r="G709" t="str">
        <f>VLOOKUP(F709,'[1]Sheet 1'!$B$2:$E$347,2,FALSE)</f>
        <v>Los Lagos</v>
      </c>
      <c r="H709" t="str">
        <f>VLOOKUP(F709,'[1]Sheet 1'!$B$2:$E$347,3,FALSE)</f>
        <v>Chiloé</v>
      </c>
      <c r="I709" t="str">
        <f>VLOOKUP(F709,'[1]Sheet 1'!$B$2:$E$347,4,FALSE)</f>
        <v>Castro</v>
      </c>
      <c r="J709" t="s">
        <v>136</v>
      </c>
      <c r="K709" s="3" t="s">
        <v>0</v>
      </c>
      <c r="L709" s="12" t="str">
        <f>VLOOKUP(K709,[2]Hoja4!$A$2:$C$443,2,FALSE)</f>
        <v>Intentional self-harm by hanging, strangulation and suffocation</v>
      </c>
      <c r="M709" s="12" t="str">
        <f>VLOOKUP(K709,[2]Hoja4!$A$2:$C$443,3,FALSE)</f>
        <v>Unspecified place</v>
      </c>
      <c r="N709" s="1">
        <v>11</v>
      </c>
      <c r="O709" s="1">
        <v>14.5</v>
      </c>
      <c r="P709" s="1">
        <v>12.8</v>
      </c>
      <c r="Q709" s="1">
        <v>999.4</v>
      </c>
      <c r="R709" s="1">
        <v>0</v>
      </c>
      <c r="S709" s="1">
        <v>85.5</v>
      </c>
      <c r="T709" s="5">
        <v>0.11210000000000001</v>
      </c>
      <c r="U709" s="10">
        <v>-1E-3</v>
      </c>
    </row>
    <row r="710" spans="1:21" customFormat="1">
      <c r="A710">
        <v>2</v>
      </c>
      <c r="B710">
        <v>72</v>
      </c>
      <c r="C710">
        <v>25</v>
      </c>
      <c r="D710">
        <v>5</v>
      </c>
      <c r="E710">
        <v>2020</v>
      </c>
      <c r="F710">
        <v>5601</v>
      </c>
      <c r="G710" t="str">
        <f>VLOOKUP(F710,'[1]Sheet 1'!$B$2:$E$347,2,FALSE)</f>
        <v>Valparaíso</v>
      </c>
      <c r="H710" t="str">
        <f>VLOOKUP(F710,'[1]Sheet 1'!$B$2:$E$347,3,FALSE)</f>
        <v>San Antonio</v>
      </c>
      <c r="I710" t="str">
        <f>VLOOKUP(F710,'[1]Sheet 1'!$B$2:$E$347,4,FALSE)</f>
        <v>San Antonio</v>
      </c>
      <c r="J710" t="s">
        <v>161</v>
      </c>
      <c r="K710" s="3" t="s">
        <v>22</v>
      </c>
      <c r="L710" s="12" t="str">
        <f>VLOOKUP(K710,[2]Hoja4!$A$2:$C$443,2,FALSE)</f>
        <v>Intentional self-harm by sharp object</v>
      </c>
      <c r="M710" s="12" t="str">
        <f>VLOOKUP(K710,[2]Hoja4!$A$2:$C$443,3,FALSE)</f>
        <v>Unspecified place</v>
      </c>
      <c r="N710" s="1">
        <v>14</v>
      </c>
      <c r="O710" s="1">
        <v>25.5</v>
      </c>
      <c r="P710" s="1">
        <v>17.7</v>
      </c>
      <c r="Q710" s="1">
        <v>1004.4</v>
      </c>
      <c r="R710" s="1">
        <v>0</v>
      </c>
      <c r="S710" s="1">
        <v>66.8</v>
      </c>
      <c r="T710" s="5">
        <v>0.11210000000000001</v>
      </c>
      <c r="U710" s="10">
        <v>-1E-3</v>
      </c>
    </row>
    <row r="711" spans="1:21" customFormat="1">
      <c r="A711">
        <v>1</v>
      </c>
      <c r="B711">
        <v>57</v>
      </c>
      <c r="C711">
        <v>25</v>
      </c>
      <c r="D711">
        <v>5</v>
      </c>
      <c r="E711">
        <v>2020</v>
      </c>
      <c r="F711">
        <v>13116</v>
      </c>
      <c r="G711" t="str">
        <f>VLOOKUP(F711,'[1]Sheet 1'!$B$2:$E$347,2,FALSE)</f>
        <v>Metropolitana de Santiago</v>
      </c>
      <c r="H711" t="str">
        <f>VLOOKUP(F711,'[1]Sheet 1'!$B$2:$E$347,3,FALSE)</f>
        <v>Santiago</v>
      </c>
      <c r="I711" t="str">
        <f>VLOOKUP(F711,'[1]Sheet 1'!$B$2:$E$347,4,FALSE)</f>
        <v>Lo Espejo</v>
      </c>
      <c r="J711" t="s">
        <v>136</v>
      </c>
      <c r="K711" s="3" t="s">
        <v>0</v>
      </c>
      <c r="L711" s="12" t="str">
        <f>VLOOKUP(K711,[2]Hoja4!$A$2:$C$443,2,FALSE)</f>
        <v>Intentional self-harm by hanging, strangulation and suffocation</v>
      </c>
      <c r="M711" s="12" t="str">
        <f>VLOOKUP(K711,[2]Hoja4!$A$2:$C$443,3,FALSE)</f>
        <v>Unspecified place</v>
      </c>
      <c r="N711" s="1">
        <v>6.2</v>
      </c>
      <c r="O711" s="1">
        <v>30.7</v>
      </c>
      <c r="P711" s="1">
        <v>14.8</v>
      </c>
      <c r="Q711" s="1">
        <v>953.6</v>
      </c>
      <c r="R711" s="1"/>
      <c r="S711" s="1">
        <v>57.5</v>
      </c>
      <c r="T711" s="5">
        <v>0.11210000000000001</v>
      </c>
      <c r="U711" s="10">
        <v>-1E-3</v>
      </c>
    </row>
    <row r="712" spans="1:21" customFormat="1">
      <c r="A712">
        <v>1</v>
      </c>
      <c r="B712">
        <v>46</v>
      </c>
      <c r="C712">
        <v>25</v>
      </c>
      <c r="D712">
        <v>5</v>
      </c>
      <c r="E712">
        <v>2020</v>
      </c>
      <c r="F712">
        <v>13122</v>
      </c>
      <c r="G712" t="str">
        <f>VLOOKUP(F712,'[1]Sheet 1'!$B$2:$E$347,2,FALSE)</f>
        <v>Metropolitana de Santiago</v>
      </c>
      <c r="H712" t="str">
        <f>VLOOKUP(F712,'[1]Sheet 1'!$B$2:$E$347,3,FALSE)</f>
        <v>Santiago</v>
      </c>
      <c r="I712" t="str">
        <f>VLOOKUP(F712,'[1]Sheet 1'!$B$2:$E$347,4,FALSE)</f>
        <v>Peñalolén</v>
      </c>
      <c r="J712" t="s">
        <v>136</v>
      </c>
      <c r="K712" s="3" t="s">
        <v>0</v>
      </c>
      <c r="L712" s="12" t="str">
        <f>VLOOKUP(K712,[2]Hoja4!$A$2:$C$443,2,FALSE)</f>
        <v>Intentional self-harm by hanging, strangulation and suffocation</v>
      </c>
      <c r="M712" s="12" t="str">
        <f>VLOOKUP(K712,[2]Hoja4!$A$2:$C$443,3,FALSE)</f>
        <v>Unspecified place</v>
      </c>
      <c r="N712" s="1">
        <v>6.2</v>
      </c>
      <c r="O712" s="1">
        <v>30.7</v>
      </c>
      <c r="P712" s="1">
        <v>14.8</v>
      </c>
      <c r="Q712" s="1">
        <v>953.6</v>
      </c>
      <c r="R712" s="1"/>
      <c r="S712" s="1">
        <v>57.5</v>
      </c>
      <c r="T712" s="5">
        <v>0.11210000000000001</v>
      </c>
      <c r="U712" s="10">
        <v>-1E-3</v>
      </c>
    </row>
    <row r="713" spans="1:21" customFormat="1">
      <c r="A713">
        <v>2</v>
      </c>
      <c r="B713">
        <v>41</v>
      </c>
      <c r="C713">
        <v>25</v>
      </c>
      <c r="D713">
        <v>5</v>
      </c>
      <c r="E713">
        <v>2020</v>
      </c>
      <c r="F713">
        <v>8202</v>
      </c>
      <c r="G713" t="str">
        <f>VLOOKUP(F713,'[1]Sheet 1'!$B$2:$E$347,2,FALSE)</f>
        <v>Biobío</v>
      </c>
      <c r="H713" t="str">
        <f>VLOOKUP(F713,'[1]Sheet 1'!$B$2:$E$347,3,FALSE)</f>
        <v>Arauco</v>
      </c>
      <c r="I713" t="str">
        <f>VLOOKUP(F713,'[1]Sheet 1'!$B$2:$E$347,4,FALSE)</f>
        <v>Arauco</v>
      </c>
      <c r="J713" t="s">
        <v>136</v>
      </c>
      <c r="K713" s="3" t="s">
        <v>4</v>
      </c>
      <c r="L713" s="12" t="str">
        <f>VLOOKUP(K713,[2]Hoja4!$A$2:$C$443,2,FALSE)</f>
        <v>Intentional self-harm by hanging, strangulation and suffocation</v>
      </c>
      <c r="M713" s="12" t="str">
        <f>VLOOKUP(K713,[2]Hoja4!$A$2:$C$443,3,FALSE)</f>
        <v>At home</v>
      </c>
      <c r="N713" s="1">
        <v>9.3000000000000007</v>
      </c>
      <c r="O713" s="1">
        <v>19.2</v>
      </c>
      <c r="P713" s="1">
        <v>13.4</v>
      </c>
      <c r="Q713" s="1">
        <v>1014.5</v>
      </c>
      <c r="R713" s="1">
        <v>0</v>
      </c>
      <c r="S713" s="1">
        <v>90</v>
      </c>
      <c r="T713" s="5">
        <v>0.11210000000000001</v>
      </c>
      <c r="U713" s="10">
        <v>-1E-3</v>
      </c>
    </row>
    <row r="714" spans="1:21" customFormat="1">
      <c r="A714">
        <v>1</v>
      </c>
      <c r="B714">
        <v>34</v>
      </c>
      <c r="C714">
        <v>25</v>
      </c>
      <c r="D714">
        <v>5</v>
      </c>
      <c r="E714">
        <v>2020</v>
      </c>
      <c r="F714">
        <v>13116</v>
      </c>
      <c r="G714" t="str">
        <f>VLOOKUP(F714,'[1]Sheet 1'!$B$2:$E$347,2,FALSE)</f>
        <v>Metropolitana de Santiago</v>
      </c>
      <c r="H714" t="str">
        <f>VLOOKUP(F714,'[1]Sheet 1'!$B$2:$E$347,3,FALSE)</f>
        <v>Santiago</v>
      </c>
      <c r="I714" t="str">
        <f>VLOOKUP(F714,'[1]Sheet 1'!$B$2:$E$347,4,FALSE)</f>
        <v>Lo Espejo</v>
      </c>
      <c r="J714" t="s">
        <v>136</v>
      </c>
      <c r="K714" s="3" t="s">
        <v>4</v>
      </c>
      <c r="L714" s="12" t="str">
        <f>VLOOKUP(K714,[2]Hoja4!$A$2:$C$443,2,FALSE)</f>
        <v>Intentional self-harm by hanging, strangulation and suffocation</v>
      </c>
      <c r="M714" s="12" t="str">
        <f>VLOOKUP(K714,[2]Hoja4!$A$2:$C$443,3,FALSE)</f>
        <v>At home</v>
      </c>
      <c r="N714" s="1">
        <v>6.2</v>
      </c>
      <c r="O714" s="1">
        <v>30.7</v>
      </c>
      <c r="P714" s="1">
        <v>14.8</v>
      </c>
      <c r="Q714" s="1">
        <v>953.6</v>
      </c>
      <c r="R714" s="1"/>
      <c r="S714" s="1">
        <v>57.5</v>
      </c>
      <c r="T714" s="5">
        <v>0.11210000000000001</v>
      </c>
      <c r="U714" s="10">
        <v>-1E-3</v>
      </c>
    </row>
    <row r="715" spans="1:21" customFormat="1">
      <c r="A715">
        <v>1</v>
      </c>
      <c r="B715">
        <v>30</v>
      </c>
      <c r="C715">
        <v>25</v>
      </c>
      <c r="D715">
        <v>5</v>
      </c>
      <c r="E715">
        <v>2020</v>
      </c>
      <c r="F715">
        <v>13401</v>
      </c>
      <c r="G715" t="str">
        <f>VLOOKUP(F715,'[1]Sheet 1'!$B$2:$E$347,2,FALSE)</f>
        <v>Metropolitana de Santiago</v>
      </c>
      <c r="H715" t="str">
        <f>VLOOKUP(F715,'[1]Sheet 1'!$B$2:$E$347,3,FALSE)</f>
        <v>Maipo</v>
      </c>
      <c r="I715" t="str">
        <f>VLOOKUP(F715,'[1]Sheet 1'!$B$2:$E$347,4,FALSE)</f>
        <v>San Bernardo</v>
      </c>
      <c r="J715" t="s">
        <v>136</v>
      </c>
      <c r="K715" s="3" t="s">
        <v>0</v>
      </c>
      <c r="L715" s="12" t="str">
        <f>VLOOKUP(K715,[2]Hoja4!$A$2:$C$443,2,FALSE)</f>
        <v>Intentional self-harm by hanging, strangulation and suffocation</v>
      </c>
      <c r="M715" s="12" t="str">
        <f>VLOOKUP(K715,[2]Hoja4!$A$2:$C$443,3,FALSE)</f>
        <v>Unspecified place</v>
      </c>
      <c r="N715" s="1">
        <v>5.5</v>
      </c>
      <c r="O715" s="1">
        <v>30.9</v>
      </c>
      <c r="P715" s="1">
        <v>15.8</v>
      </c>
      <c r="Q715" s="1">
        <v>962.5</v>
      </c>
      <c r="R715" s="1">
        <v>0</v>
      </c>
      <c r="S715" s="1">
        <v>66.2</v>
      </c>
      <c r="T715" s="5">
        <v>0.11210000000000001</v>
      </c>
      <c r="U715" s="10">
        <v>-1E-3</v>
      </c>
    </row>
    <row r="716" spans="1:21" customFormat="1">
      <c r="A716">
        <v>1</v>
      </c>
      <c r="B716">
        <v>84</v>
      </c>
      <c r="C716">
        <v>26</v>
      </c>
      <c r="D716">
        <v>5</v>
      </c>
      <c r="E716">
        <v>2020</v>
      </c>
      <c r="F716">
        <v>7101</v>
      </c>
      <c r="G716" t="str">
        <f>VLOOKUP(F716,'[1]Sheet 1'!$B$2:$E$347,2,FALSE)</f>
        <v>Maule</v>
      </c>
      <c r="H716" t="str">
        <f>VLOOKUP(F716,'[1]Sheet 1'!$B$2:$E$347,3,FALSE)</f>
        <v>Talca</v>
      </c>
      <c r="I716" t="str">
        <f>VLOOKUP(F716,'[1]Sheet 1'!$B$2:$E$347,4,FALSE)</f>
        <v>Talca</v>
      </c>
      <c r="J716" t="s">
        <v>136</v>
      </c>
      <c r="K716" s="3" t="s">
        <v>4</v>
      </c>
      <c r="L716" s="12" t="str">
        <f>VLOOKUP(K716,[2]Hoja4!$A$2:$C$443,2,FALSE)</f>
        <v>Intentional self-harm by hanging, strangulation and suffocation</v>
      </c>
      <c r="M716" s="12" t="str">
        <f>VLOOKUP(K716,[2]Hoja4!$A$2:$C$443,3,FALSE)</f>
        <v>At home</v>
      </c>
      <c r="N716" s="1">
        <v>4.5</v>
      </c>
      <c r="O716" s="1">
        <v>22.8</v>
      </c>
      <c r="P716" s="1">
        <v>12.1</v>
      </c>
      <c r="Q716" s="1">
        <v>999.9</v>
      </c>
      <c r="R716" s="1">
        <v>0.3</v>
      </c>
      <c r="S716" s="1">
        <v>84.1</v>
      </c>
      <c r="T716" s="5">
        <v>0.11210000000000001</v>
      </c>
      <c r="U716" s="10">
        <v>-1E-3</v>
      </c>
    </row>
    <row r="717" spans="1:21" customFormat="1">
      <c r="A717">
        <v>1</v>
      </c>
      <c r="B717">
        <v>56</v>
      </c>
      <c r="C717">
        <v>26</v>
      </c>
      <c r="D717">
        <v>5</v>
      </c>
      <c r="E717">
        <v>2020</v>
      </c>
      <c r="F717">
        <v>13501</v>
      </c>
      <c r="G717" t="str">
        <f>VLOOKUP(F717,'[1]Sheet 1'!$B$2:$E$347,2,FALSE)</f>
        <v>Metropolitana de Santiago</v>
      </c>
      <c r="H717" t="str">
        <f>VLOOKUP(F717,'[1]Sheet 1'!$B$2:$E$347,3,FALSE)</f>
        <v>Melipilla</v>
      </c>
      <c r="I717" t="str">
        <f>VLOOKUP(F717,'[1]Sheet 1'!$B$2:$E$347,4,FALSE)</f>
        <v>Melipilla</v>
      </c>
      <c r="J717" t="s">
        <v>136</v>
      </c>
      <c r="K717" s="3" t="s">
        <v>4</v>
      </c>
      <c r="L717" s="12" t="str">
        <f>VLOOKUP(K717,[2]Hoja4!$A$2:$C$443,2,FALSE)</f>
        <v>Intentional self-harm by hanging, strangulation and suffocation</v>
      </c>
      <c r="M717" s="12" t="str">
        <f>VLOOKUP(K717,[2]Hoja4!$A$2:$C$443,3,FALSE)</f>
        <v>At home</v>
      </c>
      <c r="N717" s="1">
        <v>8.1999999999999993</v>
      </c>
      <c r="O717" s="1">
        <v>15.6</v>
      </c>
      <c r="P717" s="1">
        <v>12.1</v>
      </c>
      <c r="Q717" s="1">
        <v>1014.8</v>
      </c>
      <c r="R717" s="1">
        <v>0</v>
      </c>
      <c r="S717" s="1">
        <v>76</v>
      </c>
      <c r="T717" s="5">
        <v>0.11210000000000001</v>
      </c>
      <c r="U717" s="10">
        <v>-1E-3</v>
      </c>
    </row>
    <row r="718" spans="1:21" customFormat="1">
      <c r="A718">
        <v>1</v>
      </c>
      <c r="B718">
        <v>52</v>
      </c>
      <c r="C718">
        <v>26</v>
      </c>
      <c r="D718">
        <v>5</v>
      </c>
      <c r="E718">
        <v>2020</v>
      </c>
      <c r="F718">
        <v>7109</v>
      </c>
      <c r="G718" t="str">
        <f>VLOOKUP(F718,'[1]Sheet 1'!$B$2:$E$347,2,FALSE)</f>
        <v>Maule</v>
      </c>
      <c r="H718" t="str">
        <f>VLOOKUP(F718,'[1]Sheet 1'!$B$2:$E$347,3,FALSE)</f>
        <v>Talca</v>
      </c>
      <c r="I718" t="str">
        <f>VLOOKUP(F718,'[1]Sheet 1'!$B$2:$E$347,4,FALSE)</f>
        <v>San Clemente</v>
      </c>
      <c r="J718" t="s">
        <v>136</v>
      </c>
      <c r="K718" s="3" t="s">
        <v>4</v>
      </c>
      <c r="L718" s="12" t="str">
        <f>VLOOKUP(K718,[2]Hoja4!$A$2:$C$443,2,FALSE)</f>
        <v>Intentional self-harm by hanging, strangulation and suffocation</v>
      </c>
      <c r="M718" s="12" t="str">
        <f>VLOOKUP(K718,[2]Hoja4!$A$2:$C$443,3,FALSE)</f>
        <v>At home</v>
      </c>
      <c r="N718" s="1">
        <v>4.5</v>
      </c>
      <c r="O718" s="1">
        <v>22.8</v>
      </c>
      <c r="P718" s="1">
        <v>12.1</v>
      </c>
      <c r="Q718" s="1">
        <v>999.9</v>
      </c>
      <c r="R718" s="1">
        <v>0.3</v>
      </c>
      <c r="S718" s="1">
        <v>84.1</v>
      </c>
      <c r="T718" s="5">
        <v>0.11210000000000001</v>
      </c>
      <c r="U718" s="10">
        <v>-1E-3</v>
      </c>
    </row>
    <row r="719" spans="1:21" customFormat="1">
      <c r="A719">
        <v>1</v>
      </c>
      <c r="B719">
        <v>56</v>
      </c>
      <c r="C719">
        <v>27</v>
      </c>
      <c r="D719">
        <v>5</v>
      </c>
      <c r="E719">
        <v>2020</v>
      </c>
      <c r="F719">
        <v>13501</v>
      </c>
      <c r="G719" t="str">
        <f>VLOOKUP(F719,'[1]Sheet 1'!$B$2:$E$347,2,FALSE)</f>
        <v>Metropolitana de Santiago</v>
      </c>
      <c r="H719" t="str">
        <f>VLOOKUP(F719,'[1]Sheet 1'!$B$2:$E$347,3,FALSE)</f>
        <v>Melipilla</v>
      </c>
      <c r="I719" t="str">
        <f>VLOOKUP(F719,'[1]Sheet 1'!$B$2:$E$347,4,FALSE)</f>
        <v>Melipilla</v>
      </c>
      <c r="J719" t="s">
        <v>136</v>
      </c>
      <c r="K719" s="3" t="s">
        <v>4</v>
      </c>
      <c r="L719" s="12" t="str">
        <f>VLOOKUP(K719,[2]Hoja4!$A$2:$C$443,2,FALSE)</f>
        <v>Intentional self-harm by hanging, strangulation and suffocation</v>
      </c>
      <c r="M719" s="12" t="str">
        <f>VLOOKUP(K719,[2]Hoja4!$A$2:$C$443,3,FALSE)</f>
        <v>At home</v>
      </c>
      <c r="N719" s="1">
        <v>12.9</v>
      </c>
      <c r="O719" s="1">
        <v>14.8</v>
      </c>
      <c r="P719" s="1">
        <v>13.6</v>
      </c>
      <c r="Q719" s="1">
        <v>1015.8</v>
      </c>
      <c r="R719" s="1">
        <v>0</v>
      </c>
      <c r="S719" s="1">
        <v>70</v>
      </c>
      <c r="T719" s="5">
        <v>0.11210000000000001</v>
      </c>
      <c r="U719" s="10">
        <v>-1E-3</v>
      </c>
    </row>
    <row r="720" spans="1:21" customFormat="1">
      <c r="A720">
        <v>1</v>
      </c>
      <c r="B720">
        <v>23</v>
      </c>
      <c r="C720">
        <v>27</v>
      </c>
      <c r="D720">
        <v>5</v>
      </c>
      <c r="E720">
        <v>2020</v>
      </c>
      <c r="F720">
        <v>13110</v>
      </c>
      <c r="G720" t="str">
        <f>VLOOKUP(F720,'[1]Sheet 1'!$B$2:$E$347,2,FALSE)</f>
        <v>Metropolitana de Santiago</v>
      </c>
      <c r="H720" t="str">
        <f>VLOOKUP(F720,'[1]Sheet 1'!$B$2:$E$347,3,FALSE)</f>
        <v>Santiago</v>
      </c>
      <c r="I720" t="str">
        <f>VLOOKUP(F720,'[1]Sheet 1'!$B$2:$E$347,4,FALSE)</f>
        <v>La Florida</v>
      </c>
      <c r="J720" t="s">
        <v>136</v>
      </c>
      <c r="K720" s="3" t="s">
        <v>0</v>
      </c>
      <c r="L720" s="12" t="str">
        <f>VLOOKUP(K720,[2]Hoja4!$A$2:$C$443,2,FALSE)</f>
        <v>Intentional self-harm by hanging, strangulation and suffocation</v>
      </c>
      <c r="M720" s="12" t="str">
        <f>VLOOKUP(K720,[2]Hoja4!$A$2:$C$443,3,FALSE)</f>
        <v>Unspecified place</v>
      </c>
      <c r="N720" s="1">
        <v>8.8000000000000007</v>
      </c>
      <c r="O720" s="1">
        <v>12.3</v>
      </c>
      <c r="P720" s="1">
        <v>10.7</v>
      </c>
      <c r="Q720" s="1">
        <v>955.1</v>
      </c>
      <c r="R720" s="1"/>
      <c r="S720" s="1">
        <v>92</v>
      </c>
      <c r="T720" s="5">
        <v>0.11210000000000001</v>
      </c>
      <c r="U720" s="10">
        <v>-1E-3</v>
      </c>
    </row>
    <row r="721" spans="1:21" customFormat="1">
      <c r="A721">
        <v>1</v>
      </c>
      <c r="B721">
        <v>25</v>
      </c>
      <c r="C721">
        <v>27</v>
      </c>
      <c r="D721">
        <v>5</v>
      </c>
      <c r="E721">
        <v>2020</v>
      </c>
      <c r="F721">
        <v>6301</v>
      </c>
      <c r="G721" t="str">
        <f>VLOOKUP(F721,'[1]Sheet 1'!$B$2:$E$347,2,FALSE)</f>
        <v>Libertador General Bernardo O'Higgins</v>
      </c>
      <c r="H721" t="str">
        <f>VLOOKUP(F721,'[1]Sheet 1'!$B$2:$E$347,3,FALSE)</f>
        <v>Colchagua</v>
      </c>
      <c r="I721" t="str">
        <f>VLOOKUP(F721,'[1]Sheet 1'!$B$2:$E$347,4,FALSE)</f>
        <v>San Fernando</v>
      </c>
      <c r="J721" t="s">
        <v>136</v>
      </c>
      <c r="K721" s="3" t="s">
        <v>0</v>
      </c>
      <c r="L721" s="12" t="str">
        <f>VLOOKUP(K721,[2]Hoja4!$A$2:$C$443,2,FALSE)</f>
        <v>Intentional self-harm by hanging, strangulation and suffocation</v>
      </c>
      <c r="M721" s="12" t="str">
        <f>VLOOKUP(K721,[2]Hoja4!$A$2:$C$443,3,FALSE)</f>
        <v>Unspecified place</v>
      </c>
      <c r="N721" s="1">
        <v>6.3</v>
      </c>
      <c r="O721" s="1" t="s">
        <v>70</v>
      </c>
      <c r="P721" s="1">
        <v>10.199999999999999</v>
      </c>
      <c r="Q721" s="1">
        <v>980.3</v>
      </c>
      <c r="R721" s="1">
        <v>0</v>
      </c>
      <c r="S721" s="1">
        <v>93.2</v>
      </c>
      <c r="T721" s="5">
        <v>0.11210000000000001</v>
      </c>
      <c r="U721" s="10">
        <v>-1E-3</v>
      </c>
    </row>
    <row r="722" spans="1:21" customFormat="1">
      <c r="A722">
        <v>1</v>
      </c>
      <c r="B722">
        <v>70</v>
      </c>
      <c r="C722">
        <v>28</v>
      </c>
      <c r="D722">
        <v>5</v>
      </c>
      <c r="E722">
        <v>2020</v>
      </c>
      <c r="F722">
        <v>8101</v>
      </c>
      <c r="G722" t="str">
        <f>VLOOKUP(F722,'[1]Sheet 1'!$B$2:$E$347,2,FALSE)</f>
        <v>Biobío</v>
      </c>
      <c r="H722" t="str">
        <f>VLOOKUP(F722,'[1]Sheet 1'!$B$2:$E$347,3,FALSE)</f>
        <v>Concepción</v>
      </c>
      <c r="I722" t="str">
        <f>VLOOKUP(F722,'[1]Sheet 1'!$B$2:$E$347,4,FALSE)</f>
        <v>Concepción</v>
      </c>
      <c r="J722" t="s">
        <v>136</v>
      </c>
      <c r="K722" s="3" t="s">
        <v>4</v>
      </c>
      <c r="L722" s="12" t="str">
        <f>VLOOKUP(K722,[2]Hoja4!$A$2:$C$443,2,FALSE)</f>
        <v>Intentional self-harm by hanging, strangulation and suffocation</v>
      </c>
      <c r="M722" s="12" t="str">
        <f>VLOOKUP(K722,[2]Hoja4!$A$2:$C$443,3,FALSE)</f>
        <v>At home</v>
      </c>
      <c r="N722" s="1">
        <v>7.5</v>
      </c>
      <c r="O722" s="1">
        <v>14.2</v>
      </c>
      <c r="P722" s="1">
        <v>10.4</v>
      </c>
      <c r="Q722" s="1">
        <v>1018.7</v>
      </c>
      <c r="R722" s="1">
        <v>0</v>
      </c>
      <c r="S722" s="1">
        <v>75.5</v>
      </c>
      <c r="T722" s="5">
        <v>0.11210000000000001</v>
      </c>
      <c r="U722" s="10">
        <v>-1E-3</v>
      </c>
    </row>
    <row r="723" spans="1:21" customFormat="1">
      <c r="A723">
        <v>2</v>
      </c>
      <c r="B723">
        <v>32</v>
      </c>
      <c r="C723">
        <v>28</v>
      </c>
      <c r="D723">
        <v>5</v>
      </c>
      <c r="E723">
        <v>2020</v>
      </c>
      <c r="F723">
        <v>4102</v>
      </c>
      <c r="G723" t="str">
        <f>VLOOKUP(F723,'[1]Sheet 1'!$B$2:$E$347,2,FALSE)</f>
        <v>Coquimbo</v>
      </c>
      <c r="H723" t="str">
        <f>VLOOKUP(F723,'[1]Sheet 1'!$B$2:$E$347,3,FALSE)</f>
        <v>Elqui</v>
      </c>
      <c r="I723" t="str">
        <f>VLOOKUP(F723,'[1]Sheet 1'!$B$2:$E$347,4,FALSE)</f>
        <v>Coquimbo</v>
      </c>
      <c r="J723" t="s">
        <v>136</v>
      </c>
      <c r="K723" s="3" t="s">
        <v>4</v>
      </c>
      <c r="L723" s="12" t="str">
        <f>VLOOKUP(K723,[2]Hoja4!$A$2:$C$443,2,FALSE)</f>
        <v>Intentional self-harm by hanging, strangulation and suffocation</v>
      </c>
      <c r="M723" s="12" t="str">
        <f>VLOOKUP(K723,[2]Hoja4!$A$2:$C$443,3,FALSE)</f>
        <v>At home</v>
      </c>
      <c r="N723" s="1">
        <v>11.2</v>
      </c>
      <c r="O723" s="1">
        <v>18.2</v>
      </c>
      <c r="P723" s="1">
        <v>14.6</v>
      </c>
      <c r="Q723" s="1">
        <v>999.6</v>
      </c>
      <c r="R723" s="1">
        <v>0</v>
      </c>
      <c r="S723" s="1">
        <v>75.8</v>
      </c>
      <c r="T723" s="5">
        <v>0.11210000000000001</v>
      </c>
      <c r="U723" s="10">
        <v>-1E-3</v>
      </c>
    </row>
    <row r="724" spans="1:21" customFormat="1">
      <c r="A724">
        <v>1</v>
      </c>
      <c r="B724">
        <v>60</v>
      </c>
      <c r="C724">
        <v>29</v>
      </c>
      <c r="D724">
        <v>5</v>
      </c>
      <c r="E724">
        <v>2020</v>
      </c>
      <c r="F724">
        <v>13125</v>
      </c>
      <c r="G724" t="str">
        <f>VLOOKUP(F724,'[1]Sheet 1'!$B$2:$E$347,2,FALSE)</f>
        <v>Metropolitana de Santiago</v>
      </c>
      <c r="H724" t="str">
        <f>VLOOKUP(F724,'[1]Sheet 1'!$B$2:$E$347,3,FALSE)</f>
        <v>Santiago</v>
      </c>
      <c r="I724" t="str">
        <f>VLOOKUP(F724,'[1]Sheet 1'!$B$2:$E$347,4,FALSE)</f>
        <v>Quilicura</v>
      </c>
      <c r="J724" t="s">
        <v>136</v>
      </c>
      <c r="K724" s="3" t="s">
        <v>0</v>
      </c>
      <c r="L724" s="12" t="str">
        <f>VLOOKUP(K724,[2]Hoja4!$A$2:$C$443,2,FALSE)</f>
        <v>Intentional self-harm by hanging, strangulation and suffocation</v>
      </c>
      <c r="M724" s="12" t="str">
        <f>VLOOKUP(K724,[2]Hoja4!$A$2:$C$443,3,FALSE)</f>
        <v>Unspecified place</v>
      </c>
      <c r="N724" s="1">
        <v>8.6</v>
      </c>
      <c r="O724" s="1">
        <v>14.9</v>
      </c>
      <c r="P724" s="1">
        <v>11.2</v>
      </c>
      <c r="Q724" s="1">
        <v>958.8</v>
      </c>
      <c r="R724" s="1"/>
      <c r="S724" s="1">
        <v>79.8</v>
      </c>
      <c r="T724" s="5">
        <v>0.11210000000000001</v>
      </c>
      <c r="U724" s="10">
        <v>-1E-3</v>
      </c>
    </row>
    <row r="725" spans="1:21" customFormat="1">
      <c r="A725">
        <v>1</v>
      </c>
      <c r="B725">
        <v>57</v>
      </c>
      <c r="C725">
        <v>29</v>
      </c>
      <c r="D725">
        <v>5</v>
      </c>
      <c r="E725">
        <v>2020</v>
      </c>
      <c r="F725">
        <v>4101</v>
      </c>
      <c r="G725" t="str">
        <f>VLOOKUP(F725,'[1]Sheet 1'!$B$2:$E$347,2,FALSE)</f>
        <v>Coquimbo</v>
      </c>
      <c r="H725" t="str">
        <f>VLOOKUP(F725,'[1]Sheet 1'!$B$2:$E$347,3,FALSE)</f>
        <v>Elqui</v>
      </c>
      <c r="I725" t="str">
        <f>VLOOKUP(F725,'[1]Sheet 1'!$B$2:$E$347,4,FALSE)</f>
        <v>La Serena</v>
      </c>
      <c r="J725" t="s">
        <v>136</v>
      </c>
      <c r="K725" s="3" t="s">
        <v>2</v>
      </c>
      <c r="L725" s="12" t="str">
        <f>VLOOKUP(K725,[2]Hoja4!$A$2:$C$443,2,FALSE)</f>
        <v>Intentional self-harm by hanging, strangulation and suffocation</v>
      </c>
      <c r="M725" s="12" t="str">
        <f>VLOOKUP(K725,[2]Hoja4!$A$2:$C$443,3,FALSE)</f>
        <v>Street and highway</v>
      </c>
      <c r="N725" s="1">
        <v>11.4</v>
      </c>
      <c r="O725" s="1">
        <v>19.600000000000001</v>
      </c>
      <c r="P725" s="1">
        <v>14.8</v>
      </c>
      <c r="Q725" s="1">
        <v>1002.2</v>
      </c>
      <c r="R725" s="1">
        <v>0</v>
      </c>
      <c r="S725" s="1">
        <v>74.2</v>
      </c>
      <c r="T725" s="5">
        <v>0.11210000000000001</v>
      </c>
      <c r="U725" s="10">
        <v>-1E-3</v>
      </c>
    </row>
    <row r="726" spans="1:21" customFormat="1">
      <c r="A726">
        <v>1</v>
      </c>
      <c r="B726">
        <v>52</v>
      </c>
      <c r="C726">
        <v>29</v>
      </c>
      <c r="D726">
        <v>5</v>
      </c>
      <c r="E726">
        <v>2020</v>
      </c>
      <c r="F726">
        <v>13105</v>
      </c>
      <c r="G726" t="str">
        <f>VLOOKUP(F726,'[1]Sheet 1'!$B$2:$E$347,2,FALSE)</f>
        <v>Metropolitana de Santiago</v>
      </c>
      <c r="H726" t="str">
        <f>VLOOKUP(F726,'[1]Sheet 1'!$B$2:$E$347,3,FALSE)</f>
        <v>Santiago</v>
      </c>
      <c r="I726" t="str">
        <f>VLOOKUP(F726,'[1]Sheet 1'!$B$2:$E$347,4,FALSE)</f>
        <v>El Bosque</v>
      </c>
      <c r="J726" t="s">
        <v>136</v>
      </c>
      <c r="K726" s="3" t="s">
        <v>0</v>
      </c>
      <c r="L726" s="12" t="str">
        <f>VLOOKUP(K726,[2]Hoja4!$A$2:$C$443,2,FALSE)</f>
        <v>Intentional self-harm by hanging, strangulation and suffocation</v>
      </c>
      <c r="M726" s="12" t="str">
        <f>VLOOKUP(K726,[2]Hoja4!$A$2:$C$443,3,FALSE)</f>
        <v>Unspecified place</v>
      </c>
      <c r="N726" s="1">
        <v>8.6</v>
      </c>
      <c r="O726" s="1">
        <v>14.9</v>
      </c>
      <c r="P726" s="1">
        <v>11.2</v>
      </c>
      <c r="Q726" s="1">
        <v>958.8</v>
      </c>
      <c r="R726" s="1"/>
      <c r="S726" s="1">
        <v>79.8</v>
      </c>
      <c r="T726" s="5">
        <v>0.11210000000000001</v>
      </c>
      <c r="U726" s="10">
        <v>-1E-3</v>
      </c>
    </row>
    <row r="727" spans="1:21" customFormat="1">
      <c r="A727">
        <v>1</v>
      </c>
      <c r="B727">
        <v>31</v>
      </c>
      <c r="C727">
        <v>29</v>
      </c>
      <c r="D727">
        <v>5</v>
      </c>
      <c r="E727">
        <v>2020</v>
      </c>
      <c r="F727">
        <v>14201</v>
      </c>
      <c r="G727" t="str">
        <f>VLOOKUP(F727,'[1]Sheet 1'!$B$2:$E$347,2,FALSE)</f>
        <v>Los Ríos</v>
      </c>
      <c r="H727" t="str">
        <f>VLOOKUP(F727,'[1]Sheet 1'!$B$2:$E$347,3,FALSE)</f>
        <v>Ranco</v>
      </c>
      <c r="I727" t="str">
        <f>VLOOKUP(F727,'[1]Sheet 1'!$B$2:$E$347,4,FALSE)</f>
        <v>La Unión</v>
      </c>
      <c r="J727" t="s">
        <v>136</v>
      </c>
      <c r="K727" s="3" t="s">
        <v>4</v>
      </c>
      <c r="L727" s="12" t="str">
        <f>VLOOKUP(K727,[2]Hoja4!$A$2:$C$443,2,FALSE)</f>
        <v>Intentional self-harm by hanging, strangulation and suffocation</v>
      </c>
      <c r="M727" s="12" t="str">
        <f>VLOOKUP(K727,[2]Hoja4!$A$2:$C$443,3,FALSE)</f>
        <v>At home</v>
      </c>
      <c r="N727" s="1">
        <v>1</v>
      </c>
      <c r="O727" s="1">
        <v>9.8000000000000007</v>
      </c>
      <c r="P727" s="1">
        <v>5.4</v>
      </c>
      <c r="Q727" s="1">
        <v>1016.3</v>
      </c>
      <c r="R727" s="1">
        <v>0</v>
      </c>
      <c r="S727" s="1">
        <v>92.1</v>
      </c>
      <c r="T727" s="5">
        <v>0.11210000000000001</v>
      </c>
      <c r="U727" s="10">
        <v>-1E-3</v>
      </c>
    </row>
    <row r="728" spans="1:21" customFormat="1">
      <c r="A728">
        <v>1</v>
      </c>
      <c r="B728">
        <v>23</v>
      </c>
      <c r="C728">
        <v>29</v>
      </c>
      <c r="D728">
        <v>5</v>
      </c>
      <c r="E728">
        <v>2020</v>
      </c>
      <c r="F728">
        <v>9105</v>
      </c>
      <c r="G728" t="str">
        <f>VLOOKUP(F728,'[1]Sheet 1'!$B$2:$E$347,2,FALSE)</f>
        <v>La Araucanía</v>
      </c>
      <c r="H728" t="str">
        <f>VLOOKUP(F728,'[1]Sheet 1'!$B$2:$E$347,3,FALSE)</f>
        <v>Cautín</v>
      </c>
      <c r="I728" t="str">
        <f>VLOOKUP(F728,'[1]Sheet 1'!$B$2:$E$347,4,FALSE)</f>
        <v>Freire</v>
      </c>
      <c r="J728" t="s">
        <v>136</v>
      </c>
      <c r="K728" s="3" t="s">
        <v>0</v>
      </c>
      <c r="L728" s="12" t="str">
        <f>VLOOKUP(K728,[2]Hoja4!$A$2:$C$443,2,FALSE)</f>
        <v>Intentional self-harm by hanging, strangulation and suffocation</v>
      </c>
      <c r="M728" s="12" t="str">
        <f>VLOOKUP(K728,[2]Hoja4!$A$2:$C$443,3,FALSE)</f>
        <v>Unspecified place</v>
      </c>
      <c r="N728" s="1">
        <v>-0.7</v>
      </c>
      <c r="O728" s="1">
        <v>10.4</v>
      </c>
      <c r="P728" s="1">
        <v>3.2</v>
      </c>
      <c r="Q728" s="1">
        <v>1012.3</v>
      </c>
      <c r="R728" s="1">
        <v>0</v>
      </c>
      <c r="S728" s="1">
        <v>91</v>
      </c>
      <c r="T728" s="5">
        <v>0.11210000000000001</v>
      </c>
      <c r="U728" s="10">
        <v>-1E-3</v>
      </c>
    </row>
    <row r="729" spans="1:21" customFormat="1">
      <c r="A729">
        <v>2</v>
      </c>
      <c r="B729">
        <v>25</v>
      </c>
      <c r="C729">
        <v>29</v>
      </c>
      <c r="D729">
        <v>5</v>
      </c>
      <c r="E729">
        <v>2020</v>
      </c>
      <c r="F729">
        <v>13101</v>
      </c>
      <c r="G729" t="str">
        <f>VLOOKUP(F729,'[1]Sheet 1'!$B$2:$E$347,2,FALSE)</f>
        <v>Metropolitana de Santiago</v>
      </c>
      <c r="H729" t="str">
        <f>VLOOKUP(F729,'[1]Sheet 1'!$B$2:$E$347,3,FALSE)</f>
        <v>Santiago</v>
      </c>
      <c r="I729" t="str">
        <f>VLOOKUP(F729,'[1]Sheet 1'!$B$2:$E$347,4,FALSE)</f>
        <v>Santiago</v>
      </c>
      <c r="J729" t="s">
        <v>136</v>
      </c>
      <c r="K729" s="3" t="s">
        <v>0</v>
      </c>
      <c r="L729" s="12" t="str">
        <f>VLOOKUP(K729,[2]Hoja4!$A$2:$C$443,2,FALSE)</f>
        <v>Intentional self-harm by hanging, strangulation and suffocation</v>
      </c>
      <c r="M729" s="12" t="str">
        <f>VLOOKUP(K729,[2]Hoja4!$A$2:$C$443,3,FALSE)</f>
        <v>Unspecified place</v>
      </c>
      <c r="N729" s="1">
        <v>8.6</v>
      </c>
      <c r="O729" s="1">
        <v>14.9</v>
      </c>
      <c r="P729" s="1">
        <v>11.2</v>
      </c>
      <c r="Q729" s="1">
        <v>958.8</v>
      </c>
      <c r="R729" s="1"/>
      <c r="S729" s="1">
        <v>79.8</v>
      </c>
      <c r="T729" s="5">
        <v>0.11210000000000001</v>
      </c>
      <c r="U729" s="10">
        <v>-1E-3</v>
      </c>
    </row>
    <row r="730" spans="1:21" customFormat="1">
      <c r="A730">
        <v>1</v>
      </c>
      <c r="B730">
        <v>59</v>
      </c>
      <c r="C730">
        <v>30</v>
      </c>
      <c r="D730">
        <v>5</v>
      </c>
      <c r="E730">
        <v>2020</v>
      </c>
      <c r="F730">
        <v>13119</v>
      </c>
      <c r="G730" t="str">
        <f>VLOOKUP(F730,'[1]Sheet 1'!$B$2:$E$347,2,FALSE)</f>
        <v>Metropolitana de Santiago</v>
      </c>
      <c r="H730" t="str">
        <f>VLOOKUP(F730,'[1]Sheet 1'!$B$2:$E$347,3,FALSE)</f>
        <v>Santiago</v>
      </c>
      <c r="I730" t="str">
        <f>VLOOKUP(F730,'[1]Sheet 1'!$B$2:$E$347,4,FALSE)</f>
        <v>Maipú</v>
      </c>
      <c r="J730" t="s">
        <v>136</v>
      </c>
      <c r="K730" s="3" t="s">
        <v>0</v>
      </c>
      <c r="L730" s="12" t="str">
        <f>VLOOKUP(K730,[2]Hoja4!$A$2:$C$443,2,FALSE)</f>
        <v>Intentional self-harm by hanging, strangulation and suffocation</v>
      </c>
      <c r="M730" s="12" t="str">
        <f>VLOOKUP(K730,[2]Hoja4!$A$2:$C$443,3,FALSE)</f>
        <v>Unspecified place</v>
      </c>
      <c r="N730" s="1">
        <v>5.5</v>
      </c>
      <c r="O730" s="1">
        <v>19</v>
      </c>
      <c r="P730" s="1">
        <v>11.8</v>
      </c>
      <c r="Q730" s="1">
        <v>957.7</v>
      </c>
      <c r="R730" s="1"/>
      <c r="S730" s="1">
        <v>80</v>
      </c>
      <c r="T730" s="5">
        <v>0.11210000000000001</v>
      </c>
      <c r="U730" s="10">
        <v>-1E-3</v>
      </c>
    </row>
    <row r="731" spans="1:21" customFormat="1">
      <c r="A731">
        <v>1</v>
      </c>
      <c r="B731">
        <v>61</v>
      </c>
      <c r="C731">
        <v>30</v>
      </c>
      <c r="D731">
        <v>5</v>
      </c>
      <c r="E731">
        <v>2020</v>
      </c>
      <c r="F731">
        <v>5803</v>
      </c>
      <c r="G731" t="str">
        <f>VLOOKUP(F731,'[1]Sheet 1'!$B$2:$E$347,2,FALSE)</f>
        <v>Valparaíso</v>
      </c>
      <c r="H731" t="str">
        <f>VLOOKUP(F731,'[1]Sheet 1'!$B$2:$E$347,3,FALSE)</f>
        <v>Marga Marga</v>
      </c>
      <c r="I731" t="str">
        <f>VLOOKUP(F731,'[1]Sheet 1'!$B$2:$E$347,4,FALSE)</f>
        <v>Olmué</v>
      </c>
      <c r="J731" t="s">
        <v>136</v>
      </c>
      <c r="K731" s="3" t="s">
        <v>0</v>
      </c>
      <c r="L731" s="12" t="str">
        <f>VLOOKUP(K731,[2]Hoja4!$A$2:$C$443,2,FALSE)</f>
        <v>Intentional self-harm by hanging, strangulation and suffocation</v>
      </c>
      <c r="M731" s="12" t="str">
        <f>VLOOKUP(K731,[2]Hoja4!$A$2:$C$443,3,FALSE)</f>
        <v>Unspecified place</v>
      </c>
      <c r="N731" s="1">
        <v>6.8</v>
      </c>
      <c r="O731" s="1">
        <v>17.100000000000001</v>
      </c>
      <c r="P731" s="1">
        <v>11.4</v>
      </c>
      <c r="Q731" s="1">
        <v>1015.1</v>
      </c>
      <c r="R731" s="1">
        <v>0</v>
      </c>
      <c r="S731" s="1">
        <v>87.5</v>
      </c>
      <c r="T731" s="5">
        <v>0.11210000000000001</v>
      </c>
      <c r="U731" s="10">
        <v>-1E-3</v>
      </c>
    </row>
    <row r="732" spans="1:21" customFormat="1">
      <c r="A732">
        <v>2</v>
      </c>
      <c r="B732">
        <v>18</v>
      </c>
      <c r="C732">
        <v>30</v>
      </c>
      <c r="D732">
        <v>5</v>
      </c>
      <c r="E732">
        <v>2020</v>
      </c>
      <c r="F732">
        <v>13401</v>
      </c>
      <c r="G732" t="str">
        <f>VLOOKUP(F732,'[1]Sheet 1'!$B$2:$E$347,2,FALSE)</f>
        <v>Metropolitana de Santiago</v>
      </c>
      <c r="H732" t="str">
        <f>VLOOKUP(F732,'[1]Sheet 1'!$B$2:$E$347,3,FALSE)</f>
        <v>Maipo</v>
      </c>
      <c r="I732" t="str">
        <f>VLOOKUP(F732,'[1]Sheet 1'!$B$2:$E$347,4,FALSE)</f>
        <v>San Bernardo</v>
      </c>
      <c r="J732" t="s">
        <v>136</v>
      </c>
      <c r="K732" s="3" t="s">
        <v>0</v>
      </c>
      <c r="L732" s="12" t="str">
        <f>VLOOKUP(K732,[2]Hoja4!$A$2:$C$443,2,FALSE)</f>
        <v>Intentional self-harm by hanging, strangulation and suffocation</v>
      </c>
      <c r="M732" s="12" t="str">
        <f>VLOOKUP(K732,[2]Hoja4!$A$2:$C$443,3,FALSE)</f>
        <v>Unspecified place</v>
      </c>
      <c r="N732" s="1">
        <v>4.5</v>
      </c>
      <c r="O732" s="1">
        <v>19.600000000000001</v>
      </c>
      <c r="P732" s="1">
        <v>11.2</v>
      </c>
      <c r="Q732" s="1">
        <v>966.9</v>
      </c>
      <c r="R732" s="1">
        <v>0.1</v>
      </c>
      <c r="S732" s="1">
        <v>80.599999999999994</v>
      </c>
      <c r="T732" s="5">
        <v>0.11210000000000001</v>
      </c>
      <c r="U732" s="10">
        <v>-1E-3</v>
      </c>
    </row>
    <row r="733" spans="1:21" customFormat="1">
      <c r="A733">
        <v>2</v>
      </c>
      <c r="B733">
        <v>24</v>
      </c>
      <c r="C733">
        <v>30</v>
      </c>
      <c r="D733">
        <v>5</v>
      </c>
      <c r="E733">
        <v>2020</v>
      </c>
      <c r="F733">
        <v>8205</v>
      </c>
      <c r="G733" t="str">
        <f>VLOOKUP(F733,'[1]Sheet 1'!$B$2:$E$347,2,FALSE)</f>
        <v>Biobío</v>
      </c>
      <c r="H733" t="str">
        <f>VLOOKUP(F733,'[1]Sheet 1'!$B$2:$E$347,3,FALSE)</f>
        <v>Arauco</v>
      </c>
      <c r="I733" t="str">
        <f>VLOOKUP(F733,'[1]Sheet 1'!$B$2:$E$347,4,FALSE)</f>
        <v>Curanilahue</v>
      </c>
      <c r="J733" t="s">
        <v>136</v>
      </c>
      <c r="K733" s="3" t="s">
        <v>4</v>
      </c>
      <c r="L733" s="12" t="str">
        <f>VLOOKUP(K733,[2]Hoja4!$A$2:$C$443,2,FALSE)</f>
        <v>Intentional self-harm by hanging, strangulation and suffocation</v>
      </c>
      <c r="M733" s="12" t="str">
        <f>VLOOKUP(K733,[2]Hoja4!$A$2:$C$443,3,FALSE)</f>
        <v>At home</v>
      </c>
      <c r="N733" s="1">
        <v>1.8</v>
      </c>
      <c r="O733" s="1">
        <v>15.9</v>
      </c>
      <c r="P733" s="1">
        <v>8.1</v>
      </c>
      <c r="Q733" s="1">
        <v>1020.7</v>
      </c>
      <c r="R733" s="1">
        <v>0</v>
      </c>
      <c r="S733" s="1">
        <v>60.5</v>
      </c>
      <c r="T733" s="5">
        <v>0.11210000000000001</v>
      </c>
      <c r="U733" s="10">
        <v>-1E-3</v>
      </c>
    </row>
    <row r="734" spans="1:21" customFormat="1">
      <c r="A734">
        <v>1</v>
      </c>
      <c r="B734">
        <v>48</v>
      </c>
      <c r="C734">
        <v>31</v>
      </c>
      <c r="D734">
        <v>5</v>
      </c>
      <c r="E734">
        <v>2020</v>
      </c>
      <c r="F734">
        <v>16108</v>
      </c>
      <c r="G734" t="str">
        <f>VLOOKUP(F734,'[1]Sheet 1'!$B$2:$E$347,2,FALSE)</f>
        <v>Ñuble</v>
      </c>
      <c r="H734" t="str">
        <f>VLOOKUP(F734,'[1]Sheet 1'!$B$2:$E$347,3,FALSE)</f>
        <v>Diguillín</v>
      </c>
      <c r="I734" t="str">
        <f>VLOOKUP(F734,'[1]Sheet 1'!$B$2:$E$347,4,FALSE)</f>
        <v>San Ignacio</v>
      </c>
      <c r="J734" t="s">
        <v>136</v>
      </c>
      <c r="K734" s="3" t="s">
        <v>0</v>
      </c>
      <c r="L734" s="12" t="str">
        <f>VLOOKUP(K734,[2]Hoja4!$A$2:$C$443,2,FALSE)</f>
        <v>Intentional self-harm by hanging, strangulation and suffocation</v>
      </c>
      <c r="M734" s="12" t="str">
        <f>VLOOKUP(K734,[2]Hoja4!$A$2:$C$443,3,FALSE)</f>
        <v>Unspecified place</v>
      </c>
      <c r="N734" s="1">
        <v>-2.4</v>
      </c>
      <c r="O734" s="1">
        <v>13</v>
      </c>
      <c r="P734" s="1">
        <v>4.9000000000000004</v>
      </c>
      <c r="Q734" s="1">
        <v>1002.8</v>
      </c>
      <c r="R734" s="1">
        <v>0</v>
      </c>
      <c r="S734" s="1">
        <v>88</v>
      </c>
      <c r="T734" s="5">
        <v>0.11210000000000001</v>
      </c>
      <c r="U734" s="10">
        <v>-1E-3</v>
      </c>
    </row>
    <row r="735" spans="1:21" customFormat="1">
      <c r="A735">
        <v>1</v>
      </c>
      <c r="B735">
        <v>41</v>
      </c>
      <c r="C735">
        <v>31</v>
      </c>
      <c r="D735">
        <v>5</v>
      </c>
      <c r="E735">
        <v>2020</v>
      </c>
      <c r="F735">
        <v>9120</v>
      </c>
      <c r="G735" t="str">
        <f>VLOOKUP(F735,'[1]Sheet 1'!$B$2:$E$347,2,FALSE)</f>
        <v>La Araucanía</v>
      </c>
      <c r="H735" t="str">
        <f>VLOOKUP(F735,'[1]Sheet 1'!$B$2:$E$347,3,FALSE)</f>
        <v>Cautín</v>
      </c>
      <c r="I735" t="str">
        <f>VLOOKUP(F735,'[1]Sheet 1'!$B$2:$E$347,4,FALSE)</f>
        <v>Villarrica</v>
      </c>
      <c r="J735" t="s">
        <v>136</v>
      </c>
      <c r="K735" s="3" t="s">
        <v>0</v>
      </c>
      <c r="L735" s="12" t="str">
        <f>VLOOKUP(K735,[2]Hoja4!$A$2:$C$443,2,FALSE)</f>
        <v>Intentional self-harm by hanging, strangulation and suffocation</v>
      </c>
      <c r="M735" s="12" t="str">
        <f>VLOOKUP(K735,[2]Hoja4!$A$2:$C$443,3,FALSE)</f>
        <v>Unspecified place</v>
      </c>
      <c r="N735" s="1">
        <v>-0.8</v>
      </c>
      <c r="O735" s="1">
        <v>13.1</v>
      </c>
      <c r="P735" s="1">
        <v>5.3</v>
      </c>
      <c r="Q735" s="1">
        <v>1011.2</v>
      </c>
      <c r="R735" s="1">
        <v>0</v>
      </c>
      <c r="S735" s="1">
        <v>85.5</v>
      </c>
      <c r="T735" s="5">
        <v>0.11210000000000001</v>
      </c>
      <c r="U735" s="10">
        <v>-1E-3</v>
      </c>
    </row>
    <row r="736" spans="1:21" customFormat="1">
      <c r="A736">
        <v>1</v>
      </c>
      <c r="B736">
        <v>37</v>
      </c>
      <c r="C736">
        <v>31</v>
      </c>
      <c r="D736">
        <v>5</v>
      </c>
      <c r="E736">
        <v>2020</v>
      </c>
      <c r="F736">
        <v>5401</v>
      </c>
      <c r="G736" t="str">
        <f>VLOOKUP(F736,'[1]Sheet 1'!$B$2:$E$347,2,FALSE)</f>
        <v>Valparaíso</v>
      </c>
      <c r="H736" t="str">
        <f>VLOOKUP(F736,'[1]Sheet 1'!$B$2:$E$347,3,FALSE)</f>
        <v>Petorca</v>
      </c>
      <c r="I736" t="str">
        <f>VLOOKUP(F736,'[1]Sheet 1'!$B$2:$E$347,4,FALSE)</f>
        <v>La Ligua</v>
      </c>
      <c r="J736" t="s">
        <v>136</v>
      </c>
      <c r="K736" s="3" t="s">
        <v>4</v>
      </c>
      <c r="L736" s="12" t="str">
        <f>VLOOKUP(K736,[2]Hoja4!$A$2:$C$443,2,FALSE)</f>
        <v>Intentional self-harm by hanging, strangulation and suffocation</v>
      </c>
      <c r="M736" s="12" t="str">
        <f>VLOOKUP(K736,[2]Hoja4!$A$2:$C$443,3,FALSE)</f>
        <v>At home</v>
      </c>
      <c r="N736" s="1"/>
      <c r="O736" s="1"/>
      <c r="P736" s="1"/>
      <c r="Q736" s="1"/>
      <c r="R736" s="1"/>
      <c r="S736" s="1"/>
      <c r="T736" s="5">
        <v>0.11210000000000001</v>
      </c>
      <c r="U736" s="10">
        <v>-1E-3</v>
      </c>
    </row>
    <row r="737" spans="1:21" customFormat="1">
      <c r="A737">
        <v>1</v>
      </c>
      <c r="B737">
        <v>62</v>
      </c>
      <c r="C737">
        <v>1</v>
      </c>
      <c r="D737">
        <v>6</v>
      </c>
      <c r="E737">
        <v>2020</v>
      </c>
      <c r="F737">
        <v>12101</v>
      </c>
      <c r="G737" t="str">
        <f>VLOOKUP(F737,'[1]Sheet 1'!$B$2:$E$347,2,FALSE)</f>
        <v>Magallanes y de la Antártica Chilena</v>
      </c>
      <c r="H737" t="str">
        <f>VLOOKUP(F737,'[1]Sheet 1'!$B$2:$E$347,3,FALSE)</f>
        <v>Magallanes</v>
      </c>
      <c r="I737" t="str">
        <f>VLOOKUP(F737,'[1]Sheet 1'!$B$2:$E$347,4,FALSE)</f>
        <v>Punta Arenas</v>
      </c>
      <c r="J737" t="s">
        <v>136</v>
      </c>
      <c r="K737" s="3" t="s">
        <v>0</v>
      </c>
      <c r="L737" s="12" t="str">
        <f>VLOOKUP(K737,[2]Hoja4!$A$2:$C$443,2,FALSE)</f>
        <v>Intentional self-harm by hanging, strangulation and suffocation</v>
      </c>
      <c r="M737" s="12" t="str">
        <f>VLOOKUP(K737,[2]Hoja4!$A$2:$C$443,3,FALSE)</f>
        <v>Unspecified place</v>
      </c>
      <c r="N737" s="1">
        <v>3.7</v>
      </c>
      <c r="O737" s="1">
        <v>10.1</v>
      </c>
      <c r="P737" s="1">
        <v>5.4</v>
      </c>
      <c r="Q737" s="1">
        <v>990.5</v>
      </c>
      <c r="R737" s="1">
        <v>0.4</v>
      </c>
      <c r="S737" s="1">
        <v>77.8</v>
      </c>
      <c r="T737" s="5">
        <v>0.1222</v>
      </c>
      <c r="U737" s="10">
        <v>-1E-3</v>
      </c>
    </row>
    <row r="738" spans="1:21" customFormat="1">
      <c r="A738">
        <v>2</v>
      </c>
      <c r="B738">
        <v>57</v>
      </c>
      <c r="C738">
        <v>2</v>
      </c>
      <c r="D738">
        <v>6</v>
      </c>
      <c r="E738">
        <v>2020</v>
      </c>
      <c r="F738">
        <v>13103</v>
      </c>
      <c r="G738" t="str">
        <f>VLOOKUP(F738,'[1]Sheet 1'!$B$2:$E$347,2,FALSE)</f>
        <v>Metropolitana de Santiago</v>
      </c>
      <c r="H738" t="str">
        <f>VLOOKUP(F738,'[1]Sheet 1'!$B$2:$E$347,3,FALSE)</f>
        <v>Santiago</v>
      </c>
      <c r="I738" t="str">
        <f>VLOOKUP(F738,'[1]Sheet 1'!$B$2:$E$347,4,FALSE)</f>
        <v>Cerro Navia</v>
      </c>
      <c r="J738" t="s">
        <v>136</v>
      </c>
      <c r="K738" s="3" t="s">
        <v>0</v>
      </c>
      <c r="L738" s="12" t="str">
        <f>VLOOKUP(K738,[2]Hoja4!$A$2:$C$443,2,FALSE)</f>
        <v>Intentional self-harm by hanging, strangulation and suffocation</v>
      </c>
      <c r="M738" s="12" t="str">
        <f>VLOOKUP(K738,[2]Hoja4!$A$2:$C$443,3,FALSE)</f>
        <v>Unspecified place</v>
      </c>
      <c r="N738" s="1">
        <v>7.1</v>
      </c>
      <c r="O738" s="1">
        <v>13.6</v>
      </c>
      <c r="P738" s="1">
        <v>10.4</v>
      </c>
      <c r="Q738" s="1">
        <v>957.4</v>
      </c>
      <c r="R738" s="1"/>
      <c r="S738" s="1">
        <v>79.8</v>
      </c>
      <c r="T738" s="5">
        <v>0.1222</v>
      </c>
      <c r="U738" s="10">
        <v>-1E-3</v>
      </c>
    </row>
    <row r="739" spans="1:21" customFormat="1">
      <c r="A739">
        <v>1</v>
      </c>
      <c r="B739">
        <v>36</v>
      </c>
      <c r="C739">
        <v>2</v>
      </c>
      <c r="D739">
        <v>6</v>
      </c>
      <c r="E739">
        <v>2020</v>
      </c>
      <c r="F739">
        <v>1107</v>
      </c>
      <c r="G739" t="str">
        <f>VLOOKUP(F739,'[1]Sheet 1'!$B$2:$E$347,2,FALSE)</f>
        <v>Tarapacá</v>
      </c>
      <c r="H739" t="str">
        <f>VLOOKUP(F739,'[1]Sheet 1'!$B$2:$E$347,3,FALSE)</f>
        <v>Iquique</v>
      </c>
      <c r="I739" t="str">
        <f>VLOOKUP(F739,'[1]Sheet 1'!$B$2:$E$347,4,FALSE)</f>
        <v>Alto Hospicio</v>
      </c>
      <c r="J739" t="s">
        <v>136</v>
      </c>
      <c r="K739" s="3" t="s">
        <v>4</v>
      </c>
      <c r="L739" s="12" t="str">
        <f>VLOOKUP(K739,[2]Hoja4!$A$2:$C$443,2,FALSE)</f>
        <v>Intentional self-harm by hanging, strangulation and suffocation</v>
      </c>
      <c r="M739" s="12" t="str">
        <f>VLOOKUP(K739,[2]Hoja4!$A$2:$C$443,3,FALSE)</f>
        <v>At home</v>
      </c>
      <c r="N739" s="1">
        <v>16.8</v>
      </c>
      <c r="O739" s="1">
        <v>18.5</v>
      </c>
      <c r="P739" s="1">
        <v>17.399999999999999</v>
      </c>
      <c r="Q739" s="1">
        <v>1014.4</v>
      </c>
      <c r="R739" s="1">
        <v>0</v>
      </c>
      <c r="S739" s="1">
        <v>82.7</v>
      </c>
      <c r="T739" s="5">
        <v>0.1222</v>
      </c>
      <c r="U739" s="10">
        <v>-1E-3</v>
      </c>
    </row>
    <row r="740" spans="1:21" customFormat="1">
      <c r="A740">
        <v>1</v>
      </c>
      <c r="B740">
        <v>19</v>
      </c>
      <c r="C740">
        <v>2</v>
      </c>
      <c r="D740">
        <v>6</v>
      </c>
      <c r="E740">
        <v>2020</v>
      </c>
      <c r="F740">
        <v>11101</v>
      </c>
      <c r="G740" t="str">
        <f>VLOOKUP(F740,'[1]Sheet 1'!$B$2:$E$347,2,FALSE)</f>
        <v>Aysén del General Carlos Ibáñez del Campo</v>
      </c>
      <c r="H740" t="str">
        <f>VLOOKUP(F740,'[1]Sheet 1'!$B$2:$E$347,3,FALSE)</f>
        <v>Coihaique</v>
      </c>
      <c r="I740" t="str">
        <f>VLOOKUP(F740,'[1]Sheet 1'!$B$2:$E$347,4,FALSE)</f>
        <v>Coihaique</v>
      </c>
      <c r="J740" t="s">
        <v>138</v>
      </c>
      <c r="K740" s="3" t="s">
        <v>40</v>
      </c>
      <c r="L740" s="12" t="str">
        <f>VLOOKUP(K740,[2]Hoja4!$A$2:$C$443,2,FALSE)</f>
        <v>Intentional self-harm by unspecified means</v>
      </c>
      <c r="M740" s="12" t="str">
        <f>VLOOKUP(K740,[2]Hoja4!$A$2:$C$443,3,FALSE)</f>
        <v>Street and highway</v>
      </c>
      <c r="N740" s="1">
        <v>0.9</v>
      </c>
      <c r="O740" s="1">
        <v>8.4</v>
      </c>
      <c r="P740" s="1">
        <v>4.5</v>
      </c>
      <c r="Q740" s="1">
        <v>982.3</v>
      </c>
      <c r="R740" s="1">
        <v>0</v>
      </c>
      <c r="S740" s="1">
        <v>84</v>
      </c>
      <c r="T740" s="5">
        <v>0.1222</v>
      </c>
      <c r="U740" s="10">
        <v>-1E-3</v>
      </c>
    </row>
    <row r="741" spans="1:21" customFormat="1">
      <c r="A741">
        <v>1</v>
      </c>
      <c r="B741">
        <v>54</v>
      </c>
      <c r="C741">
        <v>3</v>
      </c>
      <c r="D741">
        <v>6</v>
      </c>
      <c r="E741">
        <v>2020</v>
      </c>
      <c r="F741">
        <v>7101</v>
      </c>
      <c r="G741" t="str">
        <f>VLOOKUP(F741,'[1]Sheet 1'!$B$2:$E$347,2,FALSE)</f>
        <v>Maule</v>
      </c>
      <c r="H741" t="str">
        <f>VLOOKUP(F741,'[1]Sheet 1'!$B$2:$E$347,3,FALSE)</f>
        <v>Talca</v>
      </c>
      <c r="I741" t="str">
        <f>VLOOKUP(F741,'[1]Sheet 1'!$B$2:$E$347,4,FALSE)</f>
        <v>Talca</v>
      </c>
      <c r="J741" t="s">
        <v>136</v>
      </c>
      <c r="K741" s="3" t="s">
        <v>2</v>
      </c>
      <c r="L741" s="12" t="str">
        <f>VLOOKUP(K741,[2]Hoja4!$A$2:$C$443,2,FALSE)</f>
        <v>Intentional self-harm by hanging, strangulation and suffocation</v>
      </c>
      <c r="M741" s="12" t="str">
        <f>VLOOKUP(K741,[2]Hoja4!$A$2:$C$443,3,FALSE)</f>
        <v>Street and highway</v>
      </c>
      <c r="N741" s="1">
        <v>5</v>
      </c>
      <c r="O741" s="1">
        <v>14.1</v>
      </c>
      <c r="P741" s="1">
        <v>9.4</v>
      </c>
      <c r="Q741" s="1">
        <v>1006.8</v>
      </c>
      <c r="R741" s="1">
        <v>0.1</v>
      </c>
      <c r="S741" s="1">
        <v>92.4</v>
      </c>
      <c r="T741" s="5">
        <v>0.1222</v>
      </c>
      <c r="U741" s="10">
        <v>-1E-3</v>
      </c>
    </row>
    <row r="742" spans="1:21" customFormat="1">
      <c r="A742">
        <v>1</v>
      </c>
      <c r="B742">
        <v>40</v>
      </c>
      <c r="C742">
        <v>3</v>
      </c>
      <c r="D742">
        <v>6</v>
      </c>
      <c r="E742">
        <v>2020</v>
      </c>
      <c r="F742">
        <v>4204</v>
      </c>
      <c r="G742" t="str">
        <f>VLOOKUP(F742,'[1]Sheet 1'!$B$2:$E$347,2,FALSE)</f>
        <v>Coquimbo</v>
      </c>
      <c r="H742" t="str">
        <f>VLOOKUP(F742,'[1]Sheet 1'!$B$2:$E$347,3,FALSE)</f>
        <v>Choapa</v>
      </c>
      <c r="I742" t="str">
        <f>VLOOKUP(F742,'[1]Sheet 1'!$B$2:$E$347,4,FALSE)</f>
        <v>Salamanca</v>
      </c>
      <c r="J742" t="s">
        <v>136</v>
      </c>
      <c r="K742" s="3" t="s">
        <v>4</v>
      </c>
      <c r="L742" s="12" t="str">
        <f>VLOOKUP(K742,[2]Hoja4!$A$2:$C$443,2,FALSE)</f>
        <v>Intentional self-harm by hanging, strangulation and suffocation</v>
      </c>
      <c r="M742" s="12" t="str">
        <f>VLOOKUP(K742,[2]Hoja4!$A$2:$C$443,3,FALSE)</f>
        <v>At home</v>
      </c>
      <c r="N742" s="1">
        <v>5.4</v>
      </c>
      <c r="O742" s="1">
        <v>11.9</v>
      </c>
      <c r="P742" s="1">
        <v>9.1999999999999993</v>
      </c>
      <c r="Q742" s="1">
        <v>981</v>
      </c>
      <c r="R742" s="1">
        <v>6.7</v>
      </c>
      <c r="S742" s="1">
        <v>85.4</v>
      </c>
      <c r="T742" s="5">
        <v>0.1222</v>
      </c>
      <c r="U742" s="10">
        <v>-1E-3</v>
      </c>
    </row>
    <row r="743" spans="1:21" customFormat="1">
      <c r="A743">
        <v>1</v>
      </c>
      <c r="B743">
        <v>18</v>
      </c>
      <c r="C743">
        <v>3</v>
      </c>
      <c r="D743">
        <v>6</v>
      </c>
      <c r="E743">
        <v>2020</v>
      </c>
      <c r="F743">
        <v>1107</v>
      </c>
      <c r="G743" t="str">
        <f>VLOOKUP(F743,'[1]Sheet 1'!$B$2:$E$347,2,FALSE)</f>
        <v>Tarapacá</v>
      </c>
      <c r="H743" t="str">
        <f>VLOOKUP(F743,'[1]Sheet 1'!$B$2:$E$347,3,FALSE)</f>
        <v>Iquique</v>
      </c>
      <c r="I743" t="str">
        <f>VLOOKUP(F743,'[1]Sheet 1'!$B$2:$E$347,4,FALSE)</f>
        <v>Alto Hospicio</v>
      </c>
      <c r="J743" t="s">
        <v>136</v>
      </c>
      <c r="K743" s="3" t="s">
        <v>4</v>
      </c>
      <c r="L743" s="12" t="str">
        <f>VLOOKUP(K743,[2]Hoja4!$A$2:$C$443,2,FALSE)</f>
        <v>Intentional self-harm by hanging, strangulation and suffocation</v>
      </c>
      <c r="M743" s="12" t="str">
        <f>VLOOKUP(K743,[2]Hoja4!$A$2:$C$443,3,FALSE)</f>
        <v>At home</v>
      </c>
      <c r="N743" s="1">
        <v>16.399999999999999</v>
      </c>
      <c r="O743" s="1">
        <v>19.3</v>
      </c>
      <c r="P743" s="1">
        <v>17.5</v>
      </c>
      <c r="Q743" s="1">
        <v>1014.9</v>
      </c>
      <c r="R743" s="1">
        <v>0</v>
      </c>
      <c r="S743" s="1">
        <v>67.8</v>
      </c>
      <c r="T743" s="5">
        <v>0.1222</v>
      </c>
      <c r="U743" s="10">
        <v>-1E-3</v>
      </c>
    </row>
    <row r="744" spans="1:21" customFormat="1">
      <c r="A744">
        <v>2</v>
      </c>
      <c r="B744">
        <v>23</v>
      </c>
      <c r="C744">
        <v>3</v>
      </c>
      <c r="D744">
        <v>6</v>
      </c>
      <c r="E744">
        <v>2020</v>
      </c>
      <c r="F744">
        <v>15101</v>
      </c>
      <c r="G744" t="str">
        <f>VLOOKUP(F744,'[1]Sheet 1'!$B$2:$E$347,2,FALSE)</f>
        <v>Arica y Parinacota</v>
      </c>
      <c r="H744" t="str">
        <f>VLOOKUP(F744,'[1]Sheet 1'!$B$2:$E$347,3,FALSE)</f>
        <v>Arica</v>
      </c>
      <c r="I744" t="str">
        <f>VLOOKUP(F744,'[1]Sheet 1'!$B$2:$E$347,4,FALSE)</f>
        <v>Arica</v>
      </c>
      <c r="J744" t="s">
        <v>136</v>
      </c>
      <c r="K744" s="3" t="s">
        <v>0</v>
      </c>
      <c r="L744" s="12" t="str">
        <f>VLOOKUP(K744,[2]Hoja4!$A$2:$C$443,2,FALSE)</f>
        <v>Intentional self-harm by hanging, strangulation and suffocation</v>
      </c>
      <c r="M744" s="12" t="str">
        <f>VLOOKUP(K744,[2]Hoja4!$A$2:$C$443,3,FALSE)</f>
        <v>Unspecified place</v>
      </c>
      <c r="N744" s="1">
        <v>17.399999999999999</v>
      </c>
      <c r="O744" s="1">
        <v>19.5</v>
      </c>
      <c r="P744" s="1">
        <v>18.399999999999999</v>
      </c>
      <c r="Q744" s="1">
        <v>1012.7</v>
      </c>
      <c r="R744" s="1">
        <v>0</v>
      </c>
      <c r="S744" s="1">
        <v>76</v>
      </c>
      <c r="T744" s="5">
        <v>0.1222</v>
      </c>
      <c r="U744" s="10">
        <v>-1E-3</v>
      </c>
    </row>
    <row r="745" spans="1:21" customFormat="1">
      <c r="A745">
        <v>1</v>
      </c>
      <c r="B745">
        <v>65</v>
      </c>
      <c r="C745">
        <v>4</v>
      </c>
      <c r="D745">
        <v>6</v>
      </c>
      <c r="E745">
        <v>2020</v>
      </c>
      <c r="F745">
        <v>13112</v>
      </c>
      <c r="G745" t="str">
        <f>VLOOKUP(F745,'[1]Sheet 1'!$B$2:$E$347,2,FALSE)</f>
        <v>Metropolitana de Santiago</v>
      </c>
      <c r="H745" t="str">
        <f>VLOOKUP(F745,'[1]Sheet 1'!$B$2:$E$347,3,FALSE)</f>
        <v>Santiago</v>
      </c>
      <c r="I745" t="str">
        <f>VLOOKUP(F745,'[1]Sheet 1'!$B$2:$E$347,4,FALSE)</f>
        <v>La Pintana</v>
      </c>
      <c r="J745" t="s">
        <v>136</v>
      </c>
      <c r="K745" s="3" t="s">
        <v>0</v>
      </c>
      <c r="L745" s="12" t="str">
        <f>VLOOKUP(K745,[2]Hoja4!$A$2:$C$443,2,FALSE)</f>
        <v>Intentional self-harm by hanging, strangulation and suffocation</v>
      </c>
      <c r="M745" s="12" t="str">
        <f>VLOOKUP(K745,[2]Hoja4!$A$2:$C$443,3,FALSE)</f>
        <v>Unspecified place</v>
      </c>
      <c r="N745" s="1">
        <v>1.5</v>
      </c>
      <c r="O745" s="1">
        <v>15.3</v>
      </c>
      <c r="P745" s="1">
        <v>6.8</v>
      </c>
      <c r="Q745" s="1">
        <v>961.4</v>
      </c>
      <c r="R745" s="1"/>
      <c r="S745" s="1">
        <v>77.8</v>
      </c>
      <c r="T745" s="5">
        <v>0.1222</v>
      </c>
      <c r="U745" s="10">
        <v>-1E-3</v>
      </c>
    </row>
    <row r="746" spans="1:21" customFormat="1">
      <c r="A746">
        <v>1</v>
      </c>
      <c r="B746">
        <v>57</v>
      </c>
      <c r="C746">
        <v>4</v>
      </c>
      <c r="D746">
        <v>6</v>
      </c>
      <c r="E746">
        <v>2020</v>
      </c>
      <c r="F746">
        <v>6101</v>
      </c>
      <c r="G746" t="str">
        <f>VLOOKUP(F746,'[1]Sheet 1'!$B$2:$E$347,2,FALSE)</f>
        <v>Libertador General Bernardo O'Higgins</v>
      </c>
      <c r="H746" t="str">
        <f>VLOOKUP(F746,'[1]Sheet 1'!$B$2:$E$347,3,FALSE)</f>
        <v>Cachapoal</v>
      </c>
      <c r="I746" t="str">
        <f>VLOOKUP(F746,'[1]Sheet 1'!$B$2:$E$347,4,FALSE)</f>
        <v>Rancagua</v>
      </c>
      <c r="J746" t="s">
        <v>136</v>
      </c>
      <c r="K746" s="3" t="s">
        <v>0</v>
      </c>
      <c r="L746" s="12" t="str">
        <f>VLOOKUP(K746,[2]Hoja4!$A$2:$C$443,2,FALSE)</f>
        <v>Intentional self-harm by hanging, strangulation and suffocation</v>
      </c>
      <c r="M746" s="12" t="str">
        <f>VLOOKUP(K746,[2]Hoja4!$A$2:$C$443,3,FALSE)</f>
        <v>Unspecified place</v>
      </c>
      <c r="N746" s="1">
        <v>3.5</v>
      </c>
      <c r="O746" s="1">
        <v>15.7</v>
      </c>
      <c r="P746" s="1">
        <v>9.1999999999999993</v>
      </c>
      <c r="Q746" s="1">
        <v>964.8</v>
      </c>
      <c r="R746" s="1">
        <v>0</v>
      </c>
      <c r="S746" s="1">
        <v>79.3</v>
      </c>
      <c r="T746" s="5">
        <v>0.1222</v>
      </c>
      <c r="U746" s="10">
        <v>-1E-3</v>
      </c>
    </row>
    <row r="747" spans="1:21" customFormat="1">
      <c r="A747">
        <v>1</v>
      </c>
      <c r="B747">
        <v>50</v>
      </c>
      <c r="C747">
        <v>4</v>
      </c>
      <c r="D747">
        <v>6</v>
      </c>
      <c r="E747">
        <v>2020</v>
      </c>
      <c r="F747">
        <v>16108</v>
      </c>
      <c r="G747" t="str">
        <f>VLOOKUP(F747,'[1]Sheet 1'!$B$2:$E$347,2,FALSE)</f>
        <v>Ñuble</v>
      </c>
      <c r="H747" t="str">
        <f>VLOOKUP(F747,'[1]Sheet 1'!$B$2:$E$347,3,FALSE)</f>
        <v>Diguillín</v>
      </c>
      <c r="I747" t="str">
        <f>VLOOKUP(F747,'[1]Sheet 1'!$B$2:$E$347,4,FALSE)</f>
        <v>San Ignacio</v>
      </c>
      <c r="J747" t="s">
        <v>136</v>
      </c>
      <c r="K747" s="3" t="s">
        <v>4</v>
      </c>
      <c r="L747" s="12" t="str">
        <f>VLOOKUP(K747,[2]Hoja4!$A$2:$C$443,2,FALSE)</f>
        <v>Intentional self-harm by hanging, strangulation and suffocation</v>
      </c>
      <c r="M747" s="12" t="str">
        <f>VLOOKUP(K747,[2]Hoja4!$A$2:$C$443,3,FALSE)</f>
        <v>At home</v>
      </c>
      <c r="N747" s="1">
        <v>0.2</v>
      </c>
      <c r="O747" s="1">
        <v>12.6</v>
      </c>
      <c r="P747" s="1">
        <v>6.1</v>
      </c>
      <c r="Q747" s="1">
        <v>1004.5</v>
      </c>
      <c r="R747" s="1">
        <v>0</v>
      </c>
      <c r="S747" s="1">
        <v>94.2</v>
      </c>
      <c r="T747" s="5">
        <v>0.1222</v>
      </c>
      <c r="U747" s="10">
        <v>-1E-3</v>
      </c>
    </row>
    <row r="748" spans="1:21" customFormat="1">
      <c r="A748">
        <v>2</v>
      </c>
      <c r="B748">
        <v>39</v>
      </c>
      <c r="C748">
        <v>4</v>
      </c>
      <c r="D748">
        <v>6</v>
      </c>
      <c r="E748">
        <v>2020</v>
      </c>
      <c r="F748">
        <v>13501</v>
      </c>
      <c r="G748" t="str">
        <f>VLOOKUP(F748,'[1]Sheet 1'!$B$2:$E$347,2,FALSE)</f>
        <v>Metropolitana de Santiago</v>
      </c>
      <c r="H748" t="str">
        <f>VLOOKUP(F748,'[1]Sheet 1'!$B$2:$E$347,3,FALSE)</f>
        <v>Melipilla</v>
      </c>
      <c r="I748" t="str">
        <f>VLOOKUP(F748,'[1]Sheet 1'!$B$2:$E$347,4,FALSE)</f>
        <v>Melipilla</v>
      </c>
      <c r="J748" t="s">
        <v>136</v>
      </c>
      <c r="K748" s="3" t="s">
        <v>4</v>
      </c>
      <c r="L748" s="12" t="str">
        <f>VLOOKUP(K748,[2]Hoja4!$A$2:$C$443,2,FALSE)</f>
        <v>Intentional self-harm by hanging, strangulation and suffocation</v>
      </c>
      <c r="M748" s="12" t="str">
        <f>VLOOKUP(K748,[2]Hoja4!$A$2:$C$443,3,FALSE)</f>
        <v>At home</v>
      </c>
      <c r="N748" s="1">
        <v>2.7</v>
      </c>
      <c r="O748" s="1">
        <v>15.9</v>
      </c>
      <c r="P748" s="1">
        <v>8.4</v>
      </c>
      <c r="Q748" s="1">
        <v>1023.2</v>
      </c>
      <c r="R748" s="1">
        <v>0</v>
      </c>
      <c r="S748" s="1">
        <v>68.2</v>
      </c>
      <c r="T748" s="5">
        <v>0.1222</v>
      </c>
      <c r="U748" s="10">
        <v>-1E-3</v>
      </c>
    </row>
    <row r="749" spans="1:21" customFormat="1">
      <c r="A749">
        <v>1</v>
      </c>
      <c r="B749">
        <v>70</v>
      </c>
      <c r="C749">
        <v>5</v>
      </c>
      <c r="D749">
        <v>6</v>
      </c>
      <c r="E749">
        <v>2020</v>
      </c>
      <c r="F749">
        <v>13401</v>
      </c>
      <c r="G749" t="str">
        <f>VLOOKUP(F749,'[1]Sheet 1'!$B$2:$E$347,2,FALSE)</f>
        <v>Metropolitana de Santiago</v>
      </c>
      <c r="H749" t="str">
        <f>VLOOKUP(F749,'[1]Sheet 1'!$B$2:$E$347,3,FALSE)</f>
        <v>Maipo</v>
      </c>
      <c r="I749" t="str">
        <f>VLOOKUP(F749,'[1]Sheet 1'!$B$2:$E$347,4,FALSE)</f>
        <v>San Bernardo</v>
      </c>
      <c r="J749" t="s">
        <v>136</v>
      </c>
      <c r="K749" s="3" t="s">
        <v>0</v>
      </c>
      <c r="L749" s="12" t="str">
        <f>VLOOKUP(K749,[2]Hoja4!$A$2:$C$443,2,FALSE)</f>
        <v>Intentional self-harm by hanging, strangulation and suffocation</v>
      </c>
      <c r="M749" s="12" t="str">
        <f>VLOOKUP(K749,[2]Hoja4!$A$2:$C$443,3,FALSE)</f>
        <v>Unspecified place</v>
      </c>
      <c r="N749" s="1">
        <v>-0.5</v>
      </c>
      <c r="O749" s="1">
        <v>18.5</v>
      </c>
      <c r="P749" s="1">
        <v>7</v>
      </c>
      <c r="Q749" s="1">
        <v>969</v>
      </c>
      <c r="R749" s="1">
        <v>0</v>
      </c>
      <c r="S749" s="1">
        <v>79.2</v>
      </c>
      <c r="T749" s="5">
        <v>0.1222</v>
      </c>
      <c r="U749" s="10">
        <v>-1E-3</v>
      </c>
    </row>
    <row r="750" spans="1:21" customFormat="1">
      <c r="A750">
        <v>1</v>
      </c>
      <c r="B750">
        <v>80</v>
      </c>
      <c r="C750">
        <v>6</v>
      </c>
      <c r="D750">
        <v>6</v>
      </c>
      <c r="E750">
        <v>2020</v>
      </c>
      <c r="F750">
        <v>6115</v>
      </c>
      <c r="G750" t="str">
        <f>VLOOKUP(F750,'[1]Sheet 1'!$B$2:$E$347,2,FALSE)</f>
        <v>Libertador General Bernardo O'Higgins</v>
      </c>
      <c r="H750" t="str">
        <f>VLOOKUP(F750,'[1]Sheet 1'!$B$2:$E$347,3,FALSE)</f>
        <v>Cachapoal</v>
      </c>
      <c r="I750" t="str">
        <f>VLOOKUP(F750,'[1]Sheet 1'!$B$2:$E$347,4,FALSE)</f>
        <v>Rengo</v>
      </c>
      <c r="J750" t="s">
        <v>136</v>
      </c>
      <c r="K750" s="3" t="s">
        <v>0</v>
      </c>
      <c r="L750" s="12" t="str">
        <f>VLOOKUP(K750,[2]Hoja4!$A$2:$C$443,2,FALSE)</f>
        <v>Intentional self-harm by hanging, strangulation and suffocation</v>
      </c>
      <c r="M750" s="12" t="str">
        <f>VLOOKUP(K750,[2]Hoja4!$A$2:$C$443,3,FALSE)</f>
        <v>Unspecified place</v>
      </c>
      <c r="N750" s="1">
        <v>0.1</v>
      </c>
      <c r="O750" s="1">
        <v>17.399999999999999</v>
      </c>
      <c r="P750" s="1">
        <v>8.4</v>
      </c>
      <c r="Q750" s="1">
        <v>960.6</v>
      </c>
      <c r="R750" s="1">
        <v>0</v>
      </c>
      <c r="S750" s="1">
        <v>80</v>
      </c>
      <c r="T750" s="5">
        <v>0.1222</v>
      </c>
      <c r="U750" s="10">
        <v>-1E-3</v>
      </c>
    </row>
    <row r="751" spans="1:21" customFormat="1">
      <c r="A751">
        <v>2</v>
      </c>
      <c r="B751">
        <v>70</v>
      </c>
      <c r="C751">
        <v>6</v>
      </c>
      <c r="D751">
        <v>6</v>
      </c>
      <c r="E751">
        <v>2020</v>
      </c>
      <c r="F751">
        <v>7308</v>
      </c>
      <c r="G751" t="str">
        <f>VLOOKUP(F751,'[1]Sheet 1'!$B$2:$E$347,2,FALSE)</f>
        <v>Maule</v>
      </c>
      <c r="H751" t="str">
        <f>VLOOKUP(F751,'[1]Sheet 1'!$B$2:$E$347,3,FALSE)</f>
        <v>Curicó</v>
      </c>
      <c r="I751" t="str">
        <f>VLOOKUP(F751,'[1]Sheet 1'!$B$2:$E$347,4,FALSE)</f>
        <v>Teno</v>
      </c>
      <c r="J751" t="s">
        <v>144</v>
      </c>
      <c r="K751" s="3" t="s">
        <v>1</v>
      </c>
      <c r="L751" s="12" t="str">
        <f>VLOOKUP(K751,[2]Hoja4!$A$2:$C$443,2,FALSE)</f>
        <v>Intentional self-harm by unspecified means</v>
      </c>
      <c r="M751" s="12" t="str">
        <f>VLOOKUP(K751,[2]Hoja4!$A$2:$C$443,3,FALSE)</f>
        <v>Unspecified place</v>
      </c>
      <c r="N751" s="1">
        <v>1.8</v>
      </c>
      <c r="O751" s="1">
        <v>14.2</v>
      </c>
      <c r="P751" s="1">
        <v>7.7</v>
      </c>
      <c r="Q751" s="1">
        <v>991.8</v>
      </c>
      <c r="R751" s="1">
        <v>0</v>
      </c>
      <c r="S751" s="1">
        <v>86.5</v>
      </c>
      <c r="T751" s="5">
        <v>0.1222</v>
      </c>
      <c r="U751" s="10">
        <v>-1E-3</v>
      </c>
    </row>
    <row r="752" spans="1:21" customFormat="1">
      <c r="A752">
        <v>1</v>
      </c>
      <c r="B752">
        <v>60</v>
      </c>
      <c r="C752">
        <v>6</v>
      </c>
      <c r="D752">
        <v>6</v>
      </c>
      <c r="E752">
        <v>2020</v>
      </c>
      <c r="F752">
        <v>9107</v>
      </c>
      <c r="G752" t="str">
        <f>VLOOKUP(F752,'[1]Sheet 1'!$B$2:$E$347,2,FALSE)</f>
        <v>La Araucanía</v>
      </c>
      <c r="H752" t="str">
        <f>VLOOKUP(F752,'[1]Sheet 1'!$B$2:$E$347,3,FALSE)</f>
        <v>Cautín</v>
      </c>
      <c r="I752" t="str">
        <f>VLOOKUP(F752,'[1]Sheet 1'!$B$2:$E$347,4,FALSE)</f>
        <v>Gorbea</v>
      </c>
      <c r="J752" t="s">
        <v>136</v>
      </c>
      <c r="K752" s="3" t="s">
        <v>4</v>
      </c>
      <c r="L752" s="12" t="str">
        <f>VLOOKUP(K752,[2]Hoja4!$A$2:$C$443,2,FALSE)</f>
        <v>Intentional self-harm by hanging, strangulation and suffocation</v>
      </c>
      <c r="M752" s="12" t="str">
        <f>VLOOKUP(K752,[2]Hoja4!$A$2:$C$443,3,FALSE)</f>
        <v>At home</v>
      </c>
      <c r="N752" s="1">
        <v>0.5</v>
      </c>
      <c r="O752" s="1">
        <v>11.1</v>
      </c>
      <c r="P752" s="1">
        <v>6.4</v>
      </c>
      <c r="Q752" s="1">
        <v>1003.4</v>
      </c>
      <c r="R752" s="1">
        <v>9</v>
      </c>
      <c r="S752" s="1">
        <v>94</v>
      </c>
      <c r="T752" s="5">
        <v>0.1222</v>
      </c>
      <c r="U752" s="10">
        <v>-1E-3</v>
      </c>
    </row>
    <row r="753" spans="1:21" customFormat="1">
      <c r="A753">
        <v>2</v>
      </c>
      <c r="B753">
        <v>55</v>
      </c>
      <c r="C753">
        <v>6</v>
      </c>
      <c r="D753">
        <v>6</v>
      </c>
      <c r="E753">
        <v>2020</v>
      </c>
      <c r="F753">
        <v>7402</v>
      </c>
      <c r="G753" t="str">
        <f>VLOOKUP(F753,'[1]Sheet 1'!$B$2:$E$347,2,FALSE)</f>
        <v>Maule</v>
      </c>
      <c r="H753" t="str">
        <f>VLOOKUP(F753,'[1]Sheet 1'!$B$2:$E$347,3,FALSE)</f>
        <v>Linares</v>
      </c>
      <c r="I753" t="str">
        <f>VLOOKUP(F753,'[1]Sheet 1'!$B$2:$E$347,4,FALSE)</f>
        <v>Colbún</v>
      </c>
      <c r="J753" t="s">
        <v>136</v>
      </c>
      <c r="K753" s="3" t="s">
        <v>4</v>
      </c>
      <c r="L753" s="12" t="str">
        <f>VLOOKUP(K753,[2]Hoja4!$A$2:$C$443,2,FALSE)</f>
        <v>Intentional self-harm by hanging, strangulation and suffocation</v>
      </c>
      <c r="M753" s="12" t="str">
        <f>VLOOKUP(K753,[2]Hoja4!$A$2:$C$443,3,FALSE)</f>
        <v>At home</v>
      </c>
      <c r="N753" s="1">
        <v>0.1</v>
      </c>
      <c r="O753" s="1">
        <v>9.1</v>
      </c>
      <c r="P753" s="1">
        <v>3.4</v>
      </c>
      <c r="Q753" s="1">
        <v>998.6</v>
      </c>
      <c r="R753" s="1">
        <v>1.3</v>
      </c>
      <c r="S753" s="1">
        <v>98</v>
      </c>
      <c r="T753" s="5">
        <v>0.1222</v>
      </c>
      <c r="U753" s="10">
        <v>-1E-3</v>
      </c>
    </row>
    <row r="754" spans="1:21" customFormat="1">
      <c r="A754">
        <v>1</v>
      </c>
      <c r="B754">
        <v>54</v>
      </c>
      <c r="C754">
        <v>6</v>
      </c>
      <c r="D754">
        <v>6</v>
      </c>
      <c r="E754">
        <v>2020</v>
      </c>
      <c r="F754">
        <v>10301</v>
      </c>
      <c r="G754" t="str">
        <f>VLOOKUP(F754,'[1]Sheet 1'!$B$2:$E$347,2,FALSE)</f>
        <v>Los Lagos</v>
      </c>
      <c r="H754" t="str">
        <f>VLOOKUP(F754,'[1]Sheet 1'!$B$2:$E$347,3,FALSE)</f>
        <v>Osorno</v>
      </c>
      <c r="I754" t="str">
        <f>VLOOKUP(F754,'[1]Sheet 1'!$B$2:$E$347,4,FALSE)</f>
        <v>Osorno</v>
      </c>
      <c r="J754" t="s">
        <v>136</v>
      </c>
      <c r="K754" s="3" t="s">
        <v>17</v>
      </c>
      <c r="L754" s="12" t="str">
        <f>VLOOKUP(K754,[2]Hoja4!$A$2:$C$443,2,FALSE)</f>
        <v>Intentional self-harm by hanging, strangulation and suffocation</v>
      </c>
      <c r="M754" s="12" t="str">
        <f>VLOOKUP(K754,[2]Hoja4!$A$2:$C$443,3,FALSE)</f>
        <v>Industrial and construction area</v>
      </c>
      <c r="N754" s="1">
        <v>9.9</v>
      </c>
      <c r="O754" s="1">
        <v>10.3</v>
      </c>
      <c r="P754" s="1">
        <v>9.6</v>
      </c>
      <c r="Q754" s="1">
        <v>1004.8</v>
      </c>
      <c r="R754" s="1">
        <v>12.2</v>
      </c>
      <c r="S754" s="1">
        <v>87.2</v>
      </c>
      <c r="T754" s="5">
        <v>0.1222</v>
      </c>
      <c r="U754" s="10">
        <v>-1E-3</v>
      </c>
    </row>
    <row r="755" spans="1:21" customFormat="1">
      <c r="A755">
        <v>1</v>
      </c>
      <c r="B755">
        <v>45</v>
      </c>
      <c r="C755">
        <v>6</v>
      </c>
      <c r="D755">
        <v>6</v>
      </c>
      <c r="E755">
        <v>2020</v>
      </c>
      <c r="F755">
        <v>4303</v>
      </c>
      <c r="G755" t="str">
        <f>VLOOKUP(F755,'[1]Sheet 1'!$B$2:$E$347,2,FALSE)</f>
        <v>Coquimbo</v>
      </c>
      <c r="H755" t="str">
        <f>VLOOKUP(F755,'[1]Sheet 1'!$B$2:$E$347,3,FALSE)</f>
        <v>Limarí</v>
      </c>
      <c r="I755" t="str">
        <f>VLOOKUP(F755,'[1]Sheet 1'!$B$2:$E$347,4,FALSE)</f>
        <v>Monte Patria</v>
      </c>
      <c r="J755" t="s">
        <v>136</v>
      </c>
      <c r="K755" s="3" t="s">
        <v>4</v>
      </c>
      <c r="L755" s="12" t="str">
        <f>VLOOKUP(K755,[2]Hoja4!$A$2:$C$443,2,FALSE)</f>
        <v>Intentional self-harm by hanging, strangulation and suffocation</v>
      </c>
      <c r="M755" s="12" t="str">
        <f>VLOOKUP(K755,[2]Hoja4!$A$2:$C$443,3,FALSE)</f>
        <v>At home</v>
      </c>
      <c r="N755" s="1"/>
      <c r="O755" s="1"/>
      <c r="P755" s="1"/>
      <c r="Q755" s="1">
        <v>980</v>
      </c>
      <c r="R755" s="1"/>
      <c r="S755" s="1">
        <v>58</v>
      </c>
      <c r="T755" s="5">
        <v>0.1222</v>
      </c>
      <c r="U755" s="10">
        <v>-1E-3</v>
      </c>
    </row>
    <row r="756" spans="1:21" customFormat="1">
      <c r="A756">
        <v>1</v>
      </c>
      <c r="B756">
        <v>85</v>
      </c>
      <c r="C756">
        <v>7</v>
      </c>
      <c r="D756">
        <v>6</v>
      </c>
      <c r="E756">
        <v>2020</v>
      </c>
      <c r="F756">
        <v>15101</v>
      </c>
      <c r="G756" t="str">
        <f>VLOOKUP(F756,'[1]Sheet 1'!$B$2:$E$347,2,FALSE)</f>
        <v>Arica y Parinacota</v>
      </c>
      <c r="H756" t="str">
        <f>VLOOKUP(F756,'[1]Sheet 1'!$B$2:$E$347,3,FALSE)</f>
        <v>Arica</v>
      </c>
      <c r="I756" t="str">
        <f>VLOOKUP(F756,'[1]Sheet 1'!$B$2:$E$347,4,FALSE)</f>
        <v>Arica</v>
      </c>
      <c r="J756" t="s">
        <v>136</v>
      </c>
      <c r="K756" s="3" t="s">
        <v>4</v>
      </c>
      <c r="L756" s="12" t="str">
        <f>VLOOKUP(K756,[2]Hoja4!$A$2:$C$443,2,FALSE)</f>
        <v>Intentional self-harm by hanging, strangulation and suffocation</v>
      </c>
      <c r="M756" s="12" t="str">
        <f>VLOOKUP(K756,[2]Hoja4!$A$2:$C$443,3,FALSE)</f>
        <v>At home</v>
      </c>
      <c r="N756" s="1">
        <v>18</v>
      </c>
      <c r="O756" s="1">
        <v>20.7</v>
      </c>
      <c r="P756" s="1">
        <v>19.399999999999999</v>
      </c>
      <c r="Q756" s="1">
        <v>1012.4</v>
      </c>
      <c r="R756" s="1">
        <v>0</v>
      </c>
      <c r="S756" s="1">
        <v>72.599999999999994</v>
      </c>
      <c r="T756" s="5">
        <v>0.1222</v>
      </c>
      <c r="U756" s="10">
        <v>-1E-3</v>
      </c>
    </row>
    <row r="757" spans="1:21" customFormat="1">
      <c r="A757">
        <v>2</v>
      </c>
      <c r="B757">
        <v>50</v>
      </c>
      <c r="C757">
        <v>7</v>
      </c>
      <c r="D757">
        <v>6</v>
      </c>
      <c r="E757">
        <v>2020</v>
      </c>
      <c r="F757">
        <v>13102</v>
      </c>
      <c r="G757" t="str">
        <f>VLOOKUP(F757,'[1]Sheet 1'!$B$2:$E$347,2,FALSE)</f>
        <v>Metropolitana de Santiago</v>
      </c>
      <c r="H757" t="str">
        <f>VLOOKUP(F757,'[1]Sheet 1'!$B$2:$E$347,3,FALSE)</f>
        <v>Santiago</v>
      </c>
      <c r="I757" t="str">
        <f>VLOOKUP(F757,'[1]Sheet 1'!$B$2:$E$347,4,FALSE)</f>
        <v>Cerrillos</v>
      </c>
      <c r="J757" t="s">
        <v>136</v>
      </c>
      <c r="K757" s="3" t="s">
        <v>0</v>
      </c>
      <c r="L757" s="12" t="str">
        <f>VLOOKUP(K757,[2]Hoja4!$A$2:$C$443,2,FALSE)</f>
        <v>Intentional self-harm by hanging, strangulation and suffocation</v>
      </c>
      <c r="M757" s="12" t="str">
        <f>VLOOKUP(K757,[2]Hoja4!$A$2:$C$443,3,FALSE)</f>
        <v>Unspecified place</v>
      </c>
      <c r="N757" s="1">
        <v>1</v>
      </c>
      <c r="O757" s="1">
        <v>15</v>
      </c>
      <c r="P757" s="1">
        <v>6.8</v>
      </c>
      <c r="Q757" s="1">
        <v>959.5</v>
      </c>
      <c r="R757" s="1"/>
      <c r="S757" s="1">
        <v>83.8</v>
      </c>
      <c r="T757" s="5">
        <v>0.1222</v>
      </c>
      <c r="U757" s="10">
        <v>-1E-3</v>
      </c>
    </row>
    <row r="758" spans="1:21" customFormat="1">
      <c r="A758">
        <v>1</v>
      </c>
      <c r="B758">
        <v>47</v>
      </c>
      <c r="C758">
        <v>7</v>
      </c>
      <c r="D758">
        <v>6</v>
      </c>
      <c r="E758">
        <v>2020</v>
      </c>
      <c r="F758">
        <v>7407</v>
      </c>
      <c r="G758" t="str">
        <f>VLOOKUP(F758,'[1]Sheet 1'!$B$2:$E$347,2,FALSE)</f>
        <v>Maule</v>
      </c>
      <c r="H758" t="str">
        <f>VLOOKUP(F758,'[1]Sheet 1'!$B$2:$E$347,3,FALSE)</f>
        <v>Linares</v>
      </c>
      <c r="I758" t="str">
        <f>VLOOKUP(F758,'[1]Sheet 1'!$B$2:$E$347,4,FALSE)</f>
        <v>Villa Alegre</v>
      </c>
      <c r="J758" t="s">
        <v>136</v>
      </c>
      <c r="K758" s="3" t="s">
        <v>4</v>
      </c>
      <c r="L758" s="12" t="str">
        <f>VLOOKUP(K758,[2]Hoja4!$A$2:$C$443,2,FALSE)</f>
        <v>Intentional self-harm by hanging, strangulation and suffocation</v>
      </c>
      <c r="M758" s="12" t="str">
        <f>VLOOKUP(K758,[2]Hoja4!$A$2:$C$443,3,FALSE)</f>
        <v>At home</v>
      </c>
      <c r="N758" s="1">
        <v>6.6</v>
      </c>
      <c r="O758" s="1">
        <v>9.5</v>
      </c>
      <c r="P758" s="1">
        <v>8.6999999999999993</v>
      </c>
      <c r="Q758" s="1">
        <v>1000.2</v>
      </c>
      <c r="R758" s="1">
        <v>0</v>
      </c>
      <c r="S758" s="1">
        <v>97.4</v>
      </c>
      <c r="T758" s="5">
        <v>0.1222</v>
      </c>
      <c r="U758" s="10">
        <v>-1E-3</v>
      </c>
    </row>
    <row r="759" spans="1:21" customFormat="1">
      <c r="A759">
        <v>1</v>
      </c>
      <c r="B759">
        <v>35</v>
      </c>
      <c r="C759">
        <v>7</v>
      </c>
      <c r="D759">
        <v>6</v>
      </c>
      <c r="E759">
        <v>2020</v>
      </c>
      <c r="F759">
        <v>16101</v>
      </c>
      <c r="G759" t="str">
        <f>VLOOKUP(F759,'[1]Sheet 1'!$B$2:$E$347,2,FALSE)</f>
        <v>Ñuble</v>
      </c>
      <c r="H759" t="str">
        <f>VLOOKUP(F759,'[1]Sheet 1'!$B$2:$E$347,3,FALSE)</f>
        <v>Diguillín</v>
      </c>
      <c r="I759" t="str">
        <f>VLOOKUP(F759,'[1]Sheet 1'!$B$2:$E$347,4,FALSE)</f>
        <v>Chillán</v>
      </c>
      <c r="J759" t="s">
        <v>136</v>
      </c>
      <c r="K759" s="3" t="s">
        <v>2</v>
      </c>
      <c r="L759" s="12" t="str">
        <f>VLOOKUP(K759,[2]Hoja4!$A$2:$C$443,2,FALSE)</f>
        <v>Intentional self-harm by hanging, strangulation and suffocation</v>
      </c>
      <c r="M759" s="12" t="str">
        <f>VLOOKUP(K759,[2]Hoja4!$A$2:$C$443,3,FALSE)</f>
        <v>Street and highway</v>
      </c>
      <c r="N759" s="1">
        <v>8.1</v>
      </c>
      <c r="O759" s="1">
        <v>12.6</v>
      </c>
      <c r="P759" s="1">
        <v>9.3000000000000007</v>
      </c>
      <c r="Q759" s="1">
        <v>1001.9</v>
      </c>
      <c r="R759" s="1">
        <v>0</v>
      </c>
      <c r="S759" s="1">
        <v>96.5</v>
      </c>
      <c r="T759" s="5">
        <v>0.1222</v>
      </c>
      <c r="U759" s="10">
        <v>-1E-3</v>
      </c>
    </row>
    <row r="760" spans="1:21" customFormat="1">
      <c r="A760">
        <v>1</v>
      </c>
      <c r="B760">
        <v>28</v>
      </c>
      <c r="C760">
        <v>7</v>
      </c>
      <c r="D760">
        <v>6</v>
      </c>
      <c r="E760">
        <v>2020</v>
      </c>
      <c r="F760">
        <v>5301</v>
      </c>
      <c r="G760" t="str">
        <f>VLOOKUP(F760,'[1]Sheet 1'!$B$2:$E$347,2,FALSE)</f>
        <v>Valparaíso</v>
      </c>
      <c r="H760" t="str">
        <f>VLOOKUP(F760,'[1]Sheet 1'!$B$2:$E$347,3,FALSE)</f>
        <v>Los Andes</v>
      </c>
      <c r="I760" t="str">
        <f>VLOOKUP(F760,'[1]Sheet 1'!$B$2:$E$347,4,FALSE)</f>
        <v>Los Andes</v>
      </c>
      <c r="J760" t="s">
        <v>136</v>
      </c>
      <c r="K760" s="3" t="s">
        <v>0</v>
      </c>
      <c r="L760" s="12" t="str">
        <f>VLOOKUP(K760,[2]Hoja4!$A$2:$C$443,2,FALSE)</f>
        <v>Intentional self-harm by hanging, strangulation and suffocation</v>
      </c>
      <c r="M760" s="12" t="str">
        <f>VLOOKUP(K760,[2]Hoja4!$A$2:$C$443,3,FALSE)</f>
        <v>Unspecified place</v>
      </c>
      <c r="N760" s="1">
        <v>0.1</v>
      </c>
      <c r="O760" s="1">
        <v>5.7</v>
      </c>
      <c r="P760" s="1">
        <v>2.9</v>
      </c>
      <c r="Q760" s="1">
        <v>929.6</v>
      </c>
      <c r="R760" s="1">
        <v>0</v>
      </c>
      <c r="S760" s="1">
        <v>64.900000000000006</v>
      </c>
      <c r="T760" s="5">
        <v>0.1222</v>
      </c>
      <c r="U760" s="10">
        <v>-1E-3</v>
      </c>
    </row>
    <row r="761" spans="1:21" customFormat="1">
      <c r="A761">
        <v>1</v>
      </c>
      <c r="B761">
        <v>69</v>
      </c>
      <c r="C761">
        <v>8</v>
      </c>
      <c r="D761">
        <v>6</v>
      </c>
      <c r="E761">
        <v>2020</v>
      </c>
      <c r="F761">
        <v>7102</v>
      </c>
      <c r="G761" t="str">
        <f>VLOOKUP(F761,'[1]Sheet 1'!$B$2:$E$347,2,FALSE)</f>
        <v>Maule</v>
      </c>
      <c r="H761" t="str">
        <f>VLOOKUP(F761,'[1]Sheet 1'!$B$2:$E$347,3,FALSE)</f>
        <v>Talca</v>
      </c>
      <c r="I761" t="str">
        <f>VLOOKUP(F761,'[1]Sheet 1'!$B$2:$E$347,4,FALSE)</f>
        <v>Constitución</v>
      </c>
      <c r="J761" t="s">
        <v>136</v>
      </c>
      <c r="K761" s="3" t="s">
        <v>4</v>
      </c>
      <c r="L761" s="12" t="str">
        <f>VLOOKUP(K761,[2]Hoja4!$A$2:$C$443,2,FALSE)</f>
        <v>Intentional self-harm by hanging, strangulation and suffocation</v>
      </c>
      <c r="M761" s="12" t="str">
        <f>VLOOKUP(K761,[2]Hoja4!$A$2:$C$443,3,FALSE)</f>
        <v>At home</v>
      </c>
      <c r="N761" s="1">
        <v>6.1</v>
      </c>
      <c r="O761" s="1">
        <v>16.8</v>
      </c>
      <c r="P761" s="1">
        <v>10.1</v>
      </c>
      <c r="Q761" s="1">
        <v>1009.5</v>
      </c>
      <c r="R761" s="1">
        <v>0</v>
      </c>
      <c r="S761" s="1">
        <v>80.900000000000006</v>
      </c>
      <c r="T761" s="5">
        <v>0.1222</v>
      </c>
      <c r="U761" s="10">
        <v>-1E-3</v>
      </c>
    </row>
    <row r="762" spans="1:21" customFormat="1">
      <c r="A762">
        <v>1</v>
      </c>
      <c r="B762">
        <v>57</v>
      </c>
      <c r="C762">
        <v>8</v>
      </c>
      <c r="D762">
        <v>6</v>
      </c>
      <c r="E762">
        <v>2020</v>
      </c>
      <c r="F762">
        <v>10201</v>
      </c>
      <c r="G762" t="str">
        <f>VLOOKUP(F762,'[1]Sheet 1'!$B$2:$E$347,2,FALSE)</f>
        <v>Los Lagos</v>
      </c>
      <c r="H762" t="str">
        <f>VLOOKUP(F762,'[1]Sheet 1'!$B$2:$E$347,3,FALSE)</f>
        <v>Chiloé</v>
      </c>
      <c r="I762" t="str">
        <f>VLOOKUP(F762,'[1]Sheet 1'!$B$2:$E$347,4,FALSE)</f>
        <v>Castro</v>
      </c>
      <c r="J762" t="s">
        <v>136</v>
      </c>
      <c r="K762" s="3" t="s">
        <v>4</v>
      </c>
      <c r="L762" s="12" t="str">
        <f>VLOOKUP(K762,[2]Hoja4!$A$2:$C$443,2,FALSE)</f>
        <v>Intentional self-harm by hanging, strangulation and suffocation</v>
      </c>
      <c r="M762" s="12" t="str">
        <f>VLOOKUP(K762,[2]Hoja4!$A$2:$C$443,3,FALSE)</f>
        <v>At home</v>
      </c>
      <c r="N762" s="1">
        <v>2.8</v>
      </c>
      <c r="O762" s="1">
        <v>10.199999999999999</v>
      </c>
      <c r="P762" s="1">
        <v>7.1</v>
      </c>
      <c r="Q762" s="1">
        <v>995.5</v>
      </c>
      <c r="R762" s="1">
        <v>8.1999999999999993</v>
      </c>
      <c r="S762" s="1">
        <v>91.5</v>
      </c>
      <c r="T762" s="5">
        <v>0.1222</v>
      </c>
      <c r="U762" s="10">
        <v>-1E-3</v>
      </c>
    </row>
    <row r="763" spans="1:21" customFormat="1">
      <c r="A763">
        <v>1</v>
      </c>
      <c r="B763">
        <v>42</v>
      </c>
      <c r="C763">
        <v>8</v>
      </c>
      <c r="D763">
        <v>6</v>
      </c>
      <c r="E763">
        <v>2020</v>
      </c>
      <c r="F763">
        <v>13126</v>
      </c>
      <c r="G763" t="str">
        <f>VLOOKUP(F763,'[1]Sheet 1'!$B$2:$E$347,2,FALSE)</f>
        <v>Metropolitana de Santiago</v>
      </c>
      <c r="H763" t="str">
        <f>VLOOKUP(F763,'[1]Sheet 1'!$B$2:$E$347,3,FALSE)</f>
        <v>Santiago</v>
      </c>
      <c r="I763" t="str">
        <f>VLOOKUP(F763,'[1]Sheet 1'!$B$2:$E$347,4,FALSE)</f>
        <v>Quinta Normal</v>
      </c>
      <c r="J763" t="s">
        <v>136</v>
      </c>
      <c r="K763" s="3" t="s">
        <v>4</v>
      </c>
      <c r="L763" s="12" t="str">
        <f>VLOOKUP(K763,[2]Hoja4!$A$2:$C$443,2,FALSE)</f>
        <v>Intentional self-harm by hanging, strangulation and suffocation</v>
      </c>
      <c r="M763" s="12" t="str">
        <f>VLOOKUP(K763,[2]Hoja4!$A$2:$C$443,3,FALSE)</f>
        <v>At home</v>
      </c>
      <c r="N763" s="1">
        <v>0.4</v>
      </c>
      <c r="O763" s="1">
        <v>11.6</v>
      </c>
      <c r="P763" s="1">
        <v>5.6</v>
      </c>
      <c r="Q763" s="1">
        <v>961.7</v>
      </c>
      <c r="R763" s="1"/>
      <c r="S763" s="1">
        <v>87.5</v>
      </c>
      <c r="T763" s="5">
        <v>0.1222</v>
      </c>
      <c r="U763" s="10">
        <v>-1E-3</v>
      </c>
    </row>
    <row r="764" spans="1:21" customFormat="1">
      <c r="A764">
        <v>1</v>
      </c>
      <c r="B764">
        <v>40</v>
      </c>
      <c r="C764">
        <v>8</v>
      </c>
      <c r="D764">
        <v>6</v>
      </c>
      <c r="E764">
        <v>2020</v>
      </c>
      <c r="F764">
        <v>13119</v>
      </c>
      <c r="G764" t="str">
        <f>VLOOKUP(F764,'[1]Sheet 1'!$B$2:$E$347,2,FALSE)</f>
        <v>Metropolitana de Santiago</v>
      </c>
      <c r="H764" t="str">
        <f>VLOOKUP(F764,'[1]Sheet 1'!$B$2:$E$347,3,FALSE)</f>
        <v>Santiago</v>
      </c>
      <c r="I764" t="str">
        <f>VLOOKUP(F764,'[1]Sheet 1'!$B$2:$E$347,4,FALSE)</f>
        <v>Maipú</v>
      </c>
      <c r="J764" t="s">
        <v>136</v>
      </c>
      <c r="K764" s="3" t="s">
        <v>4</v>
      </c>
      <c r="L764" s="12" t="str">
        <f>VLOOKUP(K764,[2]Hoja4!$A$2:$C$443,2,FALSE)</f>
        <v>Intentional self-harm by hanging, strangulation and suffocation</v>
      </c>
      <c r="M764" s="12" t="str">
        <f>VLOOKUP(K764,[2]Hoja4!$A$2:$C$443,3,FALSE)</f>
        <v>At home</v>
      </c>
      <c r="N764" s="1">
        <v>0.4</v>
      </c>
      <c r="O764" s="1">
        <v>11.6</v>
      </c>
      <c r="P764" s="1">
        <v>5.6</v>
      </c>
      <c r="Q764" s="1">
        <v>961.7</v>
      </c>
      <c r="R764" s="1"/>
      <c r="S764" s="1">
        <v>87.5</v>
      </c>
      <c r="T764" s="5">
        <v>0.1222</v>
      </c>
      <c r="U764" s="10">
        <v>-1E-3</v>
      </c>
    </row>
    <row r="765" spans="1:21" customFormat="1">
      <c r="A765">
        <v>1</v>
      </c>
      <c r="B765">
        <v>63</v>
      </c>
      <c r="C765">
        <v>9</v>
      </c>
      <c r="D765">
        <v>6</v>
      </c>
      <c r="E765">
        <v>2020</v>
      </c>
      <c r="F765">
        <v>14101</v>
      </c>
      <c r="G765" t="str">
        <f>VLOOKUP(F765,'[1]Sheet 1'!$B$2:$E$347,2,FALSE)</f>
        <v>Los Ríos</v>
      </c>
      <c r="H765" t="str">
        <f>VLOOKUP(F765,'[1]Sheet 1'!$B$2:$E$347,3,FALSE)</f>
        <v>Valdivia</v>
      </c>
      <c r="I765" t="str">
        <f>VLOOKUP(F765,'[1]Sheet 1'!$B$2:$E$347,4,FALSE)</f>
        <v>Valdivia</v>
      </c>
      <c r="J765" t="s">
        <v>136</v>
      </c>
      <c r="K765" s="3" t="s">
        <v>4</v>
      </c>
      <c r="L765" s="12" t="str">
        <f>VLOOKUP(K765,[2]Hoja4!$A$2:$C$443,2,FALSE)</f>
        <v>Intentional self-harm by hanging, strangulation and suffocation</v>
      </c>
      <c r="M765" s="12" t="str">
        <f>VLOOKUP(K765,[2]Hoja4!$A$2:$C$443,3,FALSE)</f>
        <v>At home</v>
      </c>
      <c r="N765" s="1">
        <v>3.9</v>
      </c>
      <c r="O765" s="1">
        <v>11.3</v>
      </c>
      <c r="P765" s="1">
        <v>7.6</v>
      </c>
      <c r="Q765" s="1">
        <v>1012.6</v>
      </c>
      <c r="R765" s="1">
        <v>70.2</v>
      </c>
      <c r="S765" s="1">
        <v>99</v>
      </c>
      <c r="T765" s="5">
        <v>0.1222</v>
      </c>
      <c r="U765" s="10">
        <v>-1E-3</v>
      </c>
    </row>
    <row r="766" spans="1:21" customFormat="1">
      <c r="A766">
        <v>2</v>
      </c>
      <c r="B766">
        <v>39</v>
      </c>
      <c r="C766">
        <v>9</v>
      </c>
      <c r="D766">
        <v>6</v>
      </c>
      <c r="E766">
        <v>2020</v>
      </c>
      <c r="F766">
        <v>5109</v>
      </c>
      <c r="G766" t="str">
        <f>VLOOKUP(F766,'[1]Sheet 1'!$B$2:$E$347,2,FALSE)</f>
        <v>Valparaíso</v>
      </c>
      <c r="H766" t="str">
        <f>VLOOKUP(F766,'[1]Sheet 1'!$B$2:$E$347,3,FALSE)</f>
        <v>Valparaíso</v>
      </c>
      <c r="I766" t="str">
        <f>VLOOKUP(F766,'[1]Sheet 1'!$B$2:$E$347,4,FALSE)</f>
        <v>Viña del Mar</v>
      </c>
      <c r="J766" t="s">
        <v>136</v>
      </c>
      <c r="K766" s="3" t="s">
        <v>0</v>
      </c>
      <c r="L766" s="12" t="str">
        <f>VLOOKUP(K766,[2]Hoja4!$A$2:$C$443,2,FALSE)</f>
        <v>Intentional self-harm by hanging, strangulation and suffocation</v>
      </c>
      <c r="M766" s="12" t="str">
        <f>VLOOKUP(K766,[2]Hoja4!$A$2:$C$443,3,FALSE)</f>
        <v>Unspecified place</v>
      </c>
      <c r="N766" s="1">
        <v>8.1</v>
      </c>
      <c r="O766" s="1">
        <v>18.100000000000001</v>
      </c>
      <c r="P766" s="1">
        <v>11.3</v>
      </c>
      <c r="Q766" s="1">
        <v>977.7</v>
      </c>
      <c r="R766" s="1">
        <v>0</v>
      </c>
      <c r="S766" s="1">
        <v>65.2</v>
      </c>
      <c r="T766" s="5">
        <v>0.1222</v>
      </c>
      <c r="U766" s="10">
        <v>-1E-3</v>
      </c>
    </row>
    <row r="767" spans="1:21" customFormat="1">
      <c r="A767">
        <v>1</v>
      </c>
      <c r="B767">
        <v>38</v>
      </c>
      <c r="C767">
        <v>9</v>
      </c>
      <c r="D767">
        <v>6</v>
      </c>
      <c r="E767">
        <v>2020</v>
      </c>
      <c r="F767">
        <v>2201</v>
      </c>
      <c r="G767" t="str">
        <f>VLOOKUP(F767,'[1]Sheet 1'!$B$2:$E$347,2,FALSE)</f>
        <v>Antofagasta</v>
      </c>
      <c r="H767" t="str">
        <f>VLOOKUP(F767,'[1]Sheet 1'!$B$2:$E$347,3,FALSE)</f>
        <v>El Loa</v>
      </c>
      <c r="I767" t="str">
        <f>VLOOKUP(F767,'[1]Sheet 1'!$B$2:$E$347,4,FALSE)</f>
        <v>Calama</v>
      </c>
      <c r="J767" t="s">
        <v>136</v>
      </c>
      <c r="K767" s="3" t="s">
        <v>0</v>
      </c>
      <c r="L767" s="12" t="str">
        <f>VLOOKUP(K767,[2]Hoja4!$A$2:$C$443,2,FALSE)</f>
        <v>Intentional self-harm by hanging, strangulation and suffocation</v>
      </c>
      <c r="M767" s="12" t="str">
        <f>VLOOKUP(K767,[2]Hoja4!$A$2:$C$443,3,FALSE)</f>
        <v>Unspecified place</v>
      </c>
      <c r="N767" s="1">
        <v>2</v>
      </c>
      <c r="O767" s="1">
        <v>23.2</v>
      </c>
      <c r="P767" s="1">
        <v>12.6</v>
      </c>
      <c r="Q767" s="1">
        <v>774.3</v>
      </c>
      <c r="R767" s="1">
        <v>0</v>
      </c>
      <c r="S767" s="1">
        <v>22.5</v>
      </c>
      <c r="T767" s="5">
        <v>0.1222</v>
      </c>
      <c r="U767" s="10">
        <v>-1E-3</v>
      </c>
    </row>
    <row r="768" spans="1:21" customFormat="1">
      <c r="A768">
        <v>1</v>
      </c>
      <c r="B768">
        <v>18</v>
      </c>
      <c r="C768">
        <v>9</v>
      </c>
      <c r="D768">
        <v>6</v>
      </c>
      <c r="E768">
        <v>2020</v>
      </c>
      <c r="F768">
        <v>7101</v>
      </c>
      <c r="G768" t="str">
        <f>VLOOKUP(F768,'[1]Sheet 1'!$B$2:$E$347,2,FALSE)</f>
        <v>Maule</v>
      </c>
      <c r="H768" t="str">
        <f>VLOOKUP(F768,'[1]Sheet 1'!$B$2:$E$347,3,FALSE)</f>
        <v>Talca</v>
      </c>
      <c r="I768" t="str">
        <f>VLOOKUP(F768,'[1]Sheet 1'!$B$2:$E$347,4,FALSE)</f>
        <v>Talca</v>
      </c>
      <c r="J768" t="s">
        <v>136</v>
      </c>
      <c r="K768" s="3" t="s">
        <v>0</v>
      </c>
      <c r="L768" s="12" t="str">
        <f>VLOOKUP(K768,[2]Hoja4!$A$2:$C$443,2,FALSE)</f>
        <v>Intentional self-harm by hanging, strangulation and suffocation</v>
      </c>
      <c r="M768" s="12" t="str">
        <f>VLOOKUP(K768,[2]Hoja4!$A$2:$C$443,3,FALSE)</f>
        <v>Unspecified place</v>
      </c>
      <c r="N768" s="1">
        <v>0.5</v>
      </c>
      <c r="O768" s="1">
        <v>15.1</v>
      </c>
      <c r="P768" s="1">
        <v>7.6</v>
      </c>
      <c r="Q768" s="1">
        <v>1006.3</v>
      </c>
      <c r="R768" s="1">
        <v>0</v>
      </c>
      <c r="S768" s="1">
        <v>86.5</v>
      </c>
      <c r="T768" s="5">
        <v>0.1222</v>
      </c>
      <c r="U768" s="10">
        <v>-1E-3</v>
      </c>
    </row>
    <row r="769" spans="1:21" customFormat="1">
      <c r="A769">
        <v>1</v>
      </c>
      <c r="B769">
        <v>20</v>
      </c>
      <c r="C769">
        <v>9</v>
      </c>
      <c r="D769">
        <v>6</v>
      </c>
      <c r="E769">
        <v>2020</v>
      </c>
      <c r="F769">
        <v>9105</v>
      </c>
      <c r="G769" t="str">
        <f>VLOOKUP(F769,'[1]Sheet 1'!$B$2:$E$347,2,FALSE)</f>
        <v>La Araucanía</v>
      </c>
      <c r="H769" t="str">
        <f>VLOOKUP(F769,'[1]Sheet 1'!$B$2:$E$347,3,FALSE)</f>
        <v>Cautín</v>
      </c>
      <c r="I769" t="str">
        <f>VLOOKUP(F769,'[1]Sheet 1'!$B$2:$E$347,4,FALSE)</f>
        <v>Freire</v>
      </c>
      <c r="J769" t="s">
        <v>136</v>
      </c>
      <c r="K769" s="3" t="s">
        <v>4</v>
      </c>
      <c r="L769" s="12" t="str">
        <f>VLOOKUP(K769,[2]Hoja4!$A$2:$C$443,2,FALSE)</f>
        <v>Intentional self-harm by hanging, strangulation and suffocation</v>
      </c>
      <c r="M769" s="12" t="str">
        <f>VLOOKUP(K769,[2]Hoja4!$A$2:$C$443,3,FALSE)</f>
        <v>At home</v>
      </c>
      <c r="N769" s="1">
        <v>-0.6</v>
      </c>
      <c r="O769" s="1">
        <v>11.2</v>
      </c>
      <c r="P769" s="1">
        <v>5.3</v>
      </c>
      <c r="Q769" s="1">
        <v>1005.2</v>
      </c>
      <c r="R769" s="1">
        <v>0.2</v>
      </c>
      <c r="S769" s="1">
        <v>86.5</v>
      </c>
      <c r="T769" s="5">
        <v>0.1222</v>
      </c>
      <c r="U769" s="10">
        <v>-1E-3</v>
      </c>
    </row>
    <row r="770" spans="1:21" customFormat="1">
      <c r="A770">
        <v>2</v>
      </c>
      <c r="B770">
        <v>50</v>
      </c>
      <c r="C770">
        <v>10</v>
      </c>
      <c r="D770">
        <v>6</v>
      </c>
      <c r="E770">
        <v>2020</v>
      </c>
      <c r="F770">
        <v>13302</v>
      </c>
      <c r="G770" t="str">
        <f>VLOOKUP(F770,'[1]Sheet 1'!$B$2:$E$347,2,FALSE)</f>
        <v>Metropolitana de Santiago</v>
      </c>
      <c r="H770" t="str">
        <f>VLOOKUP(F770,'[1]Sheet 1'!$B$2:$E$347,3,FALSE)</f>
        <v>Chacabuco</v>
      </c>
      <c r="I770" t="str">
        <f>VLOOKUP(F770,'[1]Sheet 1'!$B$2:$E$347,4,FALSE)</f>
        <v>Lampa</v>
      </c>
      <c r="J770" t="s">
        <v>136</v>
      </c>
      <c r="K770" s="3" t="s">
        <v>4</v>
      </c>
      <c r="L770" s="12" t="str">
        <f>VLOOKUP(K770,[2]Hoja4!$A$2:$C$443,2,FALSE)</f>
        <v>Intentional self-harm by hanging, strangulation and suffocation</v>
      </c>
      <c r="M770" s="12" t="str">
        <f>VLOOKUP(K770,[2]Hoja4!$A$2:$C$443,3,FALSE)</f>
        <v>At home</v>
      </c>
      <c r="N770" s="1">
        <v>-2</v>
      </c>
      <c r="O770" s="1">
        <v>16.100000000000001</v>
      </c>
      <c r="P770" s="1">
        <v>6.3</v>
      </c>
      <c r="Q770" s="1">
        <v>937.7</v>
      </c>
      <c r="R770" s="1"/>
      <c r="S770" s="1">
        <v>66.5</v>
      </c>
      <c r="T770" s="5">
        <v>0.1222</v>
      </c>
      <c r="U770" s="10">
        <v>-1E-3</v>
      </c>
    </row>
    <row r="771" spans="1:21" customFormat="1">
      <c r="A771">
        <v>1</v>
      </c>
      <c r="B771">
        <v>39</v>
      </c>
      <c r="C771">
        <v>10</v>
      </c>
      <c r="D771">
        <v>6</v>
      </c>
      <c r="E771">
        <v>2020</v>
      </c>
      <c r="F771">
        <v>13125</v>
      </c>
      <c r="G771" t="str">
        <f>VLOOKUP(F771,'[1]Sheet 1'!$B$2:$E$347,2,FALSE)</f>
        <v>Metropolitana de Santiago</v>
      </c>
      <c r="H771" t="str">
        <f>VLOOKUP(F771,'[1]Sheet 1'!$B$2:$E$347,3,FALSE)</f>
        <v>Santiago</v>
      </c>
      <c r="I771" t="str">
        <f>VLOOKUP(F771,'[1]Sheet 1'!$B$2:$E$347,4,FALSE)</f>
        <v>Quilicura</v>
      </c>
      <c r="J771" t="s">
        <v>136</v>
      </c>
      <c r="K771" s="3" t="s">
        <v>4</v>
      </c>
      <c r="L771" s="12" t="str">
        <f>VLOOKUP(K771,[2]Hoja4!$A$2:$C$443,2,FALSE)</f>
        <v>Intentional self-harm by hanging, strangulation and suffocation</v>
      </c>
      <c r="M771" s="12" t="str">
        <f>VLOOKUP(K771,[2]Hoja4!$A$2:$C$443,3,FALSE)</f>
        <v>At home</v>
      </c>
      <c r="N771" s="1">
        <v>-0.2</v>
      </c>
      <c r="O771" s="1">
        <v>16.600000000000001</v>
      </c>
      <c r="P771" s="1">
        <v>6.9</v>
      </c>
      <c r="Q771" s="1">
        <v>956.2</v>
      </c>
      <c r="R771" s="1"/>
      <c r="S771" s="1">
        <v>80.2</v>
      </c>
      <c r="T771" s="5">
        <v>0.1222</v>
      </c>
      <c r="U771" s="10">
        <v>-1E-3</v>
      </c>
    </row>
    <row r="772" spans="1:21" customFormat="1">
      <c r="A772">
        <v>1</v>
      </c>
      <c r="B772">
        <v>38</v>
      </c>
      <c r="C772">
        <v>10</v>
      </c>
      <c r="D772">
        <v>6</v>
      </c>
      <c r="E772">
        <v>2020</v>
      </c>
      <c r="F772">
        <v>13101</v>
      </c>
      <c r="G772" t="str">
        <f>VLOOKUP(F772,'[1]Sheet 1'!$B$2:$E$347,2,FALSE)</f>
        <v>Metropolitana de Santiago</v>
      </c>
      <c r="H772" t="str">
        <f>VLOOKUP(F772,'[1]Sheet 1'!$B$2:$E$347,3,FALSE)</f>
        <v>Santiago</v>
      </c>
      <c r="I772" t="str">
        <f>VLOOKUP(F772,'[1]Sheet 1'!$B$2:$E$347,4,FALSE)</f>
        <v>Santiago</v>
      </c>
      <c r="J772" t="s">
        <v>136</v>
      </c>
      <c r="K772" s="3" t="s">
        <v>4</v>
      </c>
      <c r="L772" s="12" t="str">
        <f>VLOOKUP(K772,[2]Hoja4!$A$2:$C$443,2,FALSE)</f>
        <v>Intentional self-harm by hanging, strangulation and suffocation</v>
      </c>
      <c r="M772" s="12" t="str">
        <f>VLOOKUP(K772,[2]Hoja4!$A$2:$C$443,3,FALSE)</f>
        <v>At home</v>
      </c>
      <c r="N772" s="1">
        <v>-0.2</v>
      </c>
      <c r="O772" s="1">
        <v>16.600000000000001</v>
      </c>
      <c r="P772" s="1">
        <v>6.9</v>
      </c>
      <c r="Q772" s="1">
        <v>956.2</v>
      </c>
      <c r="R772" s="1"/>
      <c r="S772" s="1">
        <v>80.2</v>
      </c>
      <c r="T772" s="5">
        <v>0.1222</v>
      </c>
      <c r="U772" s="10">
        <v>-1E-3</v>
      </c>
    </row>
    <row r="773" spans="1:21" customFormat="1">
      <c r="A773">
        <v>2</v>
      </c>
      <c r="B773">
        <v>27</v>
      </c>
      <c r="C773">
        <v>10</v>
      </c>
      <c r="D773">
        <v>6</v>
      </c>
      <c r="E773">
        <v>2020</v>
      </c>
      <c r="F773">
        <v>10101</v>
      </c>
      <c r="G773" t="str">
        <f>VLOOKUP(F773,'[1]Sheet 1'!$B$2:$E$347,2,FALSE)</f>
        <v>Los Lagos</v>
      </c>
      <c r="H773" t="str">
        <f>VLOOKUP(F773,'[1]Sheet 1'!$B$2:$E$347,3,FALSE)</f>
        <v>Llanquihue</v>
      </c>
      <c r="I773" t="str">
        <f>VLOOKUP(F773,'[1]Sheet 1'!$B$2:$E$347,4,FALSE)</f>
        <v>Puerto Montt</v>
      </c>
      <c r="J773" t="s">
        <v>136</v>
      </c>
      <c r="K773" s="3" t="s">
        <v>4</v>
      </c>
      <c r="L773" s="12" t="str">
        <f>VLOOKUP(K773,[2]Hoja4!$A$2:$C$443,2,FALSE)</f>
        <v>Intentional self-harm by hanging, strangulation and suffocation</v>
      </c>
      <c r="M773" s="12" t="str">
        <f>VLOOKUP(K773,[2]Hoja4!$A$2:$C$443,3,FALSE)</f>
        <v>At home</v>
      </c>
      <c r="N773" s="1">
        <v>8.8000000000000007</v>
      </c>
      <c r="O773" s="1">
        <v>11.6</v>
      </c>
      <c r="P773" s="1">
        <v>9.9</v>
      </c>
      <c r="Q773" s="1">
        <v>995.4</v>
      </c>
      <c r="R773" s="1">
        <v>23.4</v>
      </c>
      <c r="S773" s="1">
        <v>96</v>
      </c>
      <c r="T773" s="5">
        <v>0.1222</v>
      </c>
      <c r="U773" s="10">
        <v>-1E-3</v>
      </c>
    </row>
    <row r="774" spans="1:21" customFormat="1">
      <c r="A774">
        <v>1</v>
      </c>
      <c r="B774">
        <v>56</v>
      </c>
      <c r="C774">
        <v>11</v>
      </c>
      <c r="D774">
        <v>6</v>
      </c>
      <c r="E774">
        <v>2020</v>
      </c>
      <c r="F774">
        <v>10201</v>
      </c>
      <c r="G774" t="str">
        <f>VLOOKUP(F774,'[1]Sheet 1'!$B$2:$E$347,2,FALSE)</f>
        <v>Los Lagos</v>
      </c>
      <c r="H774" t="str">
        <f>VLOOKUP(F774,'[1]Sheet 1'!$B$2:$E$347,3,FALSE)</f>
        <v>Chiloé</v>
      </c>
      <c r="I774" t="str">
        <f>VLOOKUP(F774,'[1]Sheet 1'!$B$2:$E$347,4,FALSE)</f>
        <v>Castro</v>
      </c>
      <c r="J774" t="s">
        <v>136</v>
      </c>
      <c r="K774" s="3" t="s">
        <v>0</v>
      </c>
      <c r="L774" s="12" t="str">
        <f>VLOOKUP(K774,[2]Hoja4!$A$2:$C$443,2,FALSE)</f>
        <v>Intentional self-harm by hanging, strangulation and suffocation</v>
      </c>
      <c r="M774" s="12" t="str">
        <f>VLOOKUP(K774,[2]Hoja4!$A$2:$C$443,3,FALSE)</f>
        <v>Unspecified place</v>
      </c>
      <c r="N774" s="1">
        <v>8.4</v>
      </c>
      <c r="O774" s="1">
        <v>9.9</v>
      </c>
      <c r="P774" s="1">
        <v>9.3000000000000007</v>
      </c>
      <c r="Q774" s="1">
        <v>973.9</v>
      </c>
      <c r="R774" s="1">
        <v>8</v>
      </c>
      <c r="S774" s="1">
        <v>88.8</v>
      </c>
      <c r="T774" s="5">
        <v>0.1222</v>
      </c>
      <c r="U774" s="10">
        <v>-1E-3</v>
      </c>
    </row>
    <row r="775" spans="1:21" customFormat="1">
      <c r="A775">
        <v>1</v>
      </c>
      <c r="B775">
        <v>27</v>
      </c>
      <c r="C775">
        <v>11</v>
      </c>
      <c r="D775">
        <v>6</v>
      </c>
      <c r="E775">
        <v>2020</v>
      </c>
      <c r="F775">
        <v>13105</v>
      </c>
      <c r="G775" t="str">
        <f>VLOOKUP(F775,'[1]Sheet 1'!$B$2:$E$347,2,FALSE)</f>
        <v>Metropolitana de Santiago</v>
      </c>
      <c r="H775" t="str">
        <f>VLOOKUP(F775,'[1]Sheet 1'!$B$2:$E$347,3,FALSE)</f>
        <v>Santiago</v>
      </c>
      <c r="I775" t="str">
        <f>VLOOKUP(F775,'[1]Sheet 1'!$B$2:$E$347,4,FALSE)</f>
        <v>El Bosque</v>
      </c>
      <c r="J775" t="s">
        <v>136</v>
      </c>
      <c r="K775" s="3" t="s">
        <v>4</v>
      </c>
      <c r="L775" s="12" t="str">
        <f>VLOOKUP(K775,[2]Hoja4!$A$2:$C$443,2,FALSE)</f>
        <v>Intentional self-harm by hanging, strangulation and suffocation</v>
      </c>
      <c r="M775" s="12" t="str">
        <f>VLOOKUP(K775,[2]Hoja4!$A$2:$C$443,3,FALSE)</f>
        <v>At home</v>
      </c>
      <c r="N775" s="1">
        <v>-0.6</v>
      </c>
      <c r="O775" s="1">
        <v>12.2</v>
      </c>
      <c r="P775" s="1">
        <v>5.2</v>
      </c>
      <c r="Q775" s="1">
        <v>957.6</v>
      </c>
      <c r="R775" s="1"/>
      <c r="S775" s="1">
        <v>81</v>
      </c>
      <c r="T775" s="5">
        <v>0.1222</v>
      </c>
      <c r="U775" s="10">
        <v>-1E-3</v>
      </c>
    </row>
    <row r="776" spans="1:21" customFormat="1">
      <c r="A776">
        <v>1</v>
      </c>
      <c r="B776">
        <v>28</v>
      </c>
      <c r="C776">
        <v>11</v>
      </c>
      <c r="D776">
        <v>6</v>
      </c>
      <c r="E776">
        <v>2020</v>
      </c>
      <c r="F776">
        <v>8108</v>
      </c>
      <c r="G776" t="str">
        <f>VLOOKUP(F776,'[1]Sheet 1'!$B$2:$E$347,2,FALSE)</f>
        <v>Biobío</v>
      </c>
      <c r="H776" t="str">
        <f>VLOOKUP(F776,'[1]Sheet 1'!$B$2:$E$347,3,FALSE)</f>
        <v>Concepción</v>
      </c>
      <c r="I776" t="str">
        <f>VLOOKUP(F776,'[1]Sheet 1'!$B$2:$E$347,4,FALSE)</f>
        <v>San Pedro de la Paz</v>
      </c>
      <c r="J776" t="s">
        <v>142</v>
      </c>
      <c r="K776" s="3" t="s">
        <v>41</v>
      </c>
      <c r="L776" s="12" t="str">
        <f>VLOOKUP(K776,[2]Hoja4!$A$2:$C$443,2,FALSE)</f>
        <v>Intentional self-harm by handgun discharge</v>
      </c>
      <c r="M776" s="12" t="str">
        <f>VLOOKUP(K776,[2]Hoja4!$A$2:$C$443,3,FALSE)</f>
        <v>Unspecified place</v>
      </c>
      <c r="N776" s="1">
        <v>11.5</v>
      </c>
      <c r="O776" s="1">
        <v>13.5</v>
      </c>
      <c r="P776" s="1">
        <v>12.1</v>
      </c>
      <c r="Q776" s="1">
        <v>1009</v>
      </c>
      <c r="R776" s="1">
        <v>52</v>
      </c>
      <c r="S776" s="1">
        <v>92</v>
      </c>
      <c r="T776" s="5">
        <v>0.1222</v>
      </c>
      <c r="U776" s="10">
        <v>-1E-3</v>
      </c>
    </row>
    <row r="777" spans="1:21" customFormat="1">
      <c r="A777">
        <v>2</v>
      </c>
      <c r="B777">
        <v>19</v>
      </c>
      <c r="C777">
        <v>12</v>
      </c>
      <c r="D777">
        <v>6</v>
      </c>
      <c r="E777">
        <v>2020</v>
      </c>
      <c r="F777">
        <v>6201</v>
      </c>
      <c r="G777" t="str">
        <f>VLOOKUP(F777,'[1]Sheet 1'!$B$2:$E$347,2,FALSE)</f>
        <v>Libertador General Bernardo O'Higgins</v>
      </c>
      <c r="H777" t="str">
        <f>VLOOKUP(F777,'[1]Sheet 1'!$B$2:$E$347,3,FALSE)</f>
        <v>Cardenal Caro</v>
      </c>
      <c r="I777" t="str">
        <f>VLOOKUP(F777,'[1]Sheet 1'!$B$2:$E$347,4,FALSE)</f>
        <v>Pichilemu</v>
      </c>
      <c r="J777" t="s">
        <v>140</v>
      </c>
      <c r="K777" s="3" t="s">
        <v>20</v>
      </c>
      <c r="L777" s="12" t="str">
        <f>VLOOKUP(K777,[2]Hoja4!$A$2:$C$443,2,FALSE)</f>
        <v>Intentional self-poisoning by and exposure to other and unspecified drugs, medicaments and biological substances</v>
      </c>
      <c r="M777" s="12" t="str">
        <f>VLOOKUP(K777,[2]Hoja4!$A$2:$C$443,3,FALSE)</f>
        <v>Unspecified place</v>
      </c>
      <c r="N777" s="1">
        <v>8.5</v>
      </c>
      <c r="O777" s="1">
        <v>15.2</v>
      </c>
      <c r="P777" s="1">
        <v>10.4</v>
      </c>
      <c r="Q777" s="1">
        <v>1007.6</v>
      </c>
      <c r="R777" s="1"/>
      <c r="S777" s="1"/>
      <c r="T777" s="5">
        <v>0.1222</v>
      </c>
      <c r="U777" s="10">
        <v>-1E-3</v>
      </c>
    </row>
    <row r="778" spans="1:21" customFormat="1">
      <c r="A778">
        <v>1</v>
      </c>
      <c r="B778">
        <v>83</v>
      </c>
      <c r="C778">
        <v>13</v>
      </c>
      <c r="D778">
        <v>6</v>
      </c>
      <c r="E778">
        <v>2020</v>
      </c>
      <c r="F778">
        <v>5506</v>
      </c>
      <c r="G778" t="str">
        <f>VLOOKUP(F778,'[1]Sheet 1'!$B$2:$E$347,2,FALSE)</f>
        <v>Valparaíso</v>
      </c>
      <c r="H778" t="str">
        <f>VLOOKUP(F778,'[1]Sheet 1'!$B$2:$E$347,3,FALSE)</f>
        <v>Quillota</v>
      </c>
      <c r="I778" t="str">
        <f>VLOOKUP(F778,'[1]Sheet 1'!$B$2:$E$347,4,FALSE)</f>
        <v>Nogales</v>
      </c>
      <c r="J778" t="s">
        <v>141</v>
      </c>
      <c r="K778" s="3" t="s">
        <v>5</v>
      </c>
      <c r="L778" s="12" t="str">
        <f>VLOOKUP(K778,[2]Hoja4!$A$2:$C$443,2,FALSE)</f>
        <v>Intentional self-harm by other and unspecified firearm discharge</v>
      </c>
      <c r="M778" s="12" t="str">
        <f>VLOOKUP(K778,[2]Hoja4!$A$2:$C$443,3,FALSE)</f>
        <v>At home</v>
      </c>
      <c r="N778" s="1">
        <v>4.8</v>
      </c>
      <c r="O778" s="1" t="s">
        <v>100</v>
      </c>
      <c r="P778" s="1">
        <v>13.7</v>
      </c>
      <c r="Q778" s="1">
        <v>997.7</v>
      </c>
      <c r="R778" s="1">
        <v>0</v>
      </c>
      <c r="S778" s="1">
        <v>69.900000000000006</v>
      </c>
      <c r="T778" s="5">
        <v>0.1222</v>
      </c>
      <c r="U778" s="10">
        <v>-1E-3</v>
      </c>
    </row>
    <row r="779" spans="1:21" customFormat="1">
      <c r="A779">
        <v>1</v>
      </c>
      <c r="B779">
        <v>30</v>
      </c>
      <c r="C779">
        <v>13</v>
      </c>
      <c r="D779">
        <v>6</v>
      </c>
      <c r="E779">
        <v>2020</v>
      </c>
      <c r="F779">
        <v>8312</v>
      </c>
      <c r="G779" t="str">
        <f>VLOOKUP(F779,'[1]Sheet 1'!$B$2:$E$347,2,FALSE)</f>
        <v>Biobío</v>
      </c>
      <c r="H779" t="str">
        <f>VLOOKUP(F779,'[1]Sheet 1'!$B$2:$E$347,3,FALSE)</f>
        <v>Biobío</v>
      </c>
      <c r="I779" t="str">
        <f>VLOOKUP(F779,'[1]Sheet 1'!$B$2:$E$347,4,FALSE)</f>
        <v>Tucapel</v>
      </c>
      <c r="J779" t="s">
        <v>136</v>
      </c>
      <c r="K779" s="3" t="s">
        <v>2</v>
      </c>
      <c r="L779" s="12" t="str">
        <f>VLOOKUP(K779,[2]Hoja4!$A$2:$C$443,2,FALSE)</f>
        <v>Intentional self-harm by hanging, strangulation and suffocation</v>
      </c>
      <c r="M779" s="12" t="str">
        <f>VLOOKUP(K779,[2]Hoja4!$A$2:$C$443,3,FALSE)</f>
        <v>Street and highway</v>
      </c>
      <c r="N779" s="1">
        <v>-2</v>
      </c>
      <c r="O779" s="1">
        <v>14</v>
      </c>
      <c r="P779" s="1">
        <v>6</v>
      </c>
      <c r="Q779" s="1">
        <v>1010.3</v>
      </c>
      <c r="R779" s="1">
        <v>0</v>
      </c>
      <c r="S779" s="1">
        <v>93.5</v>
      </c>
      <c r="T779" s="5">
        <v>0.1222</v>
      </c>
      <c r="U779" s="10">
        <v>-1E-3</v>
      </c>
    </row>
    <row r="780" spans="1:21" customFormat="1">
      <c r="A780">
        <v>2</v>
      </c>
      <c r="B780">
        <v>22</v>
      </c>
      <c r="C780">
        <v>13</v>
      </c>
      <c r="D780">
        <v>6</v>
      </c>
      <c r="E780">
        <v>2020</v>
      </c>
      <c r="F780">
        <v>7304</v>
      </c>
      <c r="G780" t="str">
        <f>VLOOKUP(F780,'[1]Sheet 1'!$B$2:$E$347,2,FALSE)</f>
        <v>Maule</v>
      </c>
      <c r="H780" t="str">
        <f>VLOOKUP(F780,'[1]Sheet 1'!$B$2:$E$347,3,FALSE)</f>
        <v>Curicó</v>
      </c>
      <c r="I780" t="str">
        <f>VLOOKUP(F780,'[1]Sheet 1'!$B$2:$E$347,4,FALSE)</f>
        <v>Molina</v>
      </c>
      <c r="J780" t="s">
        <v>136</v>
      </c>
      <c r="K780" s="3" t="s">
        <v>0</v>
      </c>
      <c r="L780" s="12" t="str">
        <f>VLOOKUP(K780,[2]Hoja4!$A$2:$C$443,2,FALSE)</f>
        <v>Intentional self-harm by hanging, strangulation and suffocation</v>
      </c>
      <c r="M780" s="12" t="str">
        <f>VLOOKUP(K780,[2]Hoja4!$A$2:$C$443,3,FALSE)</f>
        <v>Unspecified place</v>
      </c>
      <c r="N780" s="1">
        <v>-0.3</v>
      </c>
      <c r="O780" s="1">
        <v>11.8</v>
      </c>
      <c r="P780" s="1">
        <v>4.8</v>
      </c>
      <c r="Q780" s="1">
        <v>994</v>
      </c>
      <c r="R780" s="1">
        <v>0</v>
      </c>
      <c r="S780" s="1">
        <v>88.5</v>
      </c>
      <c r="T780" s="5">
        <v>0.1222</v>
      </c>
      <c r="U780" s="10">
        <v>-1E-3</v>
      </c>
    </row>
    <row r="781" spans="1:21" customFormat="1">
      <c r="A781">
        <v>1</v>
      </c>
      <c r="B781">
        <v>24</v>
      </c>
      <c r="C781">
        <v>13</v>
      </c>
      <c r="D781">
        <v>6</v>
      </c>
      <c r="E781">
        <v>2020</v>
      </c>
      <c r="F781">
        <v>8101</v>
      </c>
      <c r="G781" t="str">
        <f>VLOOKUP(F781,'[1]Sheet 1'!$B$2:$E$347,2,FALSE)</f>
        <v>Biobío</v>
      </c>
      <c r="H781" t="str">
        <f>VLOOKUP(F781,'[1]Sheet 1'!$B$2:$E$347,3,FALSE)</f>
        <v>Concepción</v>
      </c>
      <c r="I781" t="str">
        <f>VLOOKUP(F781,'[1]Sheet 1'!$B$2:$E$347,4,FALSE)</f>
        <v>Concepción</v>
      </c>
      <c r="J781" t="s">
        <v>136</v>
      </c>
      <c r="K781" s="3" t="s">
        <v>0</v>
      </c>
      <c r="L781" s="12" t="str">
        <f>VLOOKUP(K781,[2]Hoja4!$A$2:$C$443,2,FALSE)</f>
        <v>Intentional self-harm by hanging, strangulation and suffocation</v>
      </c>
      <c r="M781" s="12" t="str">
        <f>VLOOKUP(K781,[2]Hoja4!$A$2:$C$443,3,FALSE)</f>
        <v>Unspecified place</v>
      </c>
      <c r="N781" s="1">
        <v>2.9</v>
      </c>
      <c r="O781" s="1">
        <v>12.7</v>
      </c>
      <c r="P781" s="1">
        <v>6.8</v>
      </c>
      <c r="Q781" s="1">
        <v>1021.6</v>
      </c>
      <c r="R781" s="1">
        <v>0</v>
      </c>
      <c r="S781" s="1">
        <v>84.5</v>
      </c>
      <c r="T781" s="5">
        <v>0.1222</v>
      </c>
      <c r="U781" s="10">
        <v>-1E-3</v>
      </c>
    </row>
    <row r="782" spans="1:21" customFormat="1">
      <c r="A782">
        <v>1</v>
      </c>
      <c r="B782">
        <v>27</v>
      </c>
      <c r="C782">
        <v>13</v>
      </c>
      <c r="D782">
        <v>6</v>
      </c>
      <c r="E782">
        <v>2020</v>
      </c>
      <c r="F782">
        <v>6303</v>
      </c>
      <c r="G782" t="str">
        <f>VLOOKUP(F782,'[1]Sheet 1'!$B$2:$E$347,2,FALSE)</f>
        <v>Libertador General Bernardo O'Higgins</v>
      </c>
      <c r="H782" t="str">
        <f>VLOOKUP(F782,'[1]Sheet 1'!$B$2:$E$347,3,FALSE)</f>
        <v>Colchagua</v>
      </c>
      <c r="I782" t="str">
        <f>VLOOKUP(F782,'[1]Sheet 1'!$B$2:$E$347,4,FALSE)</f>
        <v>Chimbarongo</v>
      </c>
      <c r="J782" t="s">
        <v>136</v>
      </c>
      <c r="K782" s="3" t="s">
        <v>0</v>
      </c>
      <c r="L782" s="12" t="str">
        <f>VLOOKUP(K782,[2]Hoja4!$A$2:$C$443,2,FALSE)</f>
        <v>Intentional self-harm by hanging, strangulation and suffocation</v>
      </c>
      <c r="M782" s="12" t="str">
        <f>VLOOKUP(K782,[2]Hoja4!$A$2:$C$443,3,FALSE)</f>
        <v>Unspecified place</v>
      </c>
      <c r="N782" s="1">
        <v>-0.1</v>
      </c>
      <c r="O782" s="1">
        <v>12</v>
      </c>
      <c r="P782" s="1">
        <v>4.4000000000000004</v>
      </c>
      <c r="Q782" s="1">
        <v>985.1</v>
      </c>
      <c r="R782" s="1">
        <v>0</v>
      </c>
      <c r="S782" s="1">
        <v>88.8</v>
      </c>
      <c r="T782" s="5">
        <v>0.1222</v>
      </c>
      <c r="U782" s="10">
        <v>-1E-3</v>
      </c>
    </row>
    <row r="783" spans="1:21" customFormat="1">
      <c r="A783">
        <v>2</v>
      </c>
      <c r="B783">
        <v>78</v>
      </c>
      <c r="C783">
        <v>14</v>
      </c>
      <c r="D783">
        <v>6</v>
      </c>
      <c r="E783">
        <v>2020</v>
      </c>
      <c r="F783">
        <v>4301</v>
      </c>
      <c r="G783" t="str">
        <f>VLOOKUP(F783,'[1]Sheet 1'!$B$2:$E$347,2,FALSE)</f>
        <v>Coquimbo</v>
      </c>
      <c r="H783" t="str">
        <f>VLOOKUP(F783,'[1]Sheet 1'!$B$2:$E$347,3,FALSE)</f>
        <v>Limarí</v>
      </c>
      <c r="I783" t="str">
        <f>VLOOKUP(F783,'[1]Sheet 1'!$B$2:$E$347,4,FALSE)</f>
        <v>Ovalle</v>
      </c>
      <c r="J783" t="s">
        <v>168</v>
      </c>
      <c r="K783" s="3" t="s">
        <v>10</v>
      </c>
      <c r="L783" s="12" t="str">
        <f>VLOOKUP(K783,[2]Hoja4!$A$2:$C$443,2,FALSE)</f>
        <v>Intentional self-harm by unspecified means</v>
      </c>
      <c r="M783" s="12" t="str">
        <f>VLOOKUP(K783,[2]Hoja4!$A$2:$C$443,3,FALSE)</f>
        <v>At home</v>
      </c>
      <c r="N783" s="1">
        <v>6.6</v>
      </c>
      <c r="O783" s="1">
        <v>17.399999999999999</v>
      </c>
      <c r="P783" s="1">
        <v>12.1</v>
      </c>
      <c r="Q783" s="1">
        <v>976.9</v>
      </c>
      <c r="R783" s="1">
        <v>0</v>
      </c>
      <c r="S783" s="1">
        <v>64.7</v>
      </c>
      <c r="T783" s="5">
        <v>0.1222</v>
      </c>
      <c r="U783" s="10">
        <v>-1E-3</v>
      </c>
    </row>
    <row r="784" spans="1:21" customFormat="1">
      <c r="A784">
        <v>1</v>
      </c>
      <c r="B784">
        <v>70</v>
      </c>
      <c r="C784">
        <v>14</v>
      </c>
      <c r="D784">
        <v>6</v>
      </c>
      <c r="E784">
        <v>2020</v>
      </c>
      <c r="F784">
        <v>13201</v>
      </c>
      <c r="G784" t="str">
        <f>VLOOKUP(F784,'[1]Sheet 1'!$B$2:$E$347,2,FALSE)</f>
        <v>Metropolitana de Santiago</v>
      </c>
      <c r="H784" t="str">
        <f>VLOOKUP(F784,'[1]Sheet 1'!$B$2:$E$347,3,FALSE)</f>
        <v>Cordillera</v>
      </c>
      <c r="I784" t="str">
        <f>VLOOKUP(F784,'[1]Sheet 1'!$B$2:$E$347,4,FALSE)</f>
        <v>Puente Alto</v>
      </c>
      <c r="J784" t="s">
        <v>136</v>
      </c>
      <c r="K784" s="3" t="s">
        <v>0</v>
      </c>
      <c r="L784" s="12" t="str">
        <f>VLOOKUP(K784,[2]Hoja4!$A$2:$C$443,2,FALSE)</f>
        <v>Intentional self-harm by hanging, strangulation and suffocation</v>
      </c>
      <c r="M784" s="12" t="str">
        <f>VLOOKUP(K784,[2]Hoja4!$A$2:$C$443,3,FALSE)</f>
        <v>Unspecified place</v>
      </c>
      <c r="N784" s="1">
        <v>-0.6</v>
      </c>
      <c r="O784" s="1">
        <v>28.1</v>
      </c>
      <c r="P784" s="1">
        <v>9.5</v>
      </c>
      <c r="Q784" s="1">
        <v>935</v>
      </c>
      <c r="R784" s="1">
        <v>0</v>
      </c>
      <c r="S784" s="1">
        <v>69.099999999999994</v>
      </c>
      <c r="T784" s="5">
        <v>0.1222</v>
      </c>
      <c r="U784" s="10">
        <v>-1E-3</v>
      </c>
    </row>
    <row r="785" spans="1:21" customFormat="1">
      <c r="A785">
        <v>1</v>
      </c>
      <c r="B785">
        <v>78</v>
      </c>
      <c r="C785">
        <v>15</v>
      </c>
      <c r="D785">
        <v>6</v>
      </c>
      <c r="E785">
        <v>2020</v>
      </c>
      <c r="F785">
        <v>4203</v>
      </c>
      <c r="G785" t="str">
        <f>VLOOKUP(F785,'[1]Sheet 1'!$B$2:$E$347,2,FALSE)</f>
        <v>Coquimbo</v>
      </c>
      <c r="H785" t="str">
        <f>VLOOKUP(F785,'[1]Sheet 1'!$B$2:$E$347,3,FALSE)</f>
        <v>Choapa</v>
      </c>
      <c r="I785" t="str">
        <f>VLOOKUP(F785,'[1]Sheet 1'!$B$2:$E$347,4,FALSE)</f>
        <v>Los Vilos</v>
      </c>
      <c r="J785" t="s">
        <v>136</v>
      </c>
      <c r="K785" s="3" t="s">
        <v>4</v>
      </c>
      <c r="L785" s="12" t="str">
        <f>VLOOKUP(K785,[2]Hoja4!$A$2:$C$443,2,FALSE)</f>
        <v>Intentional self-harm by hanging, strangulation and suffocation</v>
      </c>
      <c r="M785" s="12" t="str">
        <f>VLOOKUP(K785,[2]Hoja4!$A$2:$C$443,3,FALSE)</f>
        <v>At home</v>
      </c>
      <c r="N785" s="1">
        <v>5.2</v>
      </c>
      <c r="O785" s="1">
        <v>18.899999999999999</v>
      </c>
      <c r="P785" s="1">
        <v>11.3</v>
      </c>
      <c r="Q785" s="1">
        <v>978</v>
      </c>
      <c r="R785" s="1">
        <v>0</v>
      </c>
      <c r="S785" s="1">
        <v>83.8</v>
      </c>
      <c r="T785" s="5">
        <v>0.1222</v>
      </c>
      <c r="U785" s="10">
        <v>-1E-3</v>
      </c>
    </row>
    <row r="786" spans="1:21" customFormat="1">
      <c r="A786">
        <v>2</v>
      </c>
      <c r="B786">
        <v>42</v>
      </c>
      <c r="C786">
        <v>15</v>
      </c>
      <c r="D786">
        <v>6</v>
      </c>
      <c r="E786">
        <v>2020</v>
      </c>
      <c r="F786">
        <v>3101</v>
      </c>
      <c r="G786" t="str">
        <f>VLOOKUP(F786,'[1]Sheet 1'!$B$2:$E$347,2,FALSE)</f>
        <v>Atacama</v>
      </c>
      <c r="H786" t="str">
        <f>VLOOKUP(F786,'[1]Sheet 1'!$B$2:$E$347,3,FALSE)</f>
        <v>Copiapó</v>
      </c>
      <c r="I786" t="str">
        <f>VLOOKUP(F786,'[1]Sheet 1'!$B$2:$E$347,4,FALSE)</f>
        <v>Copiapó</v>
      </c>
      <c r="J786" t="s">
        <v>140</v>
      </c>
      <c r="K786" s="3" t="s">
        <v>33</v>
      </c>
      <c r="L786" s="12" t="str">
        <f>VLOOKUP(K786,[2]Hoja4!$A$2:$C$443,2,FALSE)</f>
        <v>Intentional self-poisoning by and exposure to other and unspecified drugs, medicaments and biological substances</v>
      </c>
      <c r="M786" s="12" t="str">
        <f>VLOOKUP(K786,[2]Hoja4!$A$2:$C$443,3,FALSE)</f>
        <v>Other specified places</v>
      </c>
      <c r="N786" s="1">
        <v>12.2</v>
      </c>
      <c r="O786" s="1">
        <v>15</v>
      </c>
      <c r="P786" s="1">
        <v>13.7</v>
      </c>
      <c r="Q786" s="1">
        <v>995</v>
      </c>
      <c r="R786" s="1">
        <v>0</v>
      </c>
      <c r="S786" s="1">
        <v>76.8</v>
      </c>
      <c r="T786" s="5">
        <v>0.1222</v>
      </c>
      <c r="U786" s="10">
        <v>-1E-3</v>
      </c>
    </row>
    <row r="787" spans="1:21" customFormat="1">
      <c r="A787">
        <v>1</v>
      </c>
      <c r="B787">
        <v>81</v>
      </c>
      <c r="C787">
        <v>16</v>
      </c>
      <c r="D787">
        <v>6</v>
      </c>
      <c r="E787">
        <v>2020</v>
      </c>
      <c r="F787">
        <v>13120</v>
      </c>
      <c r="G787" t="str">
        <f>VLOOKUP(F787,'[1]Sheet 1'!$B$2:$E$347,2,FALSE)</f>
        <v>Metropolitana de Santiago</v>
      </c>
      <c r="H787" t="str">
        <f>VLOOKUP(F787,'[1]Sheet 1'!$B$2:$E$347,3,FALSE)</f>
        <v>Santiago</v>
      </c>
      <c r="I787" t="str">
        <f>VLOOKUP(F787,'[1]Sheet 1'!$B$2:$E$347,4,FALSE)</f>
        <v>Ñuñoa</v>
      </c>
      <c r="J787" t="s">
        <v>136</v>
      </c>
      <c r="K787" s="3" t="s">
        <v>0</v>
      </c>
      <c r="L787" s="12" t="str">
        <f>VLOOKUP(K787,[2]Hoja4!$A$2:$C$443,2,FALSE)</f>
        <v>Intentional self-harm by hanging, strangulation and suffocation</v>
      </c>
      <c r="M787" s="12" t="str">
        <f>VLOOKUP(K787,[2]Hoja4!$A$2:$C$443,3,FALSE)</f>
        <v>Unspecified place</v>
      </c>
      <c r="N787" s="1">
        <v>5.3</v>
      </c>
      <c r="O787" s="1">
        <v>14.1</v>
      </c>
      <c r="P787" s="1">
        <v>8.9</v>
      </c>
      <c r="Q787" s="1">
        <v>953.6</v>
      </c>
      <c r="R787" s="1"/>
      <c r="S787" s="1">
        <v>87.8</v>
      </c>
      <c r="T787" s="5">
        <v>0.1222</v>
      </c>
      <c r="U787" s="10">
        <v>-1E-3</v>
      </c>
    </row>
    <row r="788" spans="1:21" customFormat="1">
      <c r="A788">
        <v>2</v>
      </c>
      <c r="B788">
        <v>54</v>
      </c>
      <c r="C788">
        <v>16</v>
      </c>
      <c r="D788">
        <v>6</v>
      </c>
      <c r="E788">
        <v>2020</v>
      </c>
      <c r="F788">
        <v>7105</v>
      </c>
      <c r="G788" t="str">
        <f>VLOOKUP(F788,'[1]Sheet 1'!$B$2:$E$347,2,FALSE)</f>
        <v>Maule</v>
      </c>
      <c r="H788" t="str">
        <f>VLOOKUP(F788,'[1]Sheet 1'!$B$2:$E$347,3,FALSE)</f>
        <v>Talca</v>
      </c>
      <c r="I788" t="str">
        <f>VLOOKUP(F788,'[1]Sheet 1'!$B$2:$E$347,4,FALSE)</f>
        <v>Maule</v>
      </c>
      <c r="J788" t="s">
        <v>136</v>
      </c>
      <c r="K788" s="3" t="s">
        <v>4</v>
      </c>
      <c r="L788" s="12" t="str">
        <f>VLOOKUP(K788,[2]Hoja4!$A$2:$C$443,2,FALSE)</f>
        <v>Intentional self-harm by hanging, strangulation and suffocation</v>
      </c>
      <c r="M788" s="12" t="str">
        <f>VLOOKUP(K788,[2]Hoja4!$A$2:$C$443,3,FALSE)</f>
        <v>At home</v>
      </c>
      <c r="N788" s="1">
        <v>10.7</v>
      </c>
      <c r="O788" s="1">
        <v>14.1</v>
      </c>
      <c r="P788" s="1">
        <v>12</v>
      </c>
      <c r="Q788" s="1">
        <v>999.9</v>
      </c>
      <c r="R788" s="1">
        <v>2.9</v>
      </c>
      <c r="S788" s="1">
        <v>96.1</v>
      </c>
      <c r="T788" s="5">
        <v>0.1222</v>
      </c>
      <c r="U788" s="10">
        <v>-1E-3</v>
      </c>
    </row>
    <row r="789" spans="1:21" customFormat="1">
      <c r="A789">
        <v>2</v>
      </c>
      <c r="B789">
        <v>35</v>
      </c>
      <c r="C789">
        <v>16</v>
      </c>
      <c r="D789">
        <v>6</v>
      </c>
      <c r="E789">
        <v>2020</v>
      </c>
      <c r="F789">
        <v>13404</v>
      </c>
      <c r="G789" t="str">
        <f>VLOOKUP(F789,'[1]Sheet 1'!$B$2:$E$347,2,FALSE)</f>
        <v>Metropolitana de Santiago</v>
      </c>
      <c r="H789" t="str">
        <f>VLOOKUP(F789,'[1]Sheet 1'!$B$2:$E$347,3,FALSE)</f>
        <v>Maipo</v>
      </c>
      <c r="I789" t="str">
        <f>VLOOKUP(F789,'[1]Sheet 1'!$B$2:$E$347,4,FALSE)</f>
        <v>Paine</v>
      </c>
      <c r="J789" t="s">
        <v>138</v>
      </c>
      <c r="K789" s="3" t="s">
        <v>9</v>
      </c>
      <c r="L789" s="12" t="str">
        <f>VLOOKUP(K789,[2]Hoja4!$A$2:$C$443,2,FALSE)</f>
        <v>Intentional self-harm by jumping from a high place</v>
      </c>
      <c r="M789" s="12" t="str">
        <f>VLOOKUP(K789,[2]Hoja4!$A$2:$C$443,3,FALSE)</f>
        <v>Unspecified place</v>
      </c>
      <c r="N789" s="1">
        <v>4.3</v>
      </c>
      <c r="O789" s="1">
        <v>13.4</v>
      </c>
      <c r="P789" s="1">
        <v>8.4</v>
      </c>
      <c r="Q789" s="1">
        <v>962.6</v>
      </c>
      <c r="R789" s="1">
        <v>3.6</v>
      </c>
      <c r="S789" s="1">
        <v>91.4</v>
      </c>
      <c r="T789" s="5">
        <v>0.1222</v>
      </c>
      <c r="U789" s="10">
        <v>-1E-3</v>
      </c>
    </row>
    <row r="790" spans="1:21" customFormat="1">
      <c r="A790">
        <v>1</v>
      </c>
      <c r="B790">
        <v>21</v>
      </c>
      <c r="C790">
        <v>17</v>
      </c>
      <c r="D790">
        <v>6</v>
      </c>
      <c r="E790">
        <v>2020</v>
      </c>
      <c r="F790">
        <v>16302</v>
      </c>
      <c r="G790" t="str">
        <f>VLOOKUP(F790,'[1]Sheet 1'!$B$2:$E$347,2,FALSE)</f>
        <v>Ñuble</v>
      </c>
      <c r="H790" t="str">
        <f>VLOOKUP(F790,'[1]Sheet 1'!$B$2:$E$347,3,FALSE)</f>
        <v>Punilla</v>
      </c>
      <c r="I790" t="str">
        <f>VLOOKUP(F790,'[1]Sheet 1'!$B$2:$E$347,4,FALSE)</f>
        <v>Coihueco</v>
      </c>
      <c r="J790" t="s">
        <v>136</v>
      </c>
      <c r="K790" s="3" t="s">
        <v>4</v>
      </c>
      <c r="L790" s="12" t="str">
        <f>VLOOKUP(K790,[2]Hoja4!$A$2:$C$443,2,FALSE)</f>
        <v>Intentional self-harm by hanging, strangulation and suffocation</v>
      </c>
      <c r="M790" s="12" t="str">
        <f>VLOOKUP(K790,[2]Hoja4!$A$2:$C$443,3,FALSE)</f>
        <v>At home</v>
      </c>
      <c r="N790" s="1"/>
      <c r="O790" s="1"/>
      <c r="P790" s="1"/>
      <c r="Q790" s="1"/>
      <c r="R790" s="1"/>
      <c r="S790" s="1"/>
      <c r="T790" s="5">
        <v>0.1222</v>
      </c>
      <c r="U790" s="10">
        <v>-1E-3</v>
      </c>
    </row>
    <row r="791" spans="1:21" customFormat="1">
      <c r="A791">
        <v>2</v>
      </c>
      <c r="B791">
        <v>25</v>
      </c>
      <c r="C791">
        <v>17</v>
      </c>
      <c r="D791">
        <v>6</v>
      </c>
      <c r="E791">
        <v>2020</v>
      </c>
      <c r="F791">
        <v>10101</v>
      </c>
      <c r="G791" t="str">
        <f>VLOOKUP(F791,'[1]Sheet 1'!$B$2:$E$347,2,FALSE)</f>
        <v>Los Lagos</v>
      </c>
      <c r="H791" t="str">
        <f>VLOOKUP(F791,'[1]Sheet 1'!$B$2:$E$347,3,FALSE)</f>
        <v>Llanquihue</v>
      </c>
      <c r="I791" t="str">
        <f>VLOOKUP(F791,'[1]Sheet 1'!$B$2:$E$347,4,FALSE)</f>
        <v>Puerto Montt</v>
      </c>
      <c r="J791" t="s">
        <v>140</v>
      </c>
      <c r="K791" s="3" t="s">
        <v>28</v>
      </c>
      <c r="L791" s="12" t="str">
        <f>VLOOKUP(K791,[2]Hoja4!$A$2:$C$443,2,FALSE)</f>
        <v>Intentional self-poisoning by and exposure to other and unspecified drugs, medicaments and biological substances</v>
      </c>
      <c r="M791" s="12" t="str">
        <f>VLOOKUP(K791,[2]Hoja4!$A$2:$C$443,3,FALSE)</f>
        <v>At home</v>
      </c>
      <c r="N791" s="1">
        <v>9</v>
      </c>
      <c r="O791" s="1">
        <v>12.8</v>
      </c>
      <c r="P791" s="1">
        <v>10.6</v>
      </c>
      <c r="Q791" s="1">
        <v>998</v>
      </c>
      <c r="R791" s="1">
        <v>10.199999999999999</v>
      </c>
      <c r="S791" s="1">
        <v>87.5</v>
      </c>
      <c r="T791" s="5">
        <v>0.1222</v>
      </c>
      <c r="U791" s="10">
        <v>-1E-3</v>
      </c>
    </row>
    <row r="792" spans="1:21" customFormat="1">
      <c r="A792">
        <v>1</v>
      </c>
      <c r="B792">
        <v>84</v>
      </c>
      <c r="C792">
        <v>18</v>
      </c>
      <c r="D792">
        <v>6</v>
      </c>
      <c r="E792">
        <v>2020</v>
      </c>
      <c r="F792">
        <v>7101</v>
      </c>
      <c r="G792" t="str">
        <f>VLOOKUP(F792,'[1]Sheet 1'!$B$2:$E$347,2,FALSE)</f>
        <v>Maule</v>
      </c>
      <c r="H792" t="str">
        <f>VLOOKUP(F792,'[1]Sheet 1'!$B$2:$E$347,3,FALSE)</f>
        <v>Talca</v>
      </c>
      <c r="I792" t="str">
        <f>VLOOKUP(F792,'[1]Sheet 1'!$B$2:$E$347,4,FALSE)</f>
        <v>Talca</v>
      </c>
      <c r="J792" t="s">
        <v>136</v>
      </c>
      <c r="K792" s="3" t="s">
        <v>4</v>
      </c>
      <c r="L792" s="12" t="str">
        <f>VLOOKUP(K792,[2]Hoja4!$A$2:$C$443,2,FALSE)</f>
        <v>Intentional self-harm by hanging, strangulation and suffocation</v>
      </c>
      <c r="M792" s="12" t="str">
        <f>VLOOKUP(K792,[2]Hoja4!$A$2:$C$443,3,FALSE)</f>
        <v>At home</v>
      </c>
      <c r="N792" s="1">
        <v>9.3000000000000007</v>
      </c>
      <c r="O792" s="1">
        <v>14.3</v>
      </c>
      <c r="P792" s="1">
        <v>11.3</v>
      </c>
      <c r="Q792" s="1">
        <v>1002.2</v>
      </c>
      <c r="R792" s="1">
        <v>6.8</v>
      </c>
      <c r="S792" s="1">
        <v>81.3</v>
      </c>
      <c r="T792" s="5">
        <v>0.1222</v>
      </c>
      <c r="U792" s="10">
        <v>-1E-3</v>
      </c>
    </row>
    <row r="793" spans="1:21" customFormat="1">
      <c r="A793">
        <v>1</v>
      </c>
      <c r="B793">
        <v>61</v>
      </c>
      <c r="C793">
        <v>18</v>
      </c>
      <c r="D793">
        <v>6</v>
      </c>
      <c r="E793">
        <v>2020</v>
      </c>
      <c r="F793">
        <v>9111</v>
      </c>
      <c r="G793" t="str">
        <f>VLOOKUP(F793,'[1]Sheet 1'!$B$2:$E$347,2,FALSE)</f>
        <v>La Araucanía</v>
      </c>
      <c r="H793" t="str">
        <f>VLOOKUP(F793,'[1]Sheet 1'!$B$2:$E$347,3,FALSE)</f>
        <v>Cautín</v>
      </c>
      <c r="I793" t="str">
        <f>VLOOKUP(F793,'[1]Sheet 1'!$B$2:$E$347,4,FALSE)</f>
        <v>Nueva Imperial</v>
      </c>
      <c r="J793" t="s">
        <v>136</v>
      </c>
      <c r="K793" s="3" t="s">
        <v>0</v>
      </c>
      <c r="L793" s="12" t="str">
        <f>VLOOKUP(K793,[2]Hoja4!$A$2:$C$443,2,FALSE)</f>
        <v>Intentional self-harm by hanging, strangulation and suffocation</v>
      </c>
      <c r="M793" s="12" t="str">
        <f>VLOOKUP(K793,[2]Hoja4!$A$2:$C$443,3,FALSE)</f>
        <v>Unspecified place</v>
      </c>
      <c r="N793" s="1">
        <v>9.4</v>
      </c>
      <c r="O793" s="1">
        <v>11.8</v>
      </c>
      <c r="P793" s="1">
        <v>10.7</v>
      </c>
      <c r="Q793" s="1">
        <v>993.7</v>
      </c>
      <c r="R793" s="1">
        <v>33</v>
      </c>
      <c r="S793" s="1">
        <v>91.8</v>
      </c>
      <c r="T793" s="5">
        <v>0.1222</v>
      </c>
      <c r="U793" s="10">
        <v>-1E-3</v>
      </c>
    </row>
    <row r="794" spans="1:21" customFormat="1">
      <c r="A794">
        <v>2</v>
      </c>
      <c r="B794">
        <v>45</v>
      </c>
      <c r="C794">
        <v>18</v>
      </c>
      <c r="D794">
        <v>6</v>
      </c>
      <c r="E794">
        <v>2020</v>
      </c>
      <c r="F794">
        <v>1101</v>
      </c>
      <c r="G794" t="str">
        <f>VLOOKUP(F794,'[1]Sheet 1'!$B$2:$E$347,2,FALSE)</f>
        <v>Tarapacá</v>
      </c>
      <c r="H794" t="str">
        <f>VLOOKUP(F794,'[1]Sheet 1'!$B$2:$E$347,3,FALSE)</f>
        <v>Iquique</v>
      </c>
      <c r="I794" t="str">
        <f>VLOOKUP(F794,'[1]Sheet 1'!$B$2:$E$347,4,FALSE)</f>
        <v>Iquique</v>
      </c>
      <c r="J794" t="s">
        <v>136</v>
      </c>
      <c r="K794" s="3" t="s">
        <v>4</v>
      </c>
      <c r="L794" s="12" t="str">
        <f>VLOOKUP(K794,[2]Hoja4!$A$2:$C$443,2,FALSE)</f>
        <v>Intentional self-harm by hanging, strangulation and suffocation</v>
      </c>
      <c r="M794" s="12" t="str">
        <f>VLOOKUP(K794,[2]Hoja4!$A$2:$C$443,3,FALSE)</f>
        <v>At home</v>
      </c>
      <c r="N794" s="1">
        <v>13.8</v>
      </c>
      <c r="O794" s="1">
        <v>17.399999999999999</v>
      </c>
      <c r="P794" s="1">
        <v>15.7</v>
      </c>
      <c r="Q794" s="1">
        <v>1012.8</v>
      </c>
      <c r="R794" s="1">
        <v>0</v>
      </c>
      <c r="S794" s="1">
        <v>76.8</v>
      </c>
      <c r="T794" s="5">
        <v>0.1222</v>
      </c>
      <c r="U794" s="10">
        <v>-1E-3</v>
      </c>
    </row>
    <row r="795" spans="1:21" customFormat="1">
      <c r="A795">
        <v>1</v>
      </c>
      <c r="B795">
        <v>77</v>
      </c>
      <c r="C795">
        <v>19</v>
      </c>
      <c r="D795">
        <v>6</v>
      </c>
      <c r="E795">
        <v>2020</v>
      </c>
      <c r="F795">
        <v>6101</v>
      </c>
      <c r="G795" t="str">
        <f>VLOOKUP(F795,'[1]Sheet 1'!$B$2:$E$347,2,FALSE)</f>
        <v>Libertador General Bernardo O'Higgins</v>
      </c>
      <c r="H795" t="str">
        <f>VLOOKUP(F795,'[1]Sheet 1'!$B$2:$E$347,3,FALSE)</f>
        <v>Cachapoal</v>
      </c>
      <c r="I795" t="str">
        <f>VLOOKUP(F795,'[1]Sheet 1'!$B$2:$E$347,4,FALSE)</f>
        <v>Rancagua</v>
      </c>
      <c r="J795" t="s">
        <v>136</v>
      </c>
      <c r="K795" s="3" t="s">
        <v>0</v>
      </c>
      <c r="L795" s="12" t="str">
        <f>VLOOKUP(K795,[2]Hoja4!$A$2:$C$443,2,FALSE)</f>
        <v>Intentional self-harm by hanging, strangulation and suffocation</v>
      </c>
      <c r="M795" s="12" t="str">
        <f>VLOOKUP(K795,[2]Hoja4!$A$2:$C$443,3,FALSE)</f>
        <v>Unspecified place</v>
      </c>
      <c r="N795" s="1">
        <v>7.4</v>
      </c>
      <c r="O795" s="1">
        <v>11.4</v>
      </c>
      <c r="P795" s="1">
        <v>10.199999999999999</v>
      </c>
      <c r="Q795" s="1">
        <v>961.7</v>
      </c>
      <c r="R795" s="1">
        <v>13.8</v>
      </c>
      <c r="S795" s="1">
        <v>96.8</v>
      </c>
      <c r="T795" s="5">
        <v>0.1222</v>
      </c>
      <c r="U795" s="10">
        <v>-1E-3</v>
      </c>
    </row>
    <row r="796" spans="1:21" customFormat="1">
      <c r="A796">
        <v>2</v>
      </c>
      <c r="B796">
        <v>61</v>
      </c>
      <c r="C796">
        <v>19</v>
      </c>
      <c r="D796">
        <v>6</v>
      </c>
      <c r="E796">
        <v>2020</v>
      </c>
      <c r="F796">
        <v>5701</v>
      </c>
      <c r="G796" t="str">
        <f>VLOOKUP(F796,'[1]Sheet 1'!$B$2:$E$347,2,FALSE)</f>
        <v>Valparaíso</v>
      </c>
      <c r="H796" t="str">
        <f>VLOOKUP(F796,'[1]Sheet 1'!$B$2:$E$347,3,FALSE)</f>
        <v>San Felipe de Aconcagua</v>
      </c>
      <c r="I796" t="str">
        <f>VLOOKUP(F796,'[1]Sheet 1'!$B$2:$E$347,4,FALSE)</f>
        <v>San Felipe</v>
      </c>
      <c r="J796" t="s">
        <v>136</v>
      </c>
      <c r="K796" s="3" t="s">
        <v>4</v>
      </c>
      <c r="L796" s="12" t="str">
        <f>VLOOKUP(K796,[2]Hoja4!$A$2:$C$443,2,FALSE)</f>
        <v>Intentional self-harm by hanging, strangulation and suffocation</v>
      </c>
      <c r="M796" s="12" t="str">
        <f>VLOOKUP(K796,[2]Hoja4!$A$2:$C$443,3,FALSE)</f>
        <v>At home</v>
      </c>
      <c r="N796" s="1">
        <v>6.3</v>
      </c>
      <c r="O796" s="1">
        <v>18.3</v>
      </c>
      <c r="P796" s="1">
        <v>9.9</v>
      </c>
      <c r="Q796" s="1">
        <v>941.7</v>
      </c>
      <c r="R796" s="1">
        <v>0</v>
      </c>
      <c r="S796" s="1">
        <v>75.400000000000006</v>
      </c>
      <c r="T796" s="5">
        <v>0.1222</v>
      </c>
      <c r="U796" s="10">
        <v>-1E-3</v>
      </c>
    </row>
    <row r="797" spans="1:21" customFormat="1">
      <c r="A797">
        <v>1</v>
      </c>
      <c r="B797">
        <v>57</v>
      </c>
      <c r="C797">
        <v>19</v>
      </c>
      <c r="D797">
        <v>6</v>
      </c>
      <c r="E797">
        <v>2020</v>
      </c>
      <c r="F797">
        <v>13301</v>
      </c>
      <c r="G797" t="str">
        <f>VLOOKUP(F797,'[1]Sheet 1'!$B$2:$E$347,2,FALSE)</f>
        <v>Metropolitana de Santiago</v>
      </c>
      <c r="H797" t="str">
        <f>VLOOKUP(F797,'[1]Sheet 1'!$B$2:$E$347,3,FALSE)</f>
        <v>Chacabuco</v>
      </c>
      <c r="I797" t="str">
        <f>VLOOKUP(F797,'[1]Sheet 1'!$B$2:$E$347,4,FALSE)</f>
        <v>Colina</v>
      </c>
      <c r="J797" t="s">
        <v>136</v>
      </c>
      <c r="K797" s="3" t="s">
        <v>0</v>
      </c>
      <c r="L797" s="12" t="str">
        <f>VLOOKUP(K797,[2]Hoja4!$A$2:$C$443,2,FALSE)</f>
        <v>Intentional self-harm by hanging, strangulation and suffocation</v>
      </c>
      <c r="M797" s="12" t="str">
        <f>VLOOKUP(K797,[2]Hoja4!$A$2:$C$443,3,FALSE)</f>
        <v>Unspecified place</v>
      </c>
      <c r="N797" s="1">
        <v>7.1</v>
      </c>
      <c r="O797" s="1">
        <v>15</v>
      </c>
      <c r="P797" s="1">
        <v>10.5</v>
      </c>
      <c r="Q797" s="1">
        <v>939.9</v>
      </c>
      <c r="R797" s="1"/>
      <c r="S797" s="1">
        <v>72</v>
      </c>
      <c r="T797" s="5">
        <v>0.1222</v>
      </c>
      <c r="U797" s="10">
        <v>-1E-3</v>
      </c>
    </row>
    <row r="798" spans="1:21" customFormat="1">
      <c r="A798">
        <v>1</v>
      </c>
      <c r="B798">
        <v>55</v>
      </c>
      <c r="C798">
        <v>19</v>
      </c>
      <c r="D798">
        <v>6</v>
      </c>
      <c r="E798">
        <v>2020</v>
      </c>
      <c r="F798">
        <v>13201</v>
      </c>
      <c r="G798" t="str">
        <f>VLOOKUP(F798,'[1]Sheet 1'!$B$2:$E$347,2,FALSE)</f>
        <v>Metropolitana de Santiago</v>
      </c>
      <c r="H798" t="str">
        <f>VLOOKUP(F798,'[1]Sheet 1'!$B$2:$E$347,3,FALSE)</f>
        <v>Cordillera</v>
      </c>
      <c r="I798" t="str">
        <f>VLOOKUP(F798,'[1]Sheet 1'!$B$2:$E$347,4,FALSE)</f>
        <v>Puente Alto</v>
      </c>
      <c r="J798" t="s">
        <v>136</v>
      </c>
      <c r="K798" s="3" t="s">
        <v>0</v>
      </c>
      <c r="L798" s="12" t="str">
        <f>VLOOKUP(K798,[2]Hoja4!$A$2:$C$443,2,FALSE)</f>
        <v>Intentional self-harm by hanging, strangulation and suffocation</v>
      </c>
      <c r="M798" s="12" t="str">
        <f>VLOOKUP(K798,[2]Hoja4!$A$2:$C$443,3,FALSE)</f>
        <v>Unspecified place</v>
      </c>
      <c r="N798" s="1">
        <v>6</v>
      </c>
      <c r="O798" s="1">
        <v>13.1</v>
      </c>
      <c r="P798" s="1">
        <v>8.6999999999999993</v>
      </c>
      <c r="Q798" s="1">
        <v>941.7</v>
      </c>
      <c r="R798" s="1">
        <v>4.5999999999999996</v>
      </c>
      <c r="S798" s="1">
        <v>87.6</v>
      </c>
      <c r="T798" s="5">
        <v>0.1222</v>
      </c>
      <c r="U798" s="10">
        <v>-1E-3</v>
      </c>
    </row>
    <row r="799" spans="1:21" customFormat="1">
      <c r="A799">
        <v>1</v>
      </c>
      <c r="B799">
        <v>56</v>
      </c>
      <c r="C799">
        <v>19</v>
      </c>
      <c r="D799">
        <v>6</v>
      </c>
      <c r="E799">
        <v>2020</v>
      </c>
      <c r="F799">
        <v>13125</v>
      </c>
      <c r="G799" t="str">
        <f>VLOOKUP(F799,'[1]Sheet 1'!$B$2:$E$347,2,FALSE)</f>
        <v>Metropolitana de Santiago</v>
      </c>
      <c r="H799" t="str">
        <f>VLOOKUP(F799,'[1]Sheet 1'!$B$2:$E$347,3,FALSE)</f>
        <v>Santiago</v>
      </c>
      <c r="I799" t="str">
        <f>VLOOKUP(F799,'[1]Sheet 1'!$B$2:$E$347,4,FALSE)</f>
        <v>Quilicura</v>
      </c>
      <c r="J799" t="s">
        <v>136</v>
      </c>
      <c r="K799" s="3" t="s">
        <v>0</v>
      </c>
      <c r="L799" s="12" t="str">
        <f>VLOOKUP(K799,[2]Hoja4!$A$2:$C$443,2,FALSE)</f>
        <v>Intentional self-harm by hanging, strangulation and suffocation</v>
      </c>
      <c r="M799" s="12" t="str">
        <f>VLOOKUP(K799,[2]Hoja4!$A$2:$C$443,3,FALSE)</f>
        <v>Unspecified place</v>
      </c>
      <c r="N799" s="1">
        <v>7.3</v>
      </c>
      <c r="O799" s="1">
        <v>14.4</v>
      </c>
      <c r="P799" s="1">
        <v>10</v>
      </c>
      <c r="Q799" s="1">
        <v>958.4</v>
      </c>
      <c r="R799" s="1"/>
      <c r="S799" s="1">
        <v>79.8</v>
      </c>
      <c r="T799" s="5">
        <v>0.1222</v>
      </c>
      <c r="U799" s="10">
        <v>-1E-3</v>
      </c>
    </row>
    <row r="800" spans="1:21" customFormat="1">
      <c r="A800">
        <v>1</v>
      </c>
      <c r="B800">
        <v>32</v>
      </c>
      <c r="C800">
        <v>20</v>
      </c>
      <c r="D800">
        <v>6</v>
      </c>
      <c r="E800">
        <v>2020</v>
      </c>
      <c r="F800">
        <v>13116</v>
      </c>
      <c r="G800" t="str">
        <f>VLOOKUP(F800,'[1]Sheet 1'!$B$2:$E$347,2,FALSE)</f>
        <v>Metropolitana de Santiago</v>
      </c>
      <c r="H800" t="str">
        <f>VLOOKUP(F800,'[1]Sheet 1'!$B$2:$E$347,3,FALSE)</f>
        <v>Santiago</v>
      </c>
      <c r="I800" t="str">
        <f>VLOOKUP(F800,'[1]Sheet 1'!$B$2:$E$347,4,FALSE)</f>
        <v>Lo Espejo</v>
      </c>
      <c r="J800" t="s">
        <v>152</v>
      </c>
      <c r="K800" s="3" t="s">
        <v>20</v>
      </c>
      <c r="L800" s="12" t="str">
        <f>VLOOKUP(K800,[2]Hoja4!$A$2:$C$443,2,FALSE)</f>
        <v>Intentional self-poisoning by and exposure to other and unspecified drugs, medicaments and biological substances</v>
      </c>
      <c r="M800" s="12" t="str">
        <f>VLOOKUP(K800,[2]Hoja4!$A$2:$C$443,3,FALSE)</f>
        <v>Unspecified place</v>
      </c>
      <c r="N800" s="1">
        <v>8.5</v>
      </c>
      <c r="O800" s="1">
        <v>12</v>
      </c>
      <c r="P800" s="1">
        <v>9.8000000000000007</v>
      </c>
      <c r="Q800" s="1">
        <v>956.7</v>
      </c>
      <c r="R800" s="1"/>
      <c r="S800" s="1">
        <v>89</v>
      </c>
      <c r="T800" s="5">
        <v>0.1222</v>
      </c>
      <c r="U800" s="10">
        <v>-1E-3</v>
      </c>
    </row>
    <row r="801" spans="1:21" customFormat="1">
      <c r="A801">
        <v>2</v>
      </c>
      <c r="B801">
        <v>14</v>
      </c>
      <c r="C801">
        <v>20</v>
      </c>
      <c r="D801">
        <v>6</v>
      </c>
      <c r="E801">
        <v>2020</v>
      </c>
      <c r="F801">
        <v>13112</v>
      </c>
      <c r="G801" t="str">
        <f>VLOOKUP(F801,'[1]Sheet 1'!$B$2:$E$347,2,FALSE)</f>
        <v>Metropolitana de Santiago</v>
      </c>
      <c r="H801" t="str">
        <f>VLOOKUP(F801,'[1]Sheet 1'!$B$2:$E$347,3,FALSE)</f>
        <v>Santiago</v>
      </c>
      <c r="I801" t="str">
        <f>VLOOKUP(F801,'[1]Sheet 1'!$B$2:$E$347,4,FALSE)</f>
        <v>La Pintana</v>
      </c>
      <c r="J801" t="s">
        <v>136</v>
      </c>
      <c r="K801" s="3" t="s">
        <v>0</v>
      </c>
      <c r="L801" s="12" t="str">
        <f>VLOOKUP(K801,[2]Hoja4!$A$2:$C$443,2,FALSE)</f>
        <v>Intentional self-harm by hanging, strangulation and suffocation</v>
      </c>
      <c r="M801" s="12" t="str">
        <f>VLOOKUP(K801,[2]Hoja4!$A$2:$C$443,3,FALSE)</f>
        <v>Unspecified place</v>
      </c>
      <c r="N801" s="1">
        <v>8.5</v>
      </c>
      <c r="O801" s="1">
        <v>12</v>
      </c>
      <c r="P801" s="1">
        <v>9.8000000000000007</v>
      </c>
      <c r="Q801" s="1">
        <v>956.7</v>
      </c>
      <c r="R801" s="1"/>
      <c r="S801" s="1">
        <v>89</v>
      </c>
      <c r="T801" s="5">
        <v>0.1222</v>
      </c>
      <c r="U801" s="10">
        <v>-1E-3</v>
      </c>
    </row>
    <row r="802" spans="1:21" customFormat="1">
      <c r="A802">
        <v>1</v>
      </c>
      <c r="B802">
        <v>22</v>
      </c>
      <c r="C802">
        <v>20</v>
      </c>
      <c r="D802">
        <v>6</v>
      </c>
      <c r="E802">
        <v>2020</v>
      </c>
      <c r="F802">
        <v>10303</v>
      </c>
      <c r="G802" t="str">
        <f>VLOOKUP(F802,'[1]Sheet 1'!$B$2:$E$347,2,FALSE)</f>
        <v>Los Lagos</v>
      </c>
      <c r="H802" t="str">
        <f>VLOOKUP(F802,'[1]Sheet 1'!$B$2:$E$347,3,FALSE)</f>
        <v>Osorno</v>
      </c>
      <c r="I802" t="str">
        <f>VLOOKUP(F802,'[1]Sheet 1'!$B$2:$E$347,4,FALSE)</f>
        <v>Purranque</v>
      </c>
      <c r="J802" t="s">
        <v>136</v>
      </c>
      <c r="K802" s="3" t="s">
        <v>4</v>
      </c>
      <c r="L802" s="12" t="str">
        <f>VLOOKUP(K802,[2]Hoja4!$A$2:$C$443,2,FALSE)</f>
        <v>Intentional self-harm by hanging, strangulation and suffocation</v>
      </c>
      <c r="M802" s="12" t="str">
        <f>VLOOKUP(K802,[2]Hoja4!$A$2:$C$443,3,FALSE)</f>
        <v>At home</v>
      </c>
      <c r="N802" s="1">
        <v>8.5</v>
      </c>
      <c r="O802" s="1">
        <v>9.8000000000000007</v>
      </c>
      <c r="P802" s="1">
        <v>8.8000000000000007</v>
      </c>
      <c r="Q802" s="1">
        <v>998.5</v>
      </c>
      <c r="R802" s="1">
        <v>21.2</v>
      </c>
      <c r="S802" s="1">
        <v>95.2</v>
      </c>
      <c r="T802" s="5">
        <v>0.1222</v>
      </c>
      <c r="U802" s="10">
        <v>-1E-3</v>
      </c>
    </row>
    <row r="803" spans="1:21" customFormat="1">
      <c r="A803">
        <v>2</v>
      </c>
      <c r="B803">
        <v>63</v>
      </c>
      <c r="C803">
        <v>21</v>
      </c>
      <c r="D803">
        <v>6</v>
      </c>
      <c r="E803">
        <v>2020</v>
      </c>
      <c r="F803">
        <v>6204</v>
      </c>
      <c r="G803" t="str">
        <f>VLOOKUP(F803,'[1]Sheet 1'!$B$2:$E$347,2,FALSE)</f>
        <v>Libertador General Bernardo O'Higgins</v>
      </c>
      <c r="H803" t="str">
        <f>VLOOKUP(F803,'[1]Sheet 1'!$B$2:$E$347,3,FALSE)</f>
        <v>Cardenal Caro</v>
      </c>
      <c r="I803" t="str">
        <f>VLOOKUP(F803,'[1]Sheet 1'!$B$2:$E$347,4,FALSE)</f>
        <v>Marchihue</v>
      </c>
      <c r="J803" t="s">
        <v>154</v>
      </c>
      <c r="K803" s="3" t="s">
        <v>14</v>
      </c>
      <c r="L803" s="12" t="str">
        <f>VLOOKUP(K803,[2]Hoja4!$A$2:$C$443,2,FALSE)</f>
        <v>Intentional self-poisoning by and exposure to antiepileptic, sedative-hypnotic, antiparkinsonism and psychotropic drugs, not elsewhere classified</v>
      </c>
      <c r="M803" s="12" t="str">
        <f>VLOOKUP(K803,[2]Hoja4!$A$2:$C$443,3,FALSE)</f>
        <v>Unspecified place</v>
      </c>
      <c r="N803" s="1">
        <v>7.8</v>
      </c>
      <c r="O803" s="1">
        <v>15.6</v>
      </c>
      <c r="P803" s="1">
        <v>11.2</v>
      </c>
      <c r="Q803" s="1">
        <v>1002.5</v>
      </c>
      <c r="R803" s="1"/>
      <c r="S803" s="1"/>
      <c r="T803" s="5">
        <v>0.1222</v>
      </c>
      <c r="U803" s="10">
        <v>-1E-3</v>
      </c>
    </row>
    <row r="804" spans="1:21" customFormat="1">
      <c r="A804">
        <v>1</v>
      </c>
      <c r="B804">
        <v>52</v>
      </c>
      <c r="C804">
        <v>21</v>
      </c>
      <c r="D804">
        <v>6</v>
      </c>
      <c r="E804">
        <v>2020</v>
      </c>
      <c r="F804">
        <v>6303</v>
      </c>
      <c r="G804" t="str">
        <f>VLOOKUP(F804,'[1]Sheet 1'!$B$2:$E$347,2,FALSE)</f>
        <v>Libertador General Bernardo O'Higgins</v>
      </c>
      <c r="H804" t="str">
        <f>VLOOKUP(F804,'[1]Sheet 1'!$B$2:$E$347,3,FALSE)</f>
        <v>Colchagua</v>
      </c>
      <c r="I804" t="str">
        <f>VLOOKUP(F804,'[1]Sheet 1'!$B$2:$E$347,4,FALSE)</f>
        <v>Chimbarongo</v>
      </c>
      <c r="J804" t="s">
        <v>136</v>
      </c>
      <c r="K804" s="3" t="s">
        <v>0</v>
      </c>
      <c r="L804" s="12" t="str">
        <f>VLOOKUP(K804,[2]Hoja4!$A$2:$C$443,2,FALSE)</f>
        <v>Intentional self-harm by hanging, strangulation and suffocation</v>
      </c>
      <c r="M804" s="12" t="str">
        <f>VLOOKUP(K804,[2]Hoja4!$A$2:$C$443,3,FALSE)</f>
        <v>Unspecified place</v>
      </c>
      <c r="N804" s="1">
        <v>5.3</v>
      </c>
      <c r="O804" s="1">
        <v>15.6</v>
      </c>
      <c r="P804" s="1">
        <v>10.3</v>
      </c>
      <c r="Q804" s="1">
        <v>982.8</v>
      </c>
      <c r="R804" s="1">
        <v>2.2999999999999998</v>
      </c>
      <c r="S804" s="1">
        <v>91.5</v>
      </c>
      <c r="T804" s="5">
        <v>0.1222</v>
      </c>
      <c r="U804" s="10">
        <v>-1E-3</v>
      </c>
    </row>
    <row r="805" spans="1:21" customFormat="1">
      <c r="A805">
        <v>1</v>
      </c>
      <c r="B805">
        <v>38</v>
      </c>
      <c r="C805">
        <v>21</v>
      </c>
      <c r="D805">
        <v>6</v>
      </c>
      <c r="E805">
        <v>2020</v>
      </c>
      <c r="F805">
        <v>13118</v>
      </c>
      <c r="G805" t="str">
        <f>VLOOKUP(F805,'[1]Sheet 1'!$B$2:$E$347,2,FALSE)</f>
        <v>Metropolitana de Santiago</v>
      </c>
      <c r="H805" t="str">
        <f>VLOOKUP(F805,'[1]Sheet 1'!$B$2:$E$347,3,FALSE)</f>
        <v>Santiago</v>
      </c>
      <c r="I805" t="str">
        <f>VLOOKUP(F805,'[1]Sheet 1'!$B$2:$E$347,4,FALSE)</f>
        <v>Macul</v>
      </c>
      <c r="J805" t="s">
        <v>136</v>
      </c>
      <c r="K805" s="3" t="s">
        <v>0</v>
      </c>
      <c r="L805" s="12" t="str">
        <f>VLOOKUP(K805,[2]Hoja4!$A$2:$C$443,2,FALSE)</f>
        <v>Intentional self-harm by hanging, strangulation and suffocation</v>
      </c>
      <c r="M805" s="12" t="str">
        <f>VLOOKUP(K805,[2]Hoja4!$A$2:$C$443,3,FALSE)</f>
        <v>Unspecified place</v>
      </c>
      <c r="N805" s="1">
        <v>3.6</v>
      </c>
      <c r="O805" s="1">
        <v>14.9</v>
      </c>
      <c r="P805" s="1">
        <v>9.1999999999999993</v>
      </c>
      <c r="Q805" s="1">
        <v>957.9</v>
      </c>
      <c r="R805" s="1"/>
      <c r="S805" s="1">
        <v>87.8</v>
      </c>
      <c r="T805" s="5">
        <v>0.1222</v>
      </c>
      <c r="U805" s="10">
        <v>-1E-3</v>
      </c>
    </row>
    <row r="806" spans="1:21" customFormat="1">
      <c r="A806">
        <v>1</v>
      </c>
      <c r="B806">
        <v>28</v>
      </c>
      <c r="C806">
        <v>21</v>
      </c>
      <c r="D806">
        <v>6</v>
      </c>
      <c r="E806">
        <v>2020</v>
      </c>
      <c r="F806">
        <v>10208</v>
      </c>
      <c r="G806" t="str">
        <f>VLOOKUP(F806,'[1]Sheet 1'!$B$2:$E$347,2,FALSE)</f>
        <v>Los Lagos</v>
      </c>
      <c r="H806" t="str">
        <f>VLOOKUP(F806,'[1]Sheet 1'!$B$2:$E$347,3,FALSE)</f>
        <v>Chiloé</v>
      </c>
      <c r="I806" t="str">
        <f>VLOOKUP(F806,'[1]Sheet 1'!$B$2:$E$347,4,FALSE)</f>
        <v>Quellón</v>
      </c>
      <c r="J806" t="s">
        <v>136</v>
      </c>
      <c r="K806" s="3" t="s">
        <v>4</v>
      </c>
      <c r="L806" s="12" t="str">
        <f>VLOOKUP(K806,[2]Hoja4!$A$2:$C$443,2,FALSE)</f>
        <v>Intentional self-harm by hanging, strangulation and suffocation</v>
      </c>
      <c r="M806" s="12" t="str">
        <f>VLOOKUP(K806,[2]Hoja4!$A$2:$C$443,3,FALSE)</f>
        <v>At home</v>
      </c>
      <c r="N806" s="1">
        <v>3</v>
      </c>
      <c r="O806" s="1">
        <v>7.6</v>
      </c>
      <c r="P806" s="1">
        <v>5.2</v>
      </c>
      <c r="Q806" s="1">
        <v>992.8</v>
      </c>
      <c r="R806" s="1">
        <v>38.200000000000003</v>
      </c>
      <c r="S806" s="1">
        <v>99.5</v>
      </c>
      <c r="T806" s="5">
        <v>0.1222</v>
      </c>
      <c r="U806" s="10">
        <v>-1E-3</v>
      </c>
    </row>
    <row r="807" spans="1:21" customFormat="1">
      <c r="A807">
        <v>2</v>
      </c>
      <c r="B807">
        <v>62</v>
      </c>
      <c r="C807">
        <v>22</v>
      </c>
      <c r="D807">
        <v>6</v>
      </c>
      <c r="E807">
        <v>2020</v>
      </c>
      <c r="F807">
        <v>6117</v>
      </c>
      <c r="G807" t="str">
        <f>VLOOKUP(F807,'[1]Sheet 1'!$B$2:$E$347,2,FALSE)</f>
        <v>Libertador General Bernardo O'Higgins</v>
      </c>
      <c r="H807" t="str">
        <f>VLOOKUP(F807,'[1]Sheet 1'!$B$2:$E$347,3,FALSE)</f>
        <v>Cachapoal</v>
      </c>
      <c r="I807" t="str">
        <f>VLOOKUP(F807,'[1]Sheet 1'!$B$2:$E$347,4,FALSE)</f>
        <v>San Vicente</v>
      </c>
      <c r="J807" t="s">
        <v>140</v>
      </c>
      <c r="K807" s="3" t="s">
        <v>20</v>
      </c>
      <c r="L807" s="12" t="str">
        <f>VLOOKUP(K807,[2]Hoja4!$A$2:$C$443,2,FALSE)</f>
        <v>Intentional self-poisoning by and exposure to other and unspecified drugs, medicaments and biological substances</v>
      </c>
      <c r="M807" s="12" t="str">
        <f>VLOOKUP(K807,[2]Hoja4!$A$2:$C$443,3,FALSE)</f>
        <v>Unspecified place</v>
      </c>
      <c r="N807" s="1">
        <v>8.3000000000000007</v>
      </c>
      <c r="O807" s="1">
        <v>10.4</v>
      </c>
      <c r="P807" s="1">
        <v>9.1999999999999993</v>
      </c>
      <c r="Q807" s="1">
        <v>959.4</v>
      </c>
      <c r="R807" s="1">
        <v>31.9</v>
      </c>
      <c r="S807" s="1">
        <v>100</v>
      </c>
      <c r="T807" s="5">
        <v>0.1222</v>
      </c>
      <c r="U807" s="10">
        <v>-1E-3</v>
      </c>
    </row>
    <row r="808" spans="1:21" customFormat="1">
      <c r="A808">
        <v>1</v>
      </c>
      <c r="B808">
        <v>51</v>
      </c>
      <c r="C808">
        <v>22</v>
      </c>
      <c r="D808">
        <v>6</v>
      </c>
      <c r="E808">
        <v>2020</v>
      </c>
      <c r="F808">
        <v>13401</v>
      </c>
      <c r="G808" t="str">
        <f>VLOOKUP(F808,'[1]Sheet 1'!$B$2:$E$347,2,FALSE)</f>
        <v>Metropolitana de Santiago</v>
      </c>
      <c r="H808" t="str">
        <f>VLOOKUP(F808,'[1]Sheet 1'!$B$2:$E$347,3,FALSE)</f>
        <v>Maipo</v>
      </c>
      <c r="I808" t="str">
        <f>VLOOKUP(F808,'[1]Sheet 1'!$B$2:$E$347,4,FALSE)</f>
        <v>San Bernardo</v>
      </c>
      <c r="J808" t="s">
        <v>136</v>
      </c>
      <c r="K808" s="3" t="s">
        <v>0</v>
      </c>
      <c r="L808" s="12" t="str">
        <f>VLOOKUP(K808,[2]Hoja4!$A$2:$C$443,2,FALSE)</f>
        <v>Intentional self-harm by hanging, strangulation and suffocation</v>
      </c>
      <c r="M808" s="12" t="str">
        <f>VLOOKUP(K808,[2]Hoja4!$A$2:$C$443,3,FALSE)</f>
        <v>Unspecified place</v>
      </c>
      <c r="N808" s="1">
        <v>8.1</v>
      </c>
      <c r="O808" s="1">
        <v>10.3</v>
      </c>
      <c r="P808" s="1">
        <v>9.1999999999999993</v>
      </c>
      <c r="Q808" s="1">
        <v>965.2</v>
      </c>
      <c r="R808" s="1">
        <v>17.600000000000001</v>
      </c>
      <c r="S808" s="1">
        <v>97.2</v>
      </c>
      <c r="T808" s="5">
        <v>0.1222</v>
      </c>
      <c r="U808" s="10">
        <v>-1E-3</v>
      </c>
    </row>
    <row r="809" spans="1:21" customFormat="1">
      <c r="A809">
        <v>1</v>
      </c>
      <c r="B809">
        <v>44</v>
      </c>
      <c r="C809">
        <v>22</v>
      </c>
      <c r="D809">
        <v>6</v>
      </c>
      <c r="E809">
        <v>2020</v>
      </c>
      <c r="F809">
        <v>6101</v>
      </c>
      <c r="G809" t="str">
        <f>VLOOKUP(F809,'[1]Sheet 1'!$B$2:$E$347,2,FALSE)</f>
        <v>Libertador General Bernardo O'Higgins</v>
      </c>
      <c r="H809" t="str">
        <f>VLOOKUP(F809,'[1]Sheet 1'!$B$2:$E$347,3,FALSE)</f>
        <v>Cachapoal</v>
      </c>
      <c r="I809" t="str">
        <f>VLOOKUP(F809,'[1]Sheet 1'!$B$2:$E$347,4,FALSE)</f>
        <v>Rancagua</v>
      </c>
      <c r="J809" t="s">
        <v>136</v>
      </c>
      <c r="K809" s="3" t="s">
        <v>0</v>
      </c>
      <c r="L809" s="12" t="str">
        <f>VLOOKUP(K809,[2]Hoja4!$A$2:$C$443,2,FALSE)</f>
        <v>Intentional self-harm by hanging, strangulation and suffocation</v>
      </c>
      <c r="M809" s="12" t="str">
        <f>VLOOKUP(K809,[2]Hoja4!$A$2:$C$443,3,FALSE)</f>
        <v>Unspecified place</v>
      </c>
      <c r="N809" s="1">
        <v>8.3000000000000007</v>
      </c>
      <c r="O809" s="1">
        <v>10.4</v>
      </c>
      <c r="P809" s="1">
        <v>9.1999999999999993</v>
      </c>
      <c r="Q809" s="1">
        <v>959.4</v>
      </c>
      <c r="R809" s="1">
        <v>31.9</v>
      </c>
      <c r="S809" s="1">
        <v>100</v>
      </c>
      <c r="T809" s="5">
        <v>0.1222</v>
      </c>
      <c r="U809" s="10">
        <v>-1E-3</v>
      </c>
    </row>
    <row r="810" spans="1:21" customFormat="1">
      <c r="A810">
        <v>1</v>
      </c>
      <c r="B810">
        <v>33</v>
      </c>
      <c r="C810">
        <v>22</v>
      </c>
      <c r="D810">
        <v>6</v>
      </c>
      <c r="E810">
        <v>2020</v>
      </c>
      <c r="F810">
        <v>2101</v>
      </c>
      <c r="G810" t="str">
        <f>VLOOKUP(F810,'[1]Sheet 1'!$B$2:$E$347,2,FALSE)</f>
        <v>Antofagasta</v>
      </c>
      <c r="H810" t="str">
        <f>VLOOKUP(F810,'[1]Sheet 1'!$B$2:$E$347,3,FALSE)</f>
        <v>Antofagasta</v>
      </c>
      <c r="I810" t="str">
        <f>VLOOKUP(F810,'[1]Sheet 1'!$B$2:$E$347,4,FALSE)</f>
        <v>Antofagasta</v>
      </c>
      <c r="J810" t="s">
        <v>136</v>
      </c>
      <c r="K810" s="3" t="s">
        <v>4</v>
      </c>
      <c r="L810" s="12" t="str">
        <f>VLOOKUP(K810,[2]Hoja4!$A$2:$C$443,2,FALSE)</f>
        <v>Intentional self-harm by hanging, strangulation and suffocation</v>
      </c>
      <c r="M810" s="12" t="str">
        <f>VLOOKUP(K810,[2]Hoja4!$A$2:$C$443,3,FALSE)</f>
        <v>At home</v>
      </c>
      <c r="N810" s="1">
        <v>13.7</v>
      </c>
      <c r="O810" s="1">
        <v>16.600000000000001</v>
      </c>
      <c r="P810" s="1">
        <v>14.7</v>
      </c>
      <c r="Q810" s="1">
        <v>998.8</v>
      </c>
      <c r="R810" s="1">
        <v>0</v>
      </c>
      <c r="S810" s="1">
        <v>72.2</v>
      </c>
      <c r="T810" s="5">
        <v>0.1222</v>
      </c>
      <c r="U810" s="10">
        <v>-1E-3</v>
      </c>
    </row>
    <row r="811" spans="1:21" customFormat="1">
      <c r="A811">
        <v>1</v>
      </c>
      <c r="B811">
        <v>30</v>
      </c>
      <c r="C811">
        <v>22</v>
      </c>
      <c r="D811">
        <v>6</v>
      </c>
      <c r="E811">
        <v>2020</v>
      </c>
      <c r="F811">
        <v>13103</v>
      </c>
      <c r="G811" t="str">
        <f>VLOOKUP(F811,'[1]Sheet 1'!$B$2:$E$347,2,FALSE)</f>
        <v>Metropolitana de Santiago</v>
      </c>
      <c r="H811" t="str">
        <f>VLOOKUP(F811,'[1]Sheet 1'!$B$2:$E$347,3,FALSE)</f>
        <v>Santiago</v>
      </c>
      <c r="I811" t="str">
        <f>VLOOKUP(F811,'[1]Sheet 1'!$B$2:$E$347,4,FALSE)</f>
        <v>Cerro Navia</v>
      </c>
      <c r="J811" t="s">
        <v>136</v>
      </c>
      <c r="K811" s="3" t="s">
        <v>0</v>
      </c>
      <c r="L811" s="12" t="str">
        <f>VLOOKUP(K811,[2]Hoja4!$A$2:$C$443,2,FALSE)</f>
        <v>Intentional self-harm by hanging, strangulation and suffocation</v>
      </c>
      <c r="M811" s="12" t="str">
        <f>VLOOKUP(K811,[2]Hoja4!$A$2:$C$443,3,FALSE)</f>
        <v>Unspecified place</v>
      </c>
      <c r="N811" s="1">
        <v>6.2</v>
      </c>
      <c r="O811" s="1">
        <v>11.9</v>
      </c>
      <c r="P811" s="1">
        <v>9</v>
      </c>
      <c r="Q811" s="1">
        <v>955.7</v>
      </c>
      <c r="R811" s="1"/>
      <c r="S811" s="1">
        <v>93</v>
      </c>
      <c r="T811" s="5">
        <v>0.1222</v>
      </c>
      <c r="U811" s="10">
        <v>-1E-3</v>
      </c>
    </row>
    <row r="812" spans="1:21" customFormat="1">
      <c r="A812">
        <v>1</v>
      </c>
      <c r="B812">
        <v>30</v>
      </c>
      <c r="C812">
        <v>22</v>
      </c>
      <c r="D812">
        <v>6</v>
      </c>
      <c r="E812">
        <v>2020</v>
      </c>
      <c r="F812">
        <v>1107</v>
      </c>
      <c r="G812" t="str">
        <f>VLOOKUP(F812,'[1]Sheet 1'!$B$2:$E$347,2,FALSE)</f>
        <v>Tarapacá</v>
      </c>
      <c r="H812" t="str">
        <f>VLOOKUP(F812,'[1]Sheet 1'!$B$2:$E$347,3,FALSE)</f>
        <v>Iquique</v>
      </c>
      <c r="I812" t="str">
        <f>VLOOKUP(F812,'[1]Sheet 1'!$B$2:$E$347,4,FALSE)</f>
        <v>Alto Hospicio</v>
      </c>
      <c r="J812" t="s">
        <v>136</v>
      </c>
      <c r="K812" s="3" t="s">
        <v>4</v>
      </c>
      <c r="L812" s="12" t="str">
        <f>VLOOKUP(K812,[2]Hoja4!$A$2:$C$443,2,FALSE)</f>
        <v>Intentional self-harm by hanging, strangulation and suffocation</v>
      </c>
      <c r="M812" s="12" t="str">
        <f>VLOOKUP(K812,[2]Hoja4!$A$2:$C$443,3,FALSE)</f>
        <v>At home</v>
      </c>
      <c r="N812" s="1">
        <v>15</v>
      </c>
      <c r="O812" s="1">
        <v>17.8</v>
      </c>
      <c r="P812" s="1">
        <v>16.2</v>
      </c>
      <c r="Q812" s="1">
        <v>1012.7</v>
      </c>
      <c r="R812" s="1">
        <v>0</v>
      </c>
      <c r="S812" s="1">
        <v>70.099999999999994</v>
      </c>
      <c r="T812" s="5">
        <v>0.1222</v>
      </c>
      <c r="U812" s="10">
        <v>-1E-3</v>
      </c>
    </row>
    <row r="813" spans="1:21" customFormat="1">
      <c r="A813">
        <v>1</v>
      </c>
      <c r="B813">
        <v>66</v>
      </c>
      <c r="C813">
        <v>23</v>
      </c>
      <c r="D813">
        <v>6</v>
      </c>
      <c r="E813">
        <v>2020</v>
      </c>
      <c r="F813">
        <v>13504</v>
      </c>
      <c r="G813" t="str">
        <f>VLOOKUP(F813,'[1]Sheet 1'!$B$2:$E$347,2,FALSE)</f>
        <v>Metropolitana de Santiago</v>
      </c>
      <c r="H813" t="str">
        <f>VLOOKUP(F813,'[1]Sheet 1'!$B$2:$E$347,3,FALSE)</f>
        <v>Melipilla</v>
      </c>
      <c r="I813" t="str">
        <f>VLOOKUP(F813,'[1]Sheet 1'!$B$2:$E$347,4,FALSE)</f>
        <v>María Pinto</v>
      </c>
      <c r="J813" t="s">
        <v>136</v>
      </c>
      <c r="K813" s="3" t="s">
        <v>4</v>
      </c>
      <c r="L813" s="12" t="str">
        <f>VLOOKUP(K813,[2]Hoja4!$A$2:$C$443,2,FALSE)</f>
        <v>Intentional self-harm by hanging, strangulation and suffocation</v>
      </c>
      <c r="M813" s="12" t="str">
        <f>VLOOKUP(K813,[2]Hoja4!$A$2:$C$443,3,FALSE)</f>
        <v>At home</v>
      </c>
      <c r="N813" s="1">
        <v>7.1</v>
      </c>
      <c r="O813" s="1">
        <v>14.7</v>
      </c>
      <c r="P813" s="1">
        <v>10.7</v>
      </c>
      <c r="Q813" s="1">
        <v>1016.6</v>
      </c>
      <c r="R813" s="1">
        <v>1.2</v>
      </c>
      <c r="S813" s="1">
        <v>73.2</v>
      </c>
      <c r="T813" s="5">
        <v>0.1222</v>
      </c>
      <c r="U813" s="10">
        <v>-1E-3</v>
      </c>
    </row>
    <row r="814" spans="1:21" customFormat="1">
      <c r="A814">
        <v>2</v>
      </c>
      <c r="B814">
        <v>44</v>
      </c>
      <c r="C814">
        <v>23</v>
      </c>
      <c r="D814">
        <v>6</v>
      </c>
      <c r="E814">
        <v>2020</v>
      </c>
      <c r="F814">
        <v>8108</v>
      </c>
      <c r="G814" t="str">
        <f>VLOOKUP(F814,'[1]Sheet 1'!$B$2:$E$347,2,FALSE)</f>
        <v>Biobío</v>
      </c>
      <c r="H814" t="str">
        <f>VLOOKUP(F814,'[1]Sheet 1'!$B$2:$E$347,3,FALSE)</f>
        <v>Concepción</v>
      </c>
      <c r="I814" t="str">
        <f>VLOOKUP(F814,'[1]Sheet 1'!$B$2:$E$347,4,FALSE)</f>
        <v>San Pedro de la Paz</v>
      </c>
      <c r="J814" t="s">
        <v>136</v>
      </c>
      <c r="K814" s="3" t="s">
        <v>4</v>
      </c>
      <c r="L814" s="12" t="str">
        <f>VLOOKUP(K814,[2]Hoja4!$A$2:$C$443,2,FALSE)</f>
        <v>Intentional self-harm by hanging, strangulation and suffocation</v>
      </c>
      <c r="M814" s="12" t="str">
        <f>VLOOKUP(K814,[2]Hoja4!$A$2:$C$443,3,FALSE)</f>
        <v>At home</v>
      </c>
      <c r="N814" s="1">
        <v>6.6</v>
      </c>
      <c r="O814" s="1">
        <v>12.3</v>
      </c>
      <c r="P814" s="1">
        <v>9.6</v>
      </c>
      <c r="Q814" s="1">
        <v>1011.4</v>
      </c>
      <c r="R814" s="1">
        <v>12.2</v>
      </c>
      <c r="S814" s="1">
        <v>88.5</v>
      </c>
      <c r="T814" s="5">
        <v>0.1222</v>
      </c>
      <c r="U814" s="10">
        <v>-1E-3</v>
      </c>
    </row>
    <row r="815" spans="1:21" customFormat="1">
      <c r="A815">
        <v>2</v>
      </c>
      <c r="B815">
        <v>16</v>
      </c>
      <c r="C815">
        <v>23</v>
      </c>
      <c r="D815">
        <v>6</v>
      </c>
      <c r="E815">
        <v>2020</v>
      </c>
      <c r="F815">
        <v>13101</v>
      </c>
      <c r="G815" t="str">
        <f>VLOOKUP(F815,'[1]Sheet 1'!$B$2:$E$347,2,FALSE)</f>
        <v>Metropolitana de Santiago</v>
      </c>
      <c r="H815" t="str">
        <f>VLOOKUP(F815,'[1]Sheet 1'!$B$2:$E$347,3,FALSE)</f>
        <v>Santiago</v>
      </c>
      <c r="I815" t="str">
        <f>VLOOKUP(F815,'[1]Sheet 1'!$B$2:$E$347,4,FALSE)</f>
        <v>Santiago</v>
      </c>
      <c r="J815" t="s">
        <v>138</v>
      </c>
      <c r="K815" s="3" t="s">
        <v>9</v>
      </c>
      <c r="L815" s="12" t="str">
        <f>VLOOKUP(K815,[2]Hoja4!$A$2:$C$443,2,FALSE)</f>
        <v>Intentional self-harm by jumping from a high place</v>
      </c>
      <c r="M815" s="12" t="str">
        <f>VLOOKUP(K815,[2]Hoja4!$A$2:$C$443,3,FALSE)</f>
        <v>Unspecified place</v>
      </c>
      <c r="N815" s="1">
        <v>7.5</v>
      </c>
      <c r="O815" s="1">
        <v>13.5</v>
      </c>
      <c r="P815" s="1">
        <v>9.1999999999999993</v>
      </c>
      <c r="Q815" s="1">
        <v>955</v>
      </c>
      <c r="R815" s="1"/>
      <c r="S815" s="1">
        <v>88</v>
      </c>
      <c r="T815" s="5">
        <v>0.1222</v>
      </c>
      <c r="U815" s="10">
        <v>-1E-3</v>
      </c>
    </row>
    <row r="816" spans="1:21" customFormat="1">
      <c r="A816">
        <v>1</v>
      </c>
      <c r="B816">
        <v>27</v>
      </c>
      <c r="C816">
        <v>23</v>
      </c>
      <c r="D816">
        <v>6</v>
      </c>
      <c r="E816">
        <v>2020</v>
      </c>
      <c r="F816">
        <v>13103</v>
      </c>
      <c r="G816" t="str">
        <f>VLOOKUP(F816,'[1]Sheet 1'!$B$2:$E$347,2,FALSE)</f>
        <v>Metropolitana de Santiago</v>
      </c>
      <c r="H816" t="str">
        <f>VLOOKUP(F816,'[1]Sheet 1'!$B$2:$E$347,3,FALSE)</f>
        <v>Santiago</v>
      </c>
      <c r="I816" t="str">
        <f>VLOOKUP(F816,'[1]Sheet 1'!$B$2:$E$347,4,FALSE)</f>
        <v>Cerro Navia</v>
      </c>
      <c r="J816" t="s">
        <v>136</v>
      </c>
      <c r="K816" s="3" t="s">
        <v>4</v>
      </c>
      <c r="L816" s="12" t="str">
        <f>VLOOKUP(K816,[2]Hoja4!$A$2:$C$443,2,FALSE)</f>
        <v>Intentional self-harm by hanging, strangulation and suffocation</v>
      </c>
      <c r="M816" s="12" t="str">
        <f>VLOOKUP(K816,[2]Hoja4!$A$2:$C$443,3,FALSE)</f>
        <v>At home</v>
      </c>
      <c r="N816" s="1">
        <v>7.5</v>
      </c>
      <c r="O816" s="1">
        <v>13.5</v>
      </c>
      <c r="P816" s="1">
        <v>9.1999999999999993</v>
      </c>
      <c r="Q816" s="1">
        <v>955</v>
      </c>
      <c r="R816" s="1"/>
      <c r="S816" s="1">
        <v>88</v>
      </c>
      <c r="T816" s="5">
        <v>0.1222</v>
      </c>
      <c r="U816" s="10">
        <v>-1E-3</v>
      </c>
    </row>
    <row r="817" spans="1:21" customFormat="1">
      <c r="A817">
        <v>1</v>
      </c>
      <c r="B817">
        <v>56</v>
      </c>
      <c r="C817">
        <v>24</v>
      </c>
      <c r="D817">
        <v>6</v>
      </c>
      <c r="E817">
        <v>2020</v>
      </c>
      <c r="F817">
        <v>6310</v>
      </c>
      <c r="G817" t="str">
        <f>VLOOKUP(F817,'[1]Sheet 1'!$B$2:$E$347,2,FALSE)</f>
        <v>Libertador General Bernardo O'Higgins</v>
      </c>
      <c r="H817" t="str">
        <f>VLOOKUP(F817,'[1]Sheet 1'!$B$2:$E$347,3,FALSE)</f>
        <v>Colchagua</v>
      </c>
      <c r="I817" t="str">
        <f>VLOOKUP(F817,'[1]Sheet 1'!$B$2:$E$347,4,FALSE)</f>
        <v>Santa Cruz</v>
      </c>
      <c r="J817" t="s">
        <v>136</v>
      </c>
      <c r="K817" s="3" t="s">
        <v>0</v>
      </c>
      <c r="L817" s="12" t="str">
        <f>VLOOKUP(K817,[2]Hoja4!$A$2:$C$443,2,FALSE)</f>
        <v>Intentional self-harm by hanging, strangulation and suffocation</v>
      </c>
      <c r="M817" s="12" t="str">
        <f>VLOOKUP(K817,[2]Hoja4!$A$2:$C$443,3,FALSE)</f>
        <v>Unspecified place</v>
      </c>
      <c r="N817" s="1">
        <v>5.3</v>
      </c>
      <c r="O817" s="1">
        <v>8.4</v>
      </c>
      <c r="P817" s="1">
        <v>6.8</v>
      </c>
      <c r="Q817" s="1">
        <v>985</v>
      </c>
      <c r="R817" s="1">
        <v>7.9</v>
      </c>
      <c r="S817" s="1">
        <v>92</v>
      </c>
      <c r="T817" s="5">
        <v>0.1222</v>
      </c>
      <c r="U817" s="10">
        <v>-1E-3</v>
      </c>
    </row>
    <row r="818" spans="1:21" customFormat="1">
      <c r="A818">
        <v>1</v>
      </c>
      <c r="B818">
        <v>53</v>
      </c>
      <c r="C818">
        <v>25</v>
      </c>
      <c r="D818">
        <v>6</v>
      </c>
      <c r="E818">
        <v>2020</v>
      </c>
      <c r="F818">
        <v>2101</v>
      </c>
      <c r="G818" t="str">
        <f>VLOOKUP(F818,'[1]Sheet 1'!$B$2:$E$347,2,FALSE)</f>
        <v>Antofagasta</v>
      </c>
      <c r="H818" t="str">
        <f>VLOOKUP(F818,'[1]Sheet 1'!$B$2:$E$347,3,FALSE)</f>
        <v>Antofagasta</v>
      </c>
      <c r="I818" t="str">
        <f>VLOOKUP(F818,'[1]Sheet 1'!$B$2:$E$347,4,FALSE)</f>
        <v>Antofagasta</v>
      </c>
      <c r="J818" t="s">
        <v>136</v>
      </c>
      <c r="K818" s="3" t="s">
        <v>4</v>
      </c>
      <c r="L818" s="12" t="str">
        <f>VLOOKUP(K818,[2]Hoja4!$A$2:$C$443,2,FALSE)</f>
        <v>Intentional self-harm by hanging, strangulation and suffocation</v>
      </c>
      <c r="M818" s="12" t="str">
        <f>VLOOKUP(K818,[2]Hoja4!$A$2:$C$443,3,FALSE)</f>
        <v>At home</v>
      </c>
      <c r="N818" s="1">
        <v>13</v>
      </c>
      <c r="O818" s="1">
        <v>15.9</v>
      </c>
      <c r="P818" s="1">
        <v>14.4</v>
      </c>
      <c r="Q818" s="1">
        <v>998.6</v>
      </c>
      <c r="R818" s="1">
        <v>0</v>
      </c>
      <c r="S818" s="1">
        <v>76.5</v>
      </c>
      <c r="T818" s="5">
        <v>0.1222</v>
      </c>
      <c r="U818" s="10">
        <v>-1E-3</v>
      </c>
    </row>
    <row r="819" spans="1:21" customFormat="1">
      <c r="A819">
        <v>1</v>
      </c>
      <c r="B819">
        <v>17</v>
      </c>
      <c r="C819">
        <v>25</v>
      </c>
      <c r="D819">
        <v>6</v>
      </c>
      <c r="E819">
        <v>2020</v>
      </c>
      <c r="F819">
        <v>14101</v>
      </c>
      <c r="G819" t="str">
        <f>VLOOKUP(F819,'[1]Sheet 1'!$B$2:$E$347,2,FALSE)</f>
        <v>Los Ríos</v>
      </c>
      <c r="H819" t="str">
        <f>VLOOKUP(F819,'[1]Sheet 1'!$B$2:$E$347,3,FALSE)</f>
        <v>Valdivia</v>
      </c>
      <c r="I819" t="str">
        <f>VLOOKUP(F819,'[1]Sheet 1'!$B$2:$E$347,4,FALSE)</f>
        <v>Valdivia</v>
      </c>
      <c r="J819" t="s">
        <v>136</v>
      </c>
      <c r="K819" s="3" t="s">
        <v>4</v>
      </c>
      <c r="L819" s="12" t="str">
        <f>VLOOKUP(K819,[2]Hoja4!$A$2:$C$443,2,FALSE)</f>
        <v>Intentional self-harm by hanging, strangulation and suffocation</v>
      </c>
      <c r="M819" s="12" t="str">
        <f>VLOOKUP(K819,[2]Hoja4!$A$2:$C$443,3,FALSE)</f>
        <v>At home</v>
      </c>
      <c r="N819" s="1">
        <v>1.7</v>
      </c>
      <c r="O819" s="1">
        <v>8.1</v>
      </c>
      <c r="P819" s="1">
        <v>5</v>
      </c>
      <c r="Q819" s="1">
        <v>1019.5</v>
      </c>
      <c r="R819" s="1">
        <v>12.4</v>
      </c>
      <c r="S819" s="1">
        <v>99.5</v>
      </c>
      <c r="T819" s="5">
        <v>0.1222</v>
      </c>
      <c r="U819" s="10">
        <v>-1E-3</v>
      </c>
    </row>
    <row r="820" spans="1:21" customFormat="1">
      <c r="A820">
        <v>1</v>
      </c>
      <c r="B820">
        <v>20</v>
      </c>
      <c r="C820">
        <v>25</v>
      </c>
      <c r="D820">
        <v>6</v>
      </c>
      <c r="E820">
        <v>2020</v>
      </c>
      <c r="F820">
        <v>13127</v>
      </c>
      <c r="G820" t="str">
        <f>VLOOKUP(F820,'[1]Sheet 1'!$B$2:$E$347,2,FALSE)</f>
        <v>Metropolitana de Santiago</v>
      </c>
      <c r="H820" t="str">
        <f>VLOOKUP(F820,'[1]Sheet 1'!$B$2:$E$347,3,FALSE)</f>
        <v>Santiago</v>
      </c>
      <c r="I820" t="str">
        <f>VLOOKUP(F820,'[1]Sheet 1'!$B$2:$E$347,4,FALSE)</f>
        <v>Recoleta</v>
      </c>
      <c r="J820" t="s">
        <v>136</v>
      </c>
      <c r="K820" s="3" t="s">
        <v>0</v>
      </c>
      <c r="L820" s="12" t="str">
        <f>VLOOKUP(K820,[2]Hoja4!$A$2:$C$443,2,FALSE)</f>
        <v>Intentional self-harm by hanging, strangulation and suffocation</v>
      </c>
      <c r="M820" s="12" t="str">
        <f>VLOOKUP(K820,[2]Hoja4!$A$2:$C$443,3,FALSE)</f>
        <v>Unspecified place</v>
      </c>
      <c r="N820" s="1">
        <v>-1.1000000000000001</v>
      </c>
      <c r="O820" s="1">
        <v>10.8</v>
      </c>
      <c r="P820" s="1">
        <v>4.5</v>
      </c>
      <c r="Q820" s="1">
        <v>959.6</v>
      </c>
      <c r="R820" s="1"/>
      <c r="S820" s="1">
        <v>80.8</v>
      </c>
      <c r="T820" s="5">
        <v>0.1222</v>
      </c>
      <c r="U820" s="10">
        <v>-1E-3</v>
      </c>
    </row>
    <row r="821" spans="1:21" customFormat="1">
      <c r="A821">
        <v>2</v>
      </c>
      <c r="B821">
        <v>26</v>
      </c>
      <c r="C821">
        <v>25</v>
      </c>
      <c r="D821">
        <v>6</v>
      </c>
      <c r="E821">
        <v>2020</v>
      </c>
      <c r="F821">
        <v>9108</v>
      </c>
      <c r="G821" t="str">
        <f>VLOOKUP(F821,'[1]Sheet 1'!$B$2:$E$347,2,FALSE)</f>
        <v>La Araucanía</v>
      </c>
      <c r="H821" t="str">
        <f>VLOOKUP(F821,'[1]Sheet 1'!$B$2:$E$347,3,FALSE)</f>
        <v>Cautín</v>
      </c>
      <c r="I821" t="str">
        <f>VLOOKUP(F821,'[1]Sheet 1'!$B$2:$E$347,4,FALSE)</f>
        <v>Lautaro</v>
      </c>
      <c r="J821" t="s">
        <v>136</v>
      </c>
      <c r="K821" s="3" t="s">
        <v>0</v>
      </c>
      <c r="L821" s="12" t="str">
        <f>VLOOKUP(K821,[2]Hoja4!$A$2:$C$443,2,FALSE)</f>
        <v>Intentional self-harm by hanging, strangulation and suffocation</v>
      </c>
      <c r="M821" s="12" t="str">
        <f>VLOOKUP(K821,[2]Hoja4!$A$2:$C$443,3,FALSE)</f>
        <v>Unspecified place</v>
      </c>
      <c r="N821" s="1">
        <v>1.1000000000000001</v>
      </c>
      <c r="O821" s="1">
        <v>10.3</v>
      </c>
      <c r="P821" s="1">
        <v>5.3</v>
      </c>
      <c r="Q821" s="1">
        <v>1010.4</v>
      </c>
      <c r="R821" s="1">
        <v>3.4</v>
      </c>
      <c r="S821" s="1">
        <v>94.8</v>
      </c>
      <c r="T821" s="5">
        <v>0.1222</v>
      </c>
      <c r="U821" s="10">
        <v>-1E-3</v>
      </c>
    </row>
    <row r="822" spans="1:21" customFormat="1">
      <c r="A822">
        <v>1</v>
      </c>
      <c r="B822">
        <v>73</v>
      </c>
      <c r="C822">
        <v>26</v>
      </c>
      <c r="D822">
        <v>6</v>
      </c>
      <c r="E822">
        <v>2020</v>
      </c>
      <c r="F822">
        <v>16101</v>
      </c>
      <c r="G822" t="str">
        <f>VLOOKUP(F822,'[1]Sheet 1'!$B$2:$E$347,2,FALSE)</f>
        <v>Ñuble</v>
      </c>
      <c r="H822" t="str">
        <f>VLOOKUP(F822,'[1]Sheet 1'!$B$2:$E$347,3,FALSE)</f>
        <v>Diguillín</v>
      </c>
      <c r="I822" t="str">
        <f>VLOOKUP(F822,'[1]Sheet 1'!$B$2:$E$347,4,FALSE)</f>
        <v>Chillán</v>
      </c>
      <c r="J822" t="s">
        <v>136</v>
      </c>
      <c r="K822" s="3" t="s">
        <v>2</v>
      </c>
      <c r="L822" s="12" t="str">
        <f>VLOOKUP(K822,[2]Hoja4!$A$2:$C$443,2,FALSE)</f>
        <v>Intentional self-harm by hanging, strangulation and suffocation</v>
      </c>
      <c r="M822" s="12" t="str">
        <f>VLOOKUP(K822,[2]Hoja4!$A$2:$C$443,3,FALSE)</f>
        <v>Street and highway</v>
      </c>
      <c r="N822" s="1">
        <v>1.1000000000000001</v>
      </c>
      <c r="O822" s="1">
        <v>9.3000000000000007</v>
      </c>
      <c r="P822" s="1">
        <v>5</v>
      </c>
      <c r="Q822" s="1">
        <v>1001.4</v>
      </c>
      <c r="R822" s="1">
        <v>6.4</v>
      </c>
      <c r="S822" s="1">
        <v>96</v>
      </c>
      <c r="T822" s="5">
        <v>0.1222</v>
      </c>
      <c r="U822" s="10">
        <v>-1E-3</v>
      </c>
    </row>
    <row r="823" spans="1:21" customFormat="1">
      <c r="A823">
        <v>1</v>
      </c>
      <c r="B823">
        <v>65</v>
      </c>
      <c r="C823">
        <v>26</v>
      </c>
      <c r="D823">
        <v>6</v>
      </c>
      <c r="E823">
        <v>2020</v>
      </c>
      <c r="F823">
        <v>4301</v>
      </c>
      <c r="G823" t="str">
        <f>VLOOKUP(F823,'[1]Sheet 1'!$B$2:$E$347,2,FALSE)</f>
        <v>Coquimbo</v>
      </c>
      <c r="H823" t="str">
        <f>VLOOKUP(F823,'[1]Sheet 1'!$B$2:$E$347,3,FALSE)</f>
        <v>Limarí</v>
      </c>
      <c r="I823" t="str">
        <f>VLOOKUP(F823,'[1]Sheet 1'!$B$2:$E$347,4,FALSE)</f>
        <v>Ovalle</v>
      </c>
      <c r="J823" t="s">
        <v>136</v>
      </c>
      <c r="K823" s="3" t="s">
        <v>4</v>
      </c>
      <c r="L823" s="12" t="str">
        <f>VLOOKUP(K823,[2]Hoja4!$A$2:$C$443,2,FALSE)</f>
        <v>Intentional self-harm by hanging, strangulation and suffocation</v>
      </c>
      <c r="M823" s="12" t="str">
        <f>VLOOKUP(K823,[2]Hoja4!$A$2:$C$443,3,FALSE)</f>
        <v>At home</v>
      </c>
      <c r="N823" s="1">
        <v>7</v>
      </c>
      <c r="O823" s="1">
        <v>18.100000000000001</v>
      </c>
      <c r="P823" s="1">
        <v>11.4</v>
      </c>
      <c r="Q823" s="1">
        <v>982.9</v>
      </c>
      <c r="R823" s="1">
        <v>0</v>
      </c>
      <c r="S823" s="1">
        <v>73.5</v>
      </c>
      <c r="T823" s="5">
        <v>0.1222</v>
      </c>
      <c r="U823" s="10">
        <v>-1E-3</v>
      </c>
    </row>
    <row r="824" spans="1:21" customFormat="1">
      <c r="A824">
        <v>1</v>
      </c>
      <c r="B824">
        <v>48</v>
      </c>
      <c r="C824">
        <v>26</v>
      </c>
      <c r="D824">
        <v>6</v>
      </c>
      <c r="E824">
        <v>2020</v>
      </c>
      <c r="F824">
        <v>13106</v>
      </c>
      <c r="G824" t="str">
        <f>VLOOKUP(F824,'[1]Sheet 1'!$B$2:$E$347,2,FALSE)</f>
        <v>Metropolitana de Santiago</v>
      </c>
      <c r="H824" t="str">
        <f>VLOOKUP(F824,'[1]Sheet 1'!$B$2:$E$347,3,FALSE)</f>
        <v>Santiago</v>
      </c>
      <c r="I824" t="str">
        <f>VLOOKUP(F824,'[1]Sheet 1'!$B$2:$E$347,4,FALSE)</f>
        <v>Estación Central</v>
      </c>
      <c r="J824" t="s">
        <v>136</v>
      </c>
      <c r="K824" s="3" t="s">
        <v>0</v>
      </c>
      <c r="L824" s="12" t="str">
        <f>VLOOKUP(K824,[2]Hoja4!$A$2:$C$443,2,FALSE)</f>
        <v>Intentional self-harm by hanging, strangulation and suffocation</v>
      </c>
      <c r="M824" s="12" t="str">
        <f>VLOOKUP(K824,[2]Hoja4!$A$2:$C$443,3,FALSE)</f>
        <v>Unspecified place</v>
      </c>
      <c r="N824" s="1">
        <v>5.8</v>
      </c>
      <c r="O824" s="1">
        <v>14.8</v>
      </c>
      <c r="P824" s="1">
        <v>9</v>
      </c>
      <c r="Q824" s="1">
        <v>959.3</v>
      </c>
      <c r="R824" s="1"/>
      <c r="S824" s="1">
        <v>62.8</v>
      </c>
      <c r="T824" s="5">
        <v>0.1222</v>
      </c>
      <c r="U824" s="10">
        <v>-1E-3</v>
      </c>
    </row>
    <row r="825" spans="1:21" customFormat="1">
      <c r="A825">
        <v>1</v>
      </c>
      <c r="B825">
        <v>30</v>
      </c>
      <c r="C825">
        <v>26</v>
      </c>
      <c r="D825">
        <v>6</v>
      </c>
      <c r="E825">
        <v>2020</v>
      </c>
      <c r="F825">
        <v>13112</v>
      </c>
      <c r="G825" t="str">
        <f>VLOOKUP(F825,'[1]Sheet 1'!$B$2:$E$347,2,FALSE)</f>
        <v>Metropolitana de Santiago</v>
      </c>
      <c r="H825" t="str">
        <f>VLOOKUP(F825,'[1]Sheet 1'!$B$2:$E$347,3,FALSE)</f>
        <v>Santiago</v>
      </c>
      <c r="I825" t="str">
        <f>VLOOKUP(F825,'[1]Sheet 1'!$B$2:$E$347,4,FALSE)</f>
        <v>La Pintana</v>
      </c>
      <c r="J825" t="s">
        <v>136</v>
      </c>
      <c r="K825" s="3" t="s">
        <v>0</v>
      </c>
      <c r="L825" s="12" t="str">
        <f>VLOOKUP(K825,[2]Hoja4!$A$2:$C$443,2,FALSE)</f>
        <v>Intentional self-harm by hanging, strangulation and suffocation</v>
      </c>
      <c r="M825" s="12" t="str">
        <f>VLOOKUP(K825,[2]Hoja4!$A$2:$C$443,3,FALSE)</f>
        <v>Unspecified place</v>
      </c>
      <c r="N825" s="1">
        <v>5.8</v>
      </c>
      <c r="O825" s="1">
        <v>14.8</v>
      </c>
      <c r="P825" s="1">
        <v>9</v>
      </c>
      <c r="Q825" s="1">
        <v>959.3</v>
      </c>
      <c r="R825" s="1"/>
      <c r="S825" s="1">
        <v>62.8</v>
      </c>
      <c r="T825" s="5">
        <v>0.1222</v>
      </c>
      <c r="U825" s="10">
        <v>-1E-3</v>
      </c>
    </row>
    <row r="826" spans="1:21" customFormat="1">
      <c r="A826">
        <v>1</v>
      </c>
      <c r="B826">
        <v>18</v>
      </c>
      <c r="C826">
        <v>26</v>
      </c>
      <c r="D826">
        <v>6</v>
      </c>
      <c r="E826">
        <v>2020</v>
      </c>
      <c r="F826">
        <v>2101</v>
      </c>
      <c r="G826" t="str">
        <f>VLOOKUP(F826,'[1]Sheet 1'!$B$2:$E$347,2,FALSE)</f>
        <v>Antofagasta</v>
      </c>
      <c r="H826" t="str">
        <f>VLOOKUP(F826,'[1]Sheet 1'!$B$2:$E$347,3,FALSE)</f>
        <v>Antofagasta</v>
      </c>
      <c r="I826" t="str">
        <f>VLOOKUP(F826,'[1]Sheet 1'!$B$2:$E$347,4,FALSE)</f>
        <v>Antofagasta</v>
      </c>
      <c r="J826" t="s">
        <v>136</v>
      </c>
      <c r="K826" s="3" t="s">
        <v>4</v>
      </c>
      <c r="L826" s="12" t="str">
        <f>VLOOKUP(K826,[2]Hoja4!$A$2:$C$443,2,FALSE)</f>
        <v>Intentional self-harm by hanging, strangulation and suffocation</v>
      </c>
      <c r="M826" s="12" t="str">
        <f>VLOOKUP(K826,[2]Hoja4!$A$2:$C$443,3,FALSE)</f>
        <v>At home</v>
      </c>
      <c r="N826" s="1">
        <v>12.2</v>
      </c>
      <c r="O826" s="1">
        <v>16.899999999999999</v>
      </c>
      <c r="P826" s="1">
        <v>14.7</v>
      </c>
      <c r="Q826" s="1">
        <v>1001.1</v>
      </c>
      <c r="R826" s="1">
        <v>0</v>
      </c>
      <c r="S826" s="1">
        <v>77.2</v>
      </c>
      <c r="T826" s="5">
        <v>0.1222</v>
      </c>
      <c r="U826" s="10">
        <v>-1E-3</v>
      </c>
    </row>
    <row r="827" spans="1:21" customFormat="1">
      <c r="A827">
        <v>1</v>
      </c>
      <c r="B827">
        <v>19</v>
      </c>
      <c r="C827">
        <v>26</v>
      </c>
      <c r="D827">
        <v>6</v>
      </c>
      <c r="E827">
        <v>2020</v>
      </c>
      <c r="F827">
        <v>5101</v>
      </c>
      <c r="G827" t="str">
        <f>VLOOKUP(F827,'[1]Sheet 1'!$B$2:$E$347,2,FALSE)</f>
        <v>Valparaíso</v>
      </c>
      <c r="H827" t="str">
        <f>VLOOKUP(F827,'[1]Sheet 1'!$B$2:$E$347,3,FALSE)</f>
        <v>Valparaíso</v>
      </c>
      <c r="I827" t="str">
        <f>VLOOKUP(F827,'[1]Sheet 1'!$B$2:$E$347,4,FALSE)</f>
        <v>Valparaíso</v>
      </c>
      <c r="J827" t="s">
        <v>136</v>
      </c>
      <c r="K827" s="3" t="s">
        <v>4</v>
      </c>
      <c r="L827" s="12" t="str">
        <f>VLOOKUP(K827,[2]Hoja4!$A$2:$C$443,2,FALSE)</f>
        <v>Intentional self-harm by hanging, strangulation and suffocation</v>
      </c>
      <c r="M827" s="12" t="str">
        <f>VLOOKUP(K827,[2]Hoja4!$A$2:$C$443,3,FALSE)</f>
        <v>At home</v>
      </c>
      <c r="N827" s="1">
        <v>6.4</v>
      </c>
      <c r="O827" s="1">
        <v>15.2</v>
      </c>
      <c r="P827" s="1">
        <v>10.8</v>
      </c>
      <c r="Q827" s="1">
        <v>980.7</v>
      </c>
      <c r="R827" s="1">
        <v>0</v>
      </c>
      <c r="S827" s="1">
        <v>68.2</v>
      </c>
      <c r="T827" s="5">
        <v>0.1222</v>
      </c>
      <c r="U827" s="10">
        <v>-1E-3</v>
      </c>
    </row>
    <row r="828" spans="1:21" customFormat="1">
      <c r="A828">
        <v>2</v>
      </c>
      <c r="B828">
        <v>31</v>
      </c>
      <c r="C828">
        <v>27</v>
      </c>
      <c r="D828">
        <v>6</v>
      </c>
      <c r="E828">
        <v>2020</v>
      </c>
      <c r="F828">
        <v>13121</v>
      </c>
      <c r="G828" t="str">
        <f>VLOOKUP(F828,'[1]Sheet 1'!$B$2:$E$347,2,FALSE)</f>
        <v>Metropolitana de Santiago</v>
      </c>
      <c r="H828" t="str">
        <f>VLOOKUP(F828,'[1]Sheet 1'!$B$2:$E$347,3,FALSE)</f>
        <v>Santiago</v>
      </c>
      <c r="I828" t="str">
        <f>VLOOKUP(F828,'[1]Sheet 1'!$B$2:$E$347,4,FALSE)</f>
        <v>Pedro Aguirre Cerda</v>
      </c>
      <c r="J828" t="s">
        <v>136</v>
      </c>
      <c r="K828" s="3" t="s">
        <v>0</v>
      </c>
      <c r="L828" s="12" t="str">
        <f>VLOOKUP(K828,[2]Hoja4!$A$2:$C$443,2,FALSE)</f>
        <v>Intentional self-harm by hanging, strangulation and suffocation</v>
      </c>
      <c r="M828" s="12" t="str">
        <f>VLOOKUP(K828,[2]Hoja4!$A$2:$C$443,3,FALSE)</f>
        <v>Unspecified place</v>
      </c>
      <c r="N828" s="1">
        <v>2.5</v>
      </c>
      <c r="O828" s="1">
        <v>15.7</v>
      </c>
      <c r="P828" s="1">
        <v>8.1</v>
      </c>
      <c r="Q828" s="1">
        <v>955.4</v>
      </c>
      <c r="R828" s="1"/>
      <c r="S828" s="1">
        <v>80</v>
      </c>
      <c r="T828" s="5">
        <v>0.1222</v>
      </c>
      <c r="U828" s="10">
        <v>-1E-3</v>
      </c>
    </row>
    <row r="829" spans="1:21" customFormat="1">
      <c r="A829">
        <v>1</v>
      </c>
      <c r="B829">
        <v>73</v>
      </c>
      <c r="C829">
        <v>28</v>
      </c>
      <c r="D829">
        <v>6</v>
      </c>
      <c r="E829">
        <v>2020</v>
      </c>
      <c r="F829">
        <v>13123</v>
      </c>
      <c r="G829" t="str">
        <f>VLOOKUP(F829,'[1]Sheet 1'!$B$2:$E$347,2,FALSE)</f>
        <v>Metropolitana de Santiago</v>
      </c>
      <c r="H829" t="str">
        <f>VLOOKUP(F829,'[1]Sheet 1'!$B$2:$E$347,3,FALSE)</f>
        <v>Santiago</v>
      </c>
      <c r="I829" t="str">
        <f>VLOOKUP(F829,'[1]Sheet 1'!$B$2:$E$347,4,FALSE)</f>
        <v>Providencia</v>
      </c>
      <c r="J829" t="s">
        <v>138</v>
      </c>
      <c r="K829" s="3" t="s">
        <v>9</v>
      </c>
      <c r="L829" s="12" t="str">
        <f>VLOOKUP(K829,[2]Hoja4!$A$2:$C$443,2,FALSE)</f>
        <v>Intentional self-harm by jumping from a high place</v>
      </c>
      <c r="M829" s="12" t="str">
        <f>VLOOKUP(K829,[2]Hoja4!$A$2:$C$443,3,FALSE)</f>
        <v>Unspecified place</v>
      </c>
      <c r="N829" s="1">
        <v>5.3</v>
      </c>
      <c r="O829" s="1">
        <v>16.100000000000001</v>
      </c>
      <c r="P829" s="1">
        <v>9.6</v>
      </c>
      <c r="Q829" s="1">
        <v>952.7</v>
      </c>
      <c r="R829" s="1"/>
      <c r="S829" s="1">
        <v>81</v>
      </c>
      <c r="T829" s="5">
        <v>0.1222</v>
      </c>
      <c r="U829" s="10">
        <v>-1E-3</v>
      </c>
    </row>
    <row r="830" spans="1:21" customFormat="1">
      <c r="A830">
        <v>1</v>
      </c>
      <c r="B830">
        <v>78</v>
      </c>
      <c r="C830">
        <v>28</v>
      </c>
      <c r="D830">
        <v>6</v>
      </c>
      <c r="E830">
        <v>2020</v>
      </c>
      <c r="F830">
        <v>16305</v>
      </c>
      <c r="G830" t="str">
        <f>VLOOKUP(F830,'[1]Sheet 1'!$B$2:$E$347,2,FALSE)</f>
        <v>Ñuble</v>
      </c>
      <c r="H830" t="str">
        <f>VLOOKUP(F830,'[1]Sheet 1'!$B$2:$E$347,3,FALSE)</f>
        <v>Punilla</v>
      </c>
      <c r="I830" t="str">
        <f>VLOOKUP(F830,'[1]Sheet 1'!$B$2:$E$347,4,FALSE)</f>
        <v>San Nicolás</v>
      </c>
      <c r="J830" t="s">
        <v>136</v>
      </c>
      <c r="K830" s="3" t="s">
        <v>4</v>
      </c>
      <c r="L830" s="12" t="str">
        <f>VLOOKUP(K830,[2]Hoja4!$A$2:$C$443,2,FALSE)</f>
        <v>Intentional self-harm by hanging, strangulation and suffocation</v>
      </c>
      <c r="M830" s="12" t="str">
        <f>VLOOKUP(K830,[2]Hoja4!$A$2:$C$443,3,FALSE)</f>
        <v>At home</v>
      </c>
      <c r="N830" s="1"/>
      <c r="O830" s="1"/>
      <c r="P830" s="1"/>
      <c r="Q830" s="1"/>
      <c r="R830" s="1"/>
      <c r="S830" s="1"/>
      <c r="T830" s="5">
        <v>0.1222</v>
      </c>
      <c r="U830" s="10">
        <v>-1E-3</v>
      </c>
    </row>
    <row r="831" spans="1:21" customFormat="1">
      <c r="A831">
        <v>1</v>
      </c>
      <c r="B831">
        <v>66</v>
      </c>
      <c r="C831">
        <v>28</v>
      </c>
      <c r="D831">
        <v>6</v>
      </c>
      <c r="E831">
        <v>2020</v>
      </c>
      <c r="F831">
        <v>9207</v>
      </c>
      <c r="G831" t="str">
        <f>VLOOKUP(F831,'[1]Sheet 1'!$B$2:$E$347,2,FALSE)</f>
        <v>La Araucanía</v>
      </c>
      <c r="H831" t="str">
        <f>VLOOKUP(F831,'[1]Sheet 1'!$B$2:$E$347,3,FALSE)</f>
        <v>Malleco</v>
      </c>
      <c r="I831" t="str">
        <f>VLOOKUP(F831,'[1]Sheet 1'!$B$2:$E$347,4,FALSE)</f>
        <v>Lumaco</v>
      </c>
      <c r="J831" t="s">
        <v>136</v>
      </c>
      <c r="K831" s="3" t="s">
        <v>0</v>
      </c>
      <c r="L831" s="12" t="str">
        <f>VLOOKUP(K831,[2]Hoja4!$A$2:$C$443,2,FALSE)</f>
        <v>Intentional self-harm by hanging, strangulation and suffocation</v>
      </c>
      <c r="M831" s="12" t="str">
        <f>VLOOKUP(K831,[2]Hoja4!$A$2:$C$443,3,FALSE)</f>
        <v>Unspecified place</v>
      </c>
      <c r="N831" s="1"/>
      <c r="O831" s="1"/>
      <c r="P831" s="1"/>
      <c r="Q831" s="1">
        <v>1001.4</v>
      </c>
      <c r="R831" s="1">
        <v>0</v>
      </c>
      <c r="S831" s="1"/>
      <c r="T831" s="5">
        <v>0.1222</v>
      </c>
      <c r="U831" s="10">
        <v>-1E-3</v>
      </c>
    </row>
    <row r="832" spans="1:21" customFormat="1">
      <c r="A832">
        <v>1</v>
      </c>
      <c r="B832">
        <v>44</v>
      </c>
      <c r="C832">
        <v>28</v>
      </c>
      <c r="D832">
        <v>6</v>
      </c>
      <c r="E832">
        <v>2020</v>
      </c>
      <c r="F832">
        <v>16104</v>
      </c>
      <c r="G832" t="str">
        <f>VLOOKUP(F832,'[1]Sheet 1'!$B$2:$E$347,2,FALSE)</f>
        <v>Ñuble</v>
      </c>
      <c r="H832" t="str">
        <f>VLOOKUP(F832,'[1]Sheet 1'!$B$2:$E$347,3,FALSE)</f>
        <v>Diguillín</v>
      </c>
      <c r="I832" t="str">
        <f>VLOOKUP(F832,'[1]Sheet 1'!$B$2:$E$347,4,FALSE)</f>
        <v>El Carmen</v>
      </c>
      <c r="J832" t="s">
        <v>136</v>
      </c>
      <c r="K832" s="3" t="s">
        <v>0</v>
      </c>
      <c r="L832" s="12" t="str">
        <f>VLOOKUP(K832,[2]Hoja4!$A$2:$C$443,2,FALSE)</f>
        <v>Intentional self-harm by hanging, strangulation and suffocation</v>
      </c>
      <c r="M832" s="12" t="str">
        <f>VLOOKUP(K832,[2]Hoja4!$A$2:$C$443,3,FALSE)</f>
        <v>Unspecified place</v>
      </c>
      <c r="N832" s="1">
        <v>10.3</v>
      </c>
      <c r="O832" s="1">
        <v>11.3</v>
      </c>
      <c r="P832" s="1">
        <v>10.8</v>
      </c>
      <c r="Q832" s="1">
        <v>992.3</v>
      </c>
      <c r="R832" s="1">
        <v>23.6</v>
      </c>
      <c r="S832" s="1">
        <v>100</v>
      </c>
      <c r="T832" s="5">
        <v>0.1222</v>
      </c>
      <c r="U832" s="10">
        <v>-1E-3</v>
      </c>
    </row>
    <row r="833" spans="1:21" customFormat="1">
      <c r="A833">
        <v>1</v>
      </c>
      <c r="B833">
        <v>30</v>
      </c>
      <c r="C833">
        <v>28</v>
      </c>
      <c r="D833">
        <v>6</v>
      </c>
      <c r="E833">
        <v>2020</v>
      </c>
      <c r="F833">
        <v>8112</v>
      </c>
      <c r="G833" t="str">
        <f>VLOOKUP(F833,'[1]Sheet 1'!$B$2:$E$347,2,FALSE)</f>
        <v>Biobío</v>
      </c>
      <c r="H833" t="str">
        <f>VLOOKUP(F833,'[1]Sheet 1'!$B$2:$E$347,3,FALSE)</f>
        <v>Concepción</v>
      </c>
      <c r="I833" t="str">
        <f>VLOOKUP(F833,'[1]Sheet 1'!$B$2:$E$347,4,FALSE)</f>
        <v>Hualpén</v>
      </c>
      <c r="J833" t="s">
        <v>136</v>
      </c>
      <c r="K833" s="3" t="s">
        <v>0</v>
      </c>
      <c r="L833" s="12" t="str">
        <f>VLOOKUP(K833,[2]Hoja4!$A$2:$C$443,2,FALSE)</f>
        <v>Intentional self-harm by hanging, strangulation and suffocation</v>
      </c>
      <c r="M833" s="12" t="str">
        <f>VLOOKUP(K833,[2]Hoja4!$A$2:$C$443,3,FALSE)</f>
        <v>Unspecified place</v>
      </c>
      <c r="N833" s="1">
        <v>11.1</v>
      </c>
      <c r="O833" s="1">
        <v>12.7</v>
      </c>
      <c r="P833" s="1">
        <v>12</v>
      </c>
      <c r="Q833" s="1">
        <v>1007.8</v>
      </c>
      <c r="R833" s="1">
        <v>42.2</v>
      </c>
      <c r="S833" s="1">
        <v>96</v>
      </c>
      <c r="T833" s="5">
        <v>0.1222</v>
      </c>
      <c r="U833" s="10">
        <v>-1E-3</v>
      </c>
    </row>
    <row r="834" spans="1:21" customFormat="1">
      <c r="A834">
        <v>2</v>
      </c>
      <c r="B834">
        <v>16</v>
      </c>
      <c r="C834">
        <v>28</v>
      </c>
      <c r="D834">
        <v>6</v>
      </c>
      <c r="E834">
        <v>2020</v>
      </c>
      <c r="F834">
        <v>4106</v>
      </c>
      <c r="G834" t="str">
        <f>VLOOKUP(F834,'[1]Sheet 1'!$B$2:$E$347,2,FALSE)</f>
        <v>Coquimbo</v>
      </c>
      <c r="H834" t="str">
        <f>VLOOKUP(F834,'[1]Sheet 1'!$B$2:$E$347,3,FALSE)</f>
        <v>Elqui</v>
      </c>
      <c r="I834" t="str">
        <f>VLOOKUP(F834,'[1]Sheet 1'!$B$2:$E$347,4,FALSE)</f>
        <v>Vicuña</v>
      </c>
      <c r="J834" t="s">
        <v>136</v>
      </c>
      <c r="K834" s="3" t="s">
        <v>4</v>
      </c>
      <c r="L834" s="12" t="str">
        <f>VLOOKUP(K834,[2]Hoja4!$A$2:$C$443,2,FALSE)</f>
        <v>Intentional self-harm by hanging, strangulation and suffocation</v>
      </c>
      <c r="M834" s="12" t="str">
        <f>VLOOKUP(K834,[2]Hoja4!$A$2:$C$443,3,FALSE)</f>
        <v>At home</v>
      </c>
      <c r="N834" s="1">
        <v>9.3000000000000007</v>
      </c>
      <c r="O834" s="1">
        <v>18.5</v>
      </c>
      <c r="P834" s="1">
        <v>12</v>
      </c>
      <c r="Q834" s="1">
        <v>998.2</v>
      </c>
      <c r="R834" s="1">
        <v>0</v>
      </c>
      <c r="S834" s="1">
        <v>87.5</v>
      </c>
      <c r="T834" s="5">
        <v>0.1222</v>
      </c>
      <c r="U834" s="10">
        <v>-1E-3</v>
      </c>
    </row>
    <row r="835" spans="1:21" customFormat="1">
      <c r="A835">
        <v>2</v>
      </c>
      <c r="B835">
        <v>30</v>
      </c>
      <c r="C835">
        <v>28</v>
      </c>
      <c r="D835">
        <v>6</v>
      </c>
      <c r="E835">
        <v>2020</v>
      </c>
      <c r="F835">
        <v>8301</v>
      </c>
      <c r="G835" t="str">
        <f>VLOOKUP(F835,'[1]Sheet 1'!$B$2:$E$347,2,FALSE)</f>
        <v>Biobío</v>
      </c>
      <c r="H835" t="str">
        <f>VLOOKUP(F835,'[1]Sheet 1'!$B$2:$E$347,3,FALSE)</f>
        <v>Biobío</v>
      </c>
      <c r="I835" t="str">
        <f>VLOOKUP(F835,'[1]Sheet 1'!$B$2:$E$347,4,FALSE)</f>
        <v>Los Angeles</v>
      </c>
      <c r="J835" t="s">
        <v>136</v>
      </c>
      <c r="K835" s="3" t="s">
        <v>4</v>
      </c>
      <c r="L835" s="12" t="str">
        <f>VLOOKUP(K835,[2]Hoja4!$A$2:$C$443,2,FALSE)</f>
        <v>Intentional self-harm by hanging, strangulation and suffocation</v>
      </c>
      <c r="M835" s="12" t="str">
        <f>VLOOKUP(K835,[2]Hoja4!$A$2:$C$443,3,FALSE)</f>
        <v>At home</v>
      </c>
      <c r="N835" s="1">
        <v>9</v>
      </c>
      <c r="O835" s="1">
        <v>11</v>
      </c>
      <c r="P835" s="1">
        <v>10</v>
      </c>
      <c r="Q835" s="1">
        <v>995.7</v>
      </c>
      <c r="R835" s="1">
        <v>39.5</v>
      </c>
      <c r="S835" s="1">
        <v>99</v>
      </c>
      <c r="T835" s="5">
        <v>0.1222</v>
      </c>
      <c r="U835" s="10">
        <v>-1E-3</v>
      </c>
    </row>
    <row r="836" spans="1:21" customFormat="1">
      <c r="A836">
        <v>1</v>
      </c>
      <c r="B836">
        <v>24</v>
      </c>
      <c r="C836">
        <v>28</v>
      </c>
      <c r="D836">
        <v>6</v>
      </c>
      <c r="E836">
        <v>2020</v>
      </c>
      <c r="F836">
        <v>6113</v>
      </c>
      <c r="G836" t="str">
        <f>VLOOKUP(F836,'[1]Sheet 1'!$B$2:$E$347,2,FALSE)</f>
        <v>Libertador General Bernardo O'Higgins</v>
      </c>
      <c r="H836" t="str">
        <f>VLOOKUP(F836,'[1]Sheet 1'!$B$2:$E$347,3,FALSE)</f>
        <v>Cachapoal</v>
      </c>
      <c r="I836" t="str">
        <f>VLOOKUP(F836,'[1]Sheet 1'!$B$2:$E$347,4,FALSE)</f>
        <v>Pichidegua</v>
      </c>
      <c r="J836" t="s">
        <v>136</v>
      </c>
      <c r="K836" s="3" t="s">
        <v>0</v>
      </c>
      <c r="L836" s="12" t="str">
        <f>VLOOKUP(K836,[2]Hoja4!$A$2:$C$443,2,FALSE)</f>
        <v>Intentional self-harm by hanging, strangulation and suffocation</v>
      </c>
      <c r="M836" s="12" t="str">
        <f>VLOOKUP(K836,[2]Hoja4!$A$2:$C$443,3,FALSE)</f>
        <v>Unspecified place</v>
      </c>
      <c r="N836" s="1">
        <v>7</v>
      </c>
      <c r="O836" s="1">
        <v>12.9</v>
      </c>
      <c r="P836" s="1">
        <v>9.9</v>
      </c>
      <c r="Q836" s="1">
        <v>957.2</v>
      </c>
      <c r="R836" s="1">
        <v>7</v>
      </c>
      <c r="S836" s="1">
        <v>85.9</v>
      </c>
      <c r="T836" s="5">
        <v>0.1222</v>
      </c>
      <c r="U836" s="10">
        <v>-1E-3</v>
      </c>
    </row>
    <row r="837" spans="1:21" customFormat="1">
      <c r="A837">
        <v>1</v>
      </c>
      <c r="B837">
        <v>24</v>
      </c>
      <c r="C837">
        <v>28</v>
      </c>
      <c r="D837">
        <v>6</v>
      </c>
      <c r="E837">
        <v>2020</v>
      </c>
      <c r="F837">
        <v>13124</v>
      </c>
      <c r="G837" t="str">
        <f>VLOOKUP(F837,'[1]Sheet 1'!$B$2:$E$347,2,FALSE)</f>
        <v>Metropolitana de Santiago</v>
      </c>
      <c r="H837" t="str">
        <f>VLOOKUP(F837,'[1]Sheet 1'!$B$2:$E$347,3,FALSE)</f>
        <v>Santiago</v>
      </c>
      <c r="I837" t="str">
        <f>VLOOKUP(F837,'[1]Sheet 1'!$B$2:$E$347,4,FALSE)</f>
        <v>Pudahuel</v>
      </c>
      <c r="J837" t="s">
        <v>136</v>
      </c>
      <c r="K837" s="3" t="s">
        <v>0</v>
      </c>
      <c r="L837" s="12" t="str">
        <f>VLOOKUP(K837,[2]Hoja4!$A$2:$C$443,2,FALSE)</f>
        <v>Intentional self-harm by hanging, strangulation and suffocation</v>
      </c>
      <c r="M837" s="12" t="str">
        <f>VLOOKUP(K837,[2]Hoja4!$A$2:$C$443,3,FALSE)</f>
        <v>Unspecified place</v>
      </c>
      <c r="N837" s="1">
        <v>5.3</v>
      </c>
      <c r="O837" s="1">
        <v>16.100000000000001</v>
      </c>
      <c r="P837" s="1">
        <v>9.6</v>
      </c>
      <c r="Q837" s="1">
        <v>952.7</v>
      </c>
      <c r="R837" s="1"/>
      <c r="S837" s="1">
        <v>81</v>
      </c>
      <c r="T837" s="5">
        <v>0.1222</v>
      </c>
      <c r="U837" s="10">
        <v>-1E-3</v>
      </c>
    </row>
    <row r="838" spans="1:21" customFormat="1">
      <c r="A838">
        <v>1</v>
      </c>
      <c r="B838">
        <v>41</v>
      </c>
      <c r="C838">
        <v>29</v>
      </c>
      <c r="D838">
        <v>6</v>
      </c>
      <c r="E838">
        <v>2020</v>
      </c>
      <c r="F838">
        <v>7101</v>
      </c>
      <c r="G838" t="str">
        <f>VLOOKUP(F838,'[1]Sheet 1'!$B$2:$E$347,2,FALSE)</f>
        <v>Maule</v>
      </c>
      <c r="H838" t="str">
        <f>VLOOKUP(F838,'[1]Sheet 1'!$B$2:$E$347,3,FALSE)</f>
        <v>Talca</v>
      </c>
      <c r="I838" t="str">
        <f>VLOOKUP(F838,'[1]Sheet 1'!$B$2:$E$347,4,FALSE)</f>
        <v>Talca</v>
      </c>
      <c r="J838" t="s">
        <v>136</v>
      </c>
      <c r="K838" s="3" t="s">
        <v>4</v>
      </c>
      <c r="L838" s="12" t="str">
        <f>VLOOKUP(K838,[2]Hoja4!$A$2:$C$443,2,FALSE)</f>
        <v>Intentional self-harm by hanging, strangulation and suffocation</v>
      </c>
      <c r="M838" s="12" t="str">
        <f>VLOOKUP(K838,[2]Hoja4!$A$2:$C$443,3,FALSE)</f>
        <v>At home</v>
      </c>
      <c r="N838" s="1">
        <v>7.1</v>
      </c>
      <c r="O838" s="1">
        <v>11</v>
      </c>
      <c r="P838" s="1">
        <v>9.5</v>
      </c>
      <c r="Q838" s="1">
        <v>1001</v>
      </c>
      <c r="R838" s="1">
        <v>28.5</v>
      </c>
      <c r="S838" s="1">
        <v>98.9</v>
      </c>
      <c r="T838" s="5">
        <v>0.1222</v>
      </c>
      <c r="U838" s="10">
        <v>-1E-3</v>
      </c>
    </row>
    <row r="839" spans="1:21" customFormat="1">
      <c r="A839">
        <v>1</v>
      </c>
      <c r="B839">
        <v>33</v>
      </c>
      <c r="C839">
        <v>29</v>
      </c>
      <c r="D839">
        <v>6</v>
      </c>
      <c r="E839">
        <v>2020</v>
      </c>
      <c r="F839">
        <v>10107</v>
      </c>
      <c r="G839" t="str">
        <f>VLOOKUP(F839,'[1]Sheet 1'!$B$2:$E$347,2,FALSE)</f>
        <v>Los Lagos</v>
      </c>
      <c r="H839" t="str">
        <f>VLOOKUP(F839,'[1]Sheet 1'!$B$2:$E$347,3,FALSE)</f>
        <v>Llanquihue</v>
      </c>
      <c r="I839" t="str">
        <f>VLOOKUP(F839,'[1]Sheet 1'!$B$2:$E$347,4,FALSE)</f>
        <v>Llanquihue</v>
      </c>
      <c r="J839" t="s">
        <v>136</v>
      </c>
      <c r="K839" s="3" t="s">
        <v>4</v>
      </c>
      <c r="L839" s="12" t="str">
        <f>VLOOKUP(K839,[2]Hoja4!$A$2:$C$443,2,FALSE)</f>
        <v>Intentional self-harm by hanging, strangulation and suffocation</v>
      </c>
      <c r="M839" s="12" t="str">
        <f>VLOOKUP(K839,[2]Hoja4!$A$2:$C$443,3,FALSE)</f>
        <v>At home</v>
      </c>
      <c r="N839" s="1">
        <v>1.9</v>
      </c>
      <c r="O839" s="1">
        <v>10.5</v>
      </c>
      <c r="P839" s="1">
        <v>6.5</v>
      </c>
      <c r="Q839" s="1">
        <v>1001.6</v>
      </c>
      <c r="R839" s="1">
        <v>0.2</v>
      </c>
      <c r="S839" s="1">
        <v>91.8</v>
      </c>
      <c r="T839" s="5">
        <v>0.1222</v>
      </c>
      <c r="U839" s="10">
        <v>-1E-3</v>
      </c>
    </row>
    <row r="840" spans="1:21" customFormat="1">
      <c r="A840">
        <v>1</v>
      </c>
      <c r="B840">
        <v>36</v>
      </c>
      <c r="C840">
        <v>29</v>
      </c>
      <c r="D840">
        <v>6</v>
      </c>
      <c r="E840">
        <v>2020</v>
      </c>
      <c r="F840">
        <v>7308</v>
      </c>
      <c r="G840" t="str">
        <f>VLOOKUP(F840,'[1]Sheet 1'!$B$2:$E$347,2,FALSE)</f>
        <v>Maule</v>
      </c>
      <c r="H840" t="str">
        <f>VLOOKUP(F840,'[1]Sheet 1'!$B$2:$E$347,3,FALSE)</f>
        <v>Curicó</v>
      </c>
      <c r="I840" t="str">
        <f>VLOOKUP(F840,'[1]Sheet 1'!$B$2:$E$347,4,FALSE)</f>
        <v>Teno</v>
      </c>
      <c r="J840" t="s">
        <v>136</v>
      </c>
      <c r="K840" s="3" t="s">
        <v>4</v>
      </c>
      <c r="L840" s="12" t="str">
        <f>VLOOKUP(K840,[2]Hoja4!$A$2:$C$443,2,FALSE)</f>
        <v>Intentional self-harm by hanging, strangulation and suffocation</v>
      </c>
      <c r="M840" s="12" t="str">
        <f>VLOOKUP(K840,[2]Hoja4!$A$2:$C$443,3,FALSE)</f>
        <v>At home</v>
      </c>
      <c r="N840" s="1">
        <v>7.3</v>
      </c>
      <c r="O840" s="1">
        <v>10</v>
      </c>
      <c r="P840" s="1">
        <v>9.8000000000000007</v>
      </c>
      <c r="Q840" s="1">
        <v>985.5</v>
      </c>
      <c r="R840" s="1">
        <v>15</v>
      </c>
      <c r="S840" s="1">
        <v>91.2</v>
      </c>
      <c r="T840" s="5">
        <v>0.1222</v>
      </c>
      <c r="U840" s="10">
        <v>-1E-3</v>
      </c>
    </row>
    <row r="841" spans="1:21" customFormat="1">
      <c r="A841">
        <v>2</v>
      </c>
      <c r="B841">
        <v>30</v>
      </c>
      <c r="C841">
        <v>29</v>
      </c>
      <c r="D841">
        <v>6</v>
      </c>
      <c r="E841">
        <v>2020</v>
      </c>
      <c r="F841">
        <v>5101</v>
      </c>
      <c r="G841" t="str">
        <f>VLOOKUP(F841,'[1]Sheet 1'!$B$2:$E$347,2,FALSE)</f>
        <v>Valparaíso</v>
      </c>
      <c r="H841" t="str">
        <f>VLOOKUP(F841,'[1]Sheet 1'!$B$2:$E$347,3,FALSE)</f>
        <v>Valparaíso</v>
      </c>
      <c r="I841" t="str">
        <f>VLOOKUP(F841,'[1]Sheet 1'!$B$2:$E$347,4,FALSE)</f>
        <v>Valparaíso</v>
      </c>
      <c r="J841" t="s">
        <v>136</v>
      </c>
      <c r="K841" s="3" t="s">
        <v>4</v>
      </c>
      <c r="L841" s="12" t="str">
        <f>VLOOKUP(K841,[2]Hoja4!$A$2:$C$443,2,FALSE)</f>
        <v>Intentional self-harm by hanging, strangulation and suffocation</v>
      </c>
      <c r="M841" s="12" t="str">
        <f>VLOOKUP(K841,[2]Hoja4!$A$2:$C$443,3,FALSE)</f>
        <v>At home</v>
      </c>
      <c r="N841" s="1">
        <v>9.6999999999999993</v>
      </c>
      <c r="O841" s="1">
        <v>12.2</v>
      </c>
      <c r="P841" s="1">
        <v>10.7</v>
      </c>
      <c r="Q841" s="1">
        <v>977</v>
      </c>
      <c r="R841" s="1">
        <v>42.5</v>
      </c>
      <c r="S841" s="1">
        <v>100</v>
      </c>
      <c r="T841" s="5">
        <v>0.1222</v>
      </c>
      <c r="U841" s="10">
        <v>-1E-3</v>
      </c>
    </row>
    <row r="842" spans="1:21" customFormat="1">
      <c r="A842">
        <v>1</v>
      </c>
      <c r="B842">
        <v>82</v>
      </c>
      <c r="C842">
        <v>30</v>
      </c>
      <c r="D842">
        <v>6</v>
      </c>
      <c r="E842">
        <v>2020</v>
      </c>
      <c r="F842">
        <v>14106</v>
      </c>
      <c r="G842" t="str">
        <f>VLOOKUP(F842,'[1]Sheet 1'!$B$2:$E$347,2,FALSE)</f>
        <v>Los Ríos</v>
      </c>
      <c r="H842" t="str">
        <f>VLOOKUP(F842,'[1]Sheet 1'!$B$2:$E$347,3,FALSE)</f>
        <v>Valdivia</v>
      </c>
      <c r="I842" t="str">
        <f>VLOOKUP(F842,'[1]Sheet 1'!$B$2:$E$347,4,FALSE)</f>
        <v>Mariquina</v>
      </c>
      <c r="J842" t="s">
        <v>136</v>
      </c>
      <c r="K842" s="3" t="s">
        <v>0</v>
      </c>
      <c r="L842" s="12" t="str">
        <f>VLOOKUP(K842,[2]Hoja4!$A$2:$C$443,2,FALSE)</f>
        <v>Intentional self-harm by hanging, strangulation and suffocation</v>
      </c>
      <c r="M842" s="12" t="str">
        <f>VLOOKUP(K842,[2]Hoja4!$A$2:$C$443,3,FALSE)</f>
        <v>Unspecified place</v>
      </c>
      <c r="N842" s="1">
        <v>6.3</v>
      </c>
      <c r="O842" s="1">
        <v>11.8</v>
      </c>
      <c r="P842" s="1">
        <v>8.5</v>
      </c>
      <c r="Q842" s="1">
        <v>1016.8</v>
      </c>
      <c r="R842" s="1">
        <v>11.4</v>
      </c>
      <c r="S842" s="1">
        <v>97.8</v>
      </c>
      <c r="T842" s="5">
        <v>0.1222</v>
      </c>
      <c r="U842" s="10">
        <v>-1E-3</v>
      </c>
    </row>
    <row r="843" spans="1:21" customFormat="1">
      <c r="A843">
        <v>1</v>
      </c>
      <c r="B843">
        <v>35</v>
      </c>
      <c r="C843">
        <v>30</v>
      </c>
      <c r="D843">
        <v>6</v>
      </c>
      <c r="E843">
        <v>2020</v>
      </c>
      <c r="F843">
        <v>5501</v>
      </c>
      <c r="G843" t="str">
        <f>VLOOKUP(F843,'[1]Sheet 1'!$B$2:$E$347,2,FALSE)</f>
        <v>Valparaíso</v>
      </c>
      <c r="H843" t="str">
        <f>VLOOKUP(F843,'[1]Sheet 1'!$B$2:$E$347,3,FALSE)</f>
        <v>Quillota</v>
      </c>
      <c r="I843" t="str">
        <f>VLOOKUP(F843,'[1]Sheet 1'!$B$2:$E$347,4,FALSE)</f>
        <v>Quillota</v>
      </c>
      <c r="J843" t="s">
        <v>136</v>
      </c>
      <c r="K843" s="3" t="s">
        <v>4</v>
      </c>
      <c r="L843" s="12" t="str">
        <f>VLOOKUP(K843,[2]Hoja4!$A$2:$C$443,2,FALSE)</f>
        <v>Intentional self-harm by hanging, strangulation and suffocation</v>
      </c>
      <c r="M843" s="12" t="str">
        <f>VLOOKUP(K843,[2]Hoja4!$A$2:$C$443,3,FALSE)</f>
        <v>At home</v>
      </c>
      <c r="N843" s="1">
        <v>4.8</v>
      </c>
      <c r="O843" s="1">
        <v>16.399999999999999</v>
      </c>
      <c r="P843" s="1">
        <v>10.6</v>
      </c>
      <c r="Q843" s="1">
        <v>1003</v>
      </c>
      <c r="R843" s="1">
        <v>0.2</v>
      </c>
      <c r="S843" s="1">
        <v>82.5</v>
      </c>
      <c r="T843" s="5">
        <v>0.1222</v>
      </c>
      <c r="U843" s="10">
        <v>-1E-3</v>
      </c>
    </row>
    <row r="844" spans="1:21" customFormat="1">
      <c r="A844">
        <v>1</v>
      </c>
      <c r="B844">
        <v>29</v>
      </c>
      <c r="C844">
        <v>30</v>
      </c>
      <c r="D844">
        <v>6</v>
      </c>
      <c r="E844">
        <v>2020</v>
      </c>
      <c r="F844">
        <v>5301</v>
      </c>
      <c r="G844" t="str">
        <f>VLOOKUP(F844,'[1]Sheet 1'!$B$2:$E$347,2,FALSE)</f>
        <v>Valparaíso</v>
      </c>
      <c r="H844" t="str">
        <f>VLOOKUP(F844,'[1]Sheet 1'!$B$2:$E$347,3,FALSE)</f>
        <v>Los Andes</v>
      </c>
      <c r="I844" t="str">
        <f>VLOOKUP(F844,'[1]Sheet 1'!$B$2:$E$347,4,FALSE)</f>
        <v>Los Andes</v>
      </c>
      <c r="J844" t="s">
        <v>136</v>
      </c>
      <c r="K844" s="3" t="s">
        <v>4</v>
      </c>
      <c r="L844" s="12" t="str">
        <f>VLOOKUP(K844,[2]Hoja4!$A$2:$C$443,2,FALSE)</f>
        <v>Intentional self-harm by hanging, strangulation and suffocation</v>
      </c>
      <c r="M844" s="12" t="str">
        <f>VLOOKUP(K844,[2]Hoja4!$A$2:$C$443,3,FALSE)</f>
        <v>At home</v>
      </c>
      <c r="N844" s="1">
        <v>-0.6</v>
      </c>
      <c r="O844" s="1">
        <v>14.3</v>
      </c>
      <c r="P844" s="1">
        <v>6.9</v>
      </c>
      <c r="Q844" s="1">
        <v>933.6</v>
      </c>
      <c r="R844" s="1">
        <v>0</v>
      </c>
      <c r="S844" s="1">
        <v>85.9</v>
      </c>
      <c r="T844" s="5">
        <v>0.1222</v>
      </c>
      <c r="U844" s="10">
        <v>-1E-3</v>
      </c>
    </row>
    <row r="845" spans="1:21" customFormat="1">
      <c r="A845">
        <v>1</v>
      </c>
      <c r="B845">
        <v>22</v>
      </c>
      <c r="C845">
        <v>30</v>
      </c>
      <c r="D845">
        <v>6</v>
      </c>
      <c r="E845">
        <v>2020</v>
      </c>
      <c r="F845">
        <v>10101</v>
      </c>
      <c r="G845" t="str">
        <f>VLOOKUP(F845,'[1]Sheet 1'!$B$2:$E$347,2,FALSE)</f>
        <v>Los Lagos</v>
      </c>
      <c r="H845" t="str">
        <f>VLOOKUP(F845,'[1]Sheet 1'!$B$2:$E$347,3,FALSE)</f>
        <v>Llanquihue</v>
      </c>
      <c r="I845" t="str">
        <f>VLOOKUP(F845,'[1]Sheet 1'!$B$2:$E$347,4,FALSE)</f>
        <v>Puerto Montt</v>
      </c>
      <c r="J845" t="s">
        <v>136</v>
      </c>
      <c r="K845" s="3" t="s">
        <v>4</v>
      </c>
      <c r="L845" s="12" t="str">
        <f>VLOOKUP(K845,[2]Hoja4!$A$2:$C$443,2,FALSE)</f>
        <v>Intentional self-harm by hanging, strangulation and suffocation</v>
      </c>
      <c r="M845" s="12" t="str">
        <f>VLOOKUP(K845,[2]Hoja4!$A$2:$C$443,3,FALSE)</f>
        <v>At home</v>
      </c>
      <c r="N845" s="1">
        <v>4.4000000000000004</v>
      </c>
      <c r="O845" s="1">
        <v>11</v>
      </c>
      <c r="P845" s="1">
        <v>7.7</v>
      </c>
      <c r="Q845" s="1">
        <v>1007.1</v>
      </c>
      <c r="R845" s="1">
        <v>3.6</v>
      </c>
      <c r="S845" s="1">
        <v>90.8</v>
      </c>
      <c r="T845" s="5">
        <v>0.1222</v>
      </c>
      <c r="U845" s="10">
        <v>-1E-3</v>
      </c>
    </row>
    <row r="846" spans="1:21" customFormat="1">
      <c r="A846">
        <v>1</v>
      </c>
      <c r="B846">
        <v>47</v>
      </c>
      <c r="C846">
        <v>1</v>
      </c>
      <c r="D846">
        <v>7</v>
      </c>
      <c r="E846">
        <v>2020</v>
      </c>
      <c r="F846">
        <v>13110</v>
      </c>
      <c r="G846" t="str">
        <f>VLOOKUP(F846,'[1]Sheet 1'!$B$2:$E$347,2,FALSE)</f>
        <v>Metropolitana de Santiago</v>
      </c>
      <c r="H846" t="str">
        <f>VLOOKUP(F846,'[1]Sheet 1'!$B$2:$E$347,3,FALSE)</f>
        <v>Santiago</v>
      </c>
      <c r="I846" t="str">
        <f>VLOOKUP(F846,'[1]Sheet 1'!$B$2:$E$347,4,FALSE)</f>
        <v>La Florida</v>
      </c>
      <c r="J846" t="s">
        <v>136</v>
      </c>
      <c r="K846" s="3" t="s">
        <v>0</v>
      </c>
      <c r="L846" s="12" t="str">
        <f>VLOOKUP(K846,[2]Hoja4!$A$2:$C$443,2,FALSE)</f>
        <v>Intentional self-harm by hanging, strangulation and suffocation</v>
      </c>
      <c r="M846" s="12" t="str">
        <f>VLOOKUP(K846,[2]Hoja4!$A$2:$C$443,3,FALSE)</f>
        <v>Unspecified place</v>
      </c>
      <c r="N846" s="1">
        <v>7.4</v>
      </c>
      <c r="O846" s="1">
        <v>14.8</v>
      </c>
      <c r="P846" s="1">
        <v>9.4</v>
      </c>
      <c r="Q846" s="1">
        <v>961</v>
      </c>
      <c r="R846" s="1"/>
      <c r="S846" s="1">
        <v>90.2</v>
      </c>
      <c r="T846" s="8">
        <v>0.13089999999999999</v>
      </c>
      <c r="U846" s="7">
        <v>1E-3</v>
      </c>
    </row>
    <row r="847" spans="1:21" customFormat="1">
      <c r="A847">
        <v>1</v>
      </c>
      <c r="B847">
        <v>47</v>
      </c>
      <c r="C847">
        <v>1</v>
      </c>
      <c r="D847">
        <v>7</v>
      </c>
      <c r="E847">
        <v>2020</v>
      </c>
      <c r="F847">
        <v>8203</v>
      </c>
      <c r="G847" t="str">
        <f>VLOOKUP(F847,'[1]Sheet 1'!$B$2:$E$347,2,FALSE)</f>
        <v>Biobío</v>
      </c>
      <c r="H847" t="str">
        <f>VLOOKUP(F847,'[1]Sheet 1'!$B$2:$E$347,3,FALSE)</f>
        <v>Arauco</v>
      </c>
      <c r="I847" t="str">
        <f>VLOOKUP(F847,'[1]Sheet 1'!$B$2:$E$347,4,FALSE)</f>
        <v>Cañete</v>
      </c>
      <c r="J847" t="s">
        <v>136</v>
      </c>
      <c r="K847" s="3" t="s">
        <v>4</v>
      </c>
      <c r="L847" s="12" t="str">
        <f>VLOOKUP(K847,[2]Hoja4!$A$2:$C$443,2,FALSE)</f>
        <v>Intentional self-harm by hanging, strangulation and suffocation</v>
      </c>
      <c r="M847" s="12" t="str">
        <f>VLOOKUP(K847,[2]Hoja4!$A$2:$C$443,3,FALSE)</f>
        <v>At home</v>
      </c>
      <c r="N847" s="1">
        <v>10</v>
      </c>
      <c r="O847" s="1">
        <v>12.8</v>
      </c>
      <c r="P847" s="1">
        <v>11.2</v>
      </c>
      <c r="Q847" s="1">
        <v>1019.9</v>
      </c>
      <c r="R847" s="1">
        <v>7.2</v>
      </c>
      <c r="S847" s="1">
        <v>96.2</v>
      </c>
      <c r="T847" s="8">
        <v>0.13089999999999999</v>
      </c>
      <c r="U847" s="7">
        <v>1E-3</v>
      </c>
    </row>
    <row r="848" spans="1:21" customFormat="1">
      <c r="A848">
        <v>1</v>
      </c>
      <c r="B848">
        <v>37</v>
      </c>
      <c r="C848">
        <v>1</v>
      </c>
      <c r="D848">
        <v>7</v>
      </c>
      <c r="E848">
        <v>2020</v>
      </c>
      <c r="F848">
        <v>13125</v>
      </c>
      <c r="G848" t="str">
        <f>VLOOKUP(F848,'[1]Sheet 1'!$B$2:$E$347,2,FALSE)</f>
        <v>Metropolitana de Santiago</v>
      </c>
      <c r="H848" t="str">
        <f>VLOOKUP(F848,'[1]Sheet 1'!$B$2:$E$347,3,FALSE)</f>
        <v>Santiago</v>
      </c>
      <c r="I848" t="str">
        <f>VLOOKUP(F848,'[1]Sheet 1'!$B$2:$E$347,4,FALSE)</f>
        <v>Quilicura</v>
      </c>
      <c r="J848" t="s">
        <v>136</v>
      </c>
      <c r="K848" s="3" t="s">
        <v>0</v>
      </c>
      <c r="L848" s="12" t="str">
        <f>VLOOKUP(K848,[2]Hoja4!$A$2:$C$443,2,FALSE)</f>
        <v>Intentional self-harm by hanging, strangulation and suffocation</v>
      </c>
      <c r="M848" s="12" t="str">
        <f>VLOOKUP(K848,[2]Hoja4!$A$2:$C$443,3,FALSE)</f>
        <v>Unspecified place</v>
      </c>
      <c r="N848" s="1">
        <v>7.4</v>
      </c>
      <c r="O848" s="1">
        <v>14.8</v>
      </c>
      <c r="P848" s="1">
        <v>9.4</v>
      </c>
      <c r="Q848" s="1">
        <v>961</v>
      </c>
      <c r="R848" s="1"/>
      <c r="S848" s="1">
        <v>90.2</v>
      </c>
      <c r="T848" s="8">
        <v>0.13089999999999999</v>
      </c>
      <c r="U848" s="7">
        <v>1E-3</v>
      </c>
    </row>
    <row r="849" spans="1:21" customFormat="1">
      <c r="A849">
        <v>1</v>
      </c>
      <c r="B849">
        <v>78</v>
      </c>
      <c r="C849">
        <v>2</v>
      </c>
      <c r="D849">
        <v>7</v>
      </c>
      <c r="E849">
        <v>2020</v>
      </c>
      <c r="F849">
        <v>6112</v>
      </c>
      <c r="G849" t="str">
        <f>VLOOKUP(F849,'[1]Sheet 1'!$B$2:$E$347,2,FALSE)</f>
        <v>Libertador General Bernardo O'Higgins</v>
      </c>
      <c r="H849" t="str">
        <f>VLOOKUP(F849,'[1]Sheet 1'!$B$2:$E$347,3,FALSE)</f>
        <v>Cachapoal</v>
      </c>
      <c r="I849" t="str">
        <f>VLOOKUP(F849,'[1]Sheet 1'!$B$2:$E$347,4,FALSE)</f>
        <v>Peumo</v>
      </c>
      <c r="J849" t="s">
        <v>136</v>
      </c>
      <c r="K849" s="3" t="s">
        <v>0</v>
      </c>
      <c r="L849" s="12" t="str">
        <f>VLOOKUP(K849,[2]Hoja4!$A$2:$C$443,2,FALSE)</f>
        <v>Intentional self-harm by hanging, strangulation and suffocation</v>
      </c>
      <c r="M849" s="12" t="str">
        <f>VLOOKUP(K849,[2]Hoja4!$A$2:$C$443,3,FALSE)</f>
        <v>Unspecified place</v>
      </c>
      <c r="N849" s="1">
        <v>7.4</v>
      </c>
      <c r="O849" s="1" t="s">
        <v>62</v>
      </c>
      <c r="P849" s="1">
        <v>9.1</v>
      </c>
      <c r="Q849" s="1">
        <v>962.9</v>
      </c>
      <c r="R849" s="1">
        <v>0</v>
      </c>
      <c r="S849" s="1">
        <v>99.8</v>
      </c>
      <c r="T849" s="8">
        <v>0.13089999999999999</v>
      </c>
      <c r="U849" s="7">
        <v>1E-3</v>
      </c>
    </row>
    <row r="850" spans="1:21" customFormat="1">
      <c r="A850">
        <v>2</v>
      </c>
      <c r="B850">
        <v>50</v>
      </c>
      <c r="C850">
        <v>2</v>
      </c>
      <c r="D850">
        <v>7</v>
      </c>
      <c r="E850">
        <v>2020</v>
      </c>
      <c r="F850">
        <v>8302</v>
      </c>
      <c r="G850" t="str">
        <f>VLOOKUP(F850,'[1]Sheet 1'!$B$2:$E$347,2,FALSE)</f>
        <v>Biobío</v>
      </c>
      <c r="H850" t="str">
        <f>VLOOKUP(F850,'[1]Sheet 1'!$B$2:$E$347,3,FALSE)</f>
        <v>Biobío</v>
      </c>
      <c r="I850" t="str">
        <f>VLOOKUP(F850,'[1]Sheet 1'!$B$2:$E$347,4,FALSE)</f>
        <v>Antuco</v>
      </c>
      <c r="J850" t="s">
        <v>140</v>
      </c>
      <c r="K850" s="3" t="s">
        <v>28</v>
      </c>
      <c r="L850" s="12" t="str">
        <f>VLOOKUP(K850,[2]Hoja4!$A$2:$C$443,2,FALSE)</f>
        <v>Intentional self-poisoning by and exposure to other and unspecified drugs, medicaments and biological substances</v>
      </c>
      <c r="M850" s="12" t="str">
        <f>VLOOKUP(K850,[2]Hoja4!$A$2:$C$443,3,FALSE)</f>
        <v>At home</v>
      </c>
      <c r="N850" s="1">
        <v>4</v>
      </c>
      <c r="O850" s="1">
        <v>11</v>
      </c>
      <c r="P850" s="1">
        <v>7.5</v>
      </c>
      <c r="Q850" s="1">
        <v>1009.5</v>
      </c>
      <c r="R850" s="1">
        <v>6.9</v>
      </c>
      <c r="S850" s="1">
        <v>99</v>
      </c>
      <c r="T850" s="8">
        <v>0.13089999999999999</v>
      </c>
      <c r="U850" s="7">
        <v>1E-3</v>
      </c>
    </row>
    <row r="851" spans="1:21" customFormat="1">
      <c r="A851">
        <v>1</v>
      </c>
      <c r="B851">
        <v>44</v>
      </c>
      <c r="C851">
        <v>2</v>
      </c>
      <c r="D851">
        <v>7</v>
      </c>
      <c r="E851">
        <v>2020</v>
      </c>
      <c r="F851">
        <v>13116</v>
      </c>
      <c r="G851" t="str">
        <f>VLOOKUP(F851,'[1]Sheet 1'!$B$2:$E$347,2,FALSE)</f>
        <v>Metropolitana de Santiago</v>
      </c>
      <c r="H851" t="str">
        <f>VLOOKUP(F851,'[1]Sheet 1'!$B$2:$E$347,3,FALSE)</f>
        <v>Santiago</v>
      </c>
      <c r="I851" t="str">
        <f>VLOOKUP(F851,'[1]Sheet 1'!$B$2:$E$347,4,FALSE)</f>
        <v>Lo Espejo</v>
      </c>
      <c r="J851" t="s">
        <v>136</v>
      </c>
      <c r="K851" s="3" t="s">
        <v>0</v>
      </c>
      <c r="L851" s="12" t="str">
        <f>VLOOKUP(K851,[2]Hoja4!$A$2:$C$443,2,FALSE)</f>
        <v>Intentional self-harm by hanging, strangulation and suffocation</v>
      </c>
      <c r="M851" s="12" t="str">
        <f>VLOOKUP(K851,[2]Hoja4!$A$2:$C$443,3,FALSE)</f>
        <v>Unspecified place</v>
      </c>
      <c r="N851" s="1">
        <v>3.4</v>
      </c>
      <c r="O851" s="1">
        <v>17.7</v>
      </c>
      <c r="P851" s="1">
        <v>8.9</v>
      </c>
      <c r="Q851" s="1">
        <v>959.1</v>
      </c>
      <c r="R851" s="1"/>
      <c r="S851" s="1">
        <v>87.5</v>
      </c>
      <c r="T851" s="8">
        <v>0.13089999999999999</v>
      </c>
      <c r="U851" s="7">
        <v>1E-3</v>
      </c>
    </row>
    <row r="852" spans="1:21" customFormat="1">
      <c r="A852">
        <v>1</v>
      </c>
      <c r="B852">
        <v>27</v>
      </c>
      <c r="C852">
        <v>2</v>
      </c>
      <c r="D852">
        <v>7</v>
      </c>
      <c r="E852">
        <v>2020</v>
      </c>
      <c r="F852">
        <v>14101</v>
      </c>
      <c r="G852" t="str">
        <f>VLOOKUP(F852,'[1]Sheet 1'!$B$2:$E$347,2,FALSE)</f>
        <v>Los Ríos</v>
      </c>
      <c r="H852" t="str">
        <f>VLOOKUP(F852,'[1]Sheet 1'!$B$2:$E$347,3,FALSE)</f>
        <v>Valdivia</v>
      </c>
      <c r="I852" t="str">
        <f>VLOOKUP(F852,'[1]Sheet 1'!$B$2:$E$347,4,FALSE)</f>
        <v>Valdivia</v>
      </c>
      <c r="J852" t="s">
        <v>136</v>
      </c>
      <c r="K852" s="3" t="s">
        <v>0</v>
      </c>
      <c r="L852" s="12" t="str">
        <f>VLOOKUP(K852,[2]Hoja4!$A$2:$C$443,2,FALSE)</f>
        <v>Intentional self-harm by hanging, strangulation and suffocation</v>
      </c>
      <c r="M852" s="12" t="str">
        <f>VLOOKUP(K852,[2]Hoja4!$A$2:$C$443,3,FALSE)</f>
        <v>Unspecified place</v>
      </c>
      <c r="N852" s="1">
        <v>4.5</v>
      </c>
      <c r="O852" s="1">
        <v>11.2</v>
      </c>
      <c r="P852" s="1">
        <v>8</v>
      </c>
      <c r="Q852" s="1">
        <v>1018.2</v>
      </c>
      <c r="R852" s="1">
        <v>4.5999999999999996</v>
      </c>
      <c r="S852" s="1">
        <v>99.2</v>
      </c>
      <c r="T852" s="8">
        <v>0.13089999999999999</v>
      </c>
      <c r="U852" s="7">
        <v>1E-3</v>
      </c>
    </row>
    <row r="853" spans="1:21" customFormat="1">
      <c r="A853">
        <v>1</v>
      </c>
      <c r="B853">
        <v>68</v>
      </c>
      <c r="C853">
        <v>3</v>
      </c>
      <c r="D853">
        <v>7</v>
      </c>
      <c r="E853">
        <v>2020</v>
      </c>
      <c r="F853">
        <v>13101</v>
      </c>
      <c r="G853" t="str">
        <f>VLOOKUP(F853,'[1]Sheet 1'!$B$2:$E$347,2,FALSE)</f>
        <v>Metropolitana de Santiago</v>
      </c>
      <c r="H853" t="str">
        <f>VLOOKUP(F853,'[1]Sheet 1'!$B$2:$E$347,3,FALSE)</f>
        <v>Santiago</v>
      </c>
      <c r="I853" t="str">
        <f>VLOOKUP(F853,'[1]Sheet 1'!$B$2:$E$347,4,FALSE)</f>
        <v>Santiago</v>
      </c>
      <c r="J853" t="s">
        <v>136</v>
      </c>
      <c r="K853" s="3" t="s">
        <v>0</v>
      </c>
      <c r="L853" s="12" t="str">
        <f>VLOOKUP(K853,[2]Hoja4!$A$2:$C$443,2,FALSE)</f>
        <v>Intentional self-harm by hanging, strangulation and suffocation</v>
      </c>
      <c r="M853" s="12" t="str">
        <f>VLOOKUP(K853,[2]Hoja4!$A$2:$C$443,3,FALSE)</f>
        <v>Unspecified place</v>
      </c>
      <c r="N853" s="1">
        <v>4.0999999999999996</v>
      </c>
      <c r="O853" s="1">
        <v>18.600000000000001</v>
      </c>
      <c r="P853" s="1">
        <v>9.9</v>
      </c>
      <c r="Q853" s="1">
        <v>956.8</v>
      </c>
      <c r="R853" s="1"/>
      <c r="S853" s="1">
        <v>81.8</v>
      </c>
      <c r="T853" s="8">
        <v>0.13089999999999999</v>
      </c>
      <c r="U853" s="7">
        <v>1E-3</v>
      </c>
    </row>
    <row r="854" spans="1:21" customFormat="1">
      <c r="A854">
        <v>1</v>
      </c>
      <c r="B854">
        <v>57</v>
      </c>
      <c r="C854">
        <v>3</v>
      </c>
      <c r="D854">
        <v>7</v>
      </c>
      <c r="E854">
        <v>2020</v>
      </c>
      <c r="F854">
        <v>13127</v>
      </c>
      <c r="G854" t="str">
        <f>VLOOKUP(F854,'[1]Sheet 1'!$B$2:$E$347,2,FALSE)</f>
        <v>Metropolitana de Santiago</v>
      </c>
      <c r="H854" t="str">
        <f>VLOOKUP(F854,'[1]Sheet 1'!$B$2:$E$347,3,FALSE)</f>
        <v>Santiago</v>
      </c>
      <c r="I854" t="str">
        <f>VLOOKUP(F854,'[1]Sheet 1'!$B$2:$E$347,4,FALSE)</f>
        <v>Recoleta</v>
      </c>
      <c r="J854" t="s">
        <v>136</v>
      </c>
      <c r="K854" s="3" t="s">
        <v>0</v>
      </c>
      <c r="L854" s="12" t="str">
        <f>VLOOKUP(K854,[2]Hoja4!$A$2:$C$443,2,FALSE)</f>
        <v>Intentional self-harm by hanging, strangulation and suffocation</v>
      </c>
      <c r="M854" s="12" t="str">
        <f>VLOOKUP(K854,[2]Hoja4!$A$2:$C$443,3,FALSE)</f>
        <v>Unspecified place</v>
      </c>
      <c r="N854" s="1">
        <v>4.0999999999999996</v>
      </c>
      <c r="O854" s="1">
        <v>18.600000000000001</v>
      </c>
      <c r="P854" s="1">
        <v>9.9</v>
      </c>
      <c r="Q854" s="1">
        <v>956.8</v>
      </c>
      <c r="R854" s="1"/>
      <c r="S854" s="1">
        <v>81.8</v>
      </c>
      <c r="T854" s="8">
        <v>0.13089999999999999</v>
      </c>
      <c r="U854" s="7">
        <v>1E-3</v>
      </c>
    </row>
    <row r="855" spans="1:21" customFormat="1">
      <c r="A855">
        <v>1</v>
      </c>
      <c r="B855">
        <v>39</v>
      </c>
      <c r="C855">
        <v>3</v>
      </c>
      <c r="D855">
        <v>7</v>
      </c>
      <c r="E855">
        <v>2020</v>
      </c>
      <c r="F855">
        <v>9116</v>
      </c>
      <c r="G855" t="str">
        <f>VLOOKUP(F855,'[1]Sheet 1'!$B$2:$E$347,2,FALSE)</f>
        <v>La Araucanía</v>
      </c>
      <c r="H855" t="str">
        <f>VLOOKUP(F855,'[1]Sheet 1'!$B$2:$E$347,3,FALSE)</f>
        <v>Cautín</v>
      </c>
      <c r="I855" t="str">
        <f>VLOOKUP(F855,'[1]Sheet 1'!$B$2:$E$347,4,FALSE)</f>
        <v>Saavedra</v>
      </c>
      <c r="J855" t="s">
        <v>136</v>
      </c>
      <c r="K855" s="3" t="s">
        <v>0</v>
      </c>
      <c r="L855" s="12" t="str">
        <f>VLOOKUP(K855,[2]Hoja4!$A$2:$C$443,2,FALSE)</f>
        <v>Intentional self-harm by hanging, strangulation and suffocation</v>
      </c>
      <c r="M855" s="12" t="str">
        <f>VLOOKUP(K855,[2]Hoja4!$A$2:$C$443,3,FALSE)</f>
        <v>Unspecified place</v>
      </c>
      <c r="N855" s="1">
        <v>6.2</v>
      </c>
      <c r="O855" s="1">
        <v>11.2</v>
      </c>
      <c r="P855" s="1">
        <v>8</v>
      </c>
      <c r="Q855" s="1">
        <v>998.7</v>
      </c>
      <c r="R855" s="1">
        <v>4</v>
      </c>
      <c r="S855" s="1">
        <v>96.5</v>
      </c>
      <c r="T855" s="8">
        <v>0.13089999999999999</v>
      </c>
      <c r="U855" s="7">
        <v>1E-3</v>
      </c>
    </row>
    <row r="856" spans="1:21" customFormat="1">
      <c r="A856">
        <v>1</v>
      </c>
      <c r="B856">
        <v>30</v>
      </c>
      <c r="C856">
        <v>3</v>
      </c>
      <c r="D856">
        <v>7</v>
      </c>
      <c r="E856">
        <v>2020</v>
      </c>
      <c r="F856">
        <v>5101</v>
      </c>
      <c r="G856" t="str">
        <f>VLOOKUP(F856,'[1]Sheet 1'!$B$2:$E$347,2,FALSE)</f>
        <v>Valparaíso</v>
      </c>
      <c r="H856" t="str">
        <f>VLOOKUP(F856,'[1]Sheet 1'!$B$2:$E$347,3,FALSE)</f>
        <v>Valparaíso</v>
      </c>
      <c r="I856" t="str">
        <f>VLOOKUP(F856,'[1]Sheet 1'!$B$2:$E$347,4,FALSE)</f>
        <v>Valparaíso</v>
      </c>
      <c r="J856" t="s">
        <v>136</v>
      </c>
      <c r="K856" s="3" t="s">
        <v>4</v>
      </c>
      <c r="L856" s="12" t="str">
        <f>VLOOKUP(K856,[2]Hoja4!$A$2:$C$443,2,FALSE)</f>
        <v>Intentional self-harm by hanging, strangulation and suffocation</v>
      </c>
      <c r="M856" s="12" t="str">
        <f>VLOOKUP(K856,[2]Hoja4!$A$2:$C$443,3,FALSE)</f>
        <v>At home</v>
      </c>
      <c r="N856" s="1">
        <v>7.1</v>
      </c>
      <c r="O856" s="1">
        <v>16.3</v>
      </c>
      <c r="P856" s="1">
        <v>11.3</v>
      </c>
      <c r="Q856" s="1">
        <v>978</v>
      </c>
      <c r="R856" s="1">
        <v>3.2</v>
      </c>
      <c r="S856" s="1">
        <v>88.2</v>
      </c>
      <c r="T856" s="8">
        <v>0.13089999999999999</v>
      </c>
      <c r="U856" s="7">
        <v>1E-3</v>
      </c>
    </row>
    <row r="857" spans="1:21" customFormat="1">
      <c r="A857">
        <v>1</v>
      </c>
      <c r="B857">
        <v>26</v>
      </c>
      <c r="C857">
        <v>3</v>
      </c>
      <c r="D857">
        <v>7</v>
      </c>
      <c r="E857">
        <v>2020</v>
      </c>
      <c r="F857">
        <v>5502</v>
      </c>
      <c r="G857" t="str">
        <f>VLOOKUP(F857,'[1]Sheet 1'!$B$2:$E$347,2,FALSE)</f>
        <v>Valparaíso</v>
      </c>
      <c r="H857" t="str">
        <f>VLOOKUP(F857,'[1]Sheet 1'!$B$2:$E$347,3,FALSE)</f>
        <v>Quillota</v>
      </c>
      <c r="I857" t="str">
        <f>VLOOKUP(F857,'[1]Sheet 1'!$B$2:$E$347,4,FALSE)</f>
        <v>Calera</v>
      </c>
      <c r="J857" t="s">
        <v>136</v>
      </c>
      <c r="K857" s="3" t="s">
        <v>4</v>
      </c>
      <c r="L857" s="12" t="str">
        <f>VLOOKUP(K857,[2]Hoja4!$A$2:$C$443,2,FALSE)</f>
        <v>Intentional self-harm by hanging, strangulation and suffocation</v>
      </c>
      <c r="M857" s="12" t="str">
        <f>VLOOKUP(K857,[2]Hoja4!$A$2:$C$443,3,FALSE)</f>
        <v>At home</v>
      </c>
      <c r="N857" s="1">
        <v>4.5999999999999996</v>
      </c>
      <c r="O857" s="1">
        <v>18.5</v>
      </c>
      <c r="P857" s="1">
        <v>11.5</v>
      </c>
      <c r="Q857" s="1">
        <v>997.7</v>
      </c>
      <c r="R857" s="1">
        <v>0</v>
      </c>
      <c r="S857" s="1">
        <v>82.8</v>
      </c>
      <c r="T857" s="8">
        <v>0.13089999999999999</v>
      </c>
      <c r="U857" s="7">
        <v>1E-3</v>
      </c>
    </row>
    <row r="858" spans="1:21" customFormat="1">
      <c r="A858">
        <v>1</v>
      </c>
      <c r="B858">
        <v>30</v>
      </c>
      <c r="C858">
        <v>4</v>
      </c>
      <c r="D858">
        <v>7</v>
      </c>
      <c r="E858">
        <v>2020</v>
      </c>
      <c r="F858">
        <v>10210</v>
      </c>
      <c r="G858" t="str">
        <f>VLOOKUP(F858,'[1]Sheet 1'!$B$2:$E$347,2,FALSE)</f>
        <v>Los Lagos</v>
      </c>
      <c r="H858" t="str">
        <f>VLOOKUP(F858,'[1]Sheet 1'!$B$2:$E$347,3,FALSE)</f>
        <v>Chiloé</v>
      </c>
      <c r="I858" t="str">
        <f>VLOOKUP(F858,'[1]Sheet 1'!$B$2:$E$347,4,FALSE)</f>
        <v>Quinchao</v>
      </c>
      <c r="J858" t="s">
        <v>136</v>
      </c>
      <c r="K858" s="3" t="s">
        <v>4</v>
      </c>
      <c r="L858" s="12" t="str">
        <f>VLOOKUP(K858,[2]Hoja4!$A$2:$C$443,2,FALSE)</f>
        <v>Intentional self-harm by hanging, strangulation and suffocation</v>
      </c>
      <c r="M858" s="12" t="str">
        <f>VLOOKUP(K858,[2]Hoja4!$A$2:$C$443,3,FALSE)</f>
        <v>At home</v>
      </c>
      <c r="N858" s="1">
        <v>5.0999999999999996</v>
      </c>
      <c r="O858" s="1">
        <v>7.9</v>
      </c>
      <c r="P858" s="1">
        <v>6.4</v>
      </c>
      <c r="Q858" s="1">
        <v>989.8</v>
      </c>
      <c r="R858" s="1">
        <v>0.2</v>
      </c>
      <c r="S858" s="1">
        <v>90.2</v>
      </c>
      <c r="T858" s="8">
        <v>0.13089999999999999</v>
      </c>
      <c r="U858" s="7">
        <v>1E-3</v>
      </c>
    </row>
    <row r="859" spans="1:21" customFormat="1">
      <c r="A859">
        <v>1</v>
      </c>
      <c r="B859">
        <v>63</v>
      </c>
      <c r="C859">
        <v>5</v>
      </c>
      <c r="D859">
        <v>7</v>
      </c>
      <c r="E859">
        <v>2020</v>
      </c>
      <c r="F859">
        <v>6102</v>
      </c>
      <c r="G859" t="str">
        <f>VLOOKUP(F859,'[1]Sheet 1'!$B$2:$E$347,2,FALSE)</f>
        <v>Libertador General Bernardo O'Higgins</v>
      </c>
      <c r="H859" t="str">
        <f>VLOOKUP(F859,'[1]Sheet 1'!$B$2:$E$347,3,FALSE)</f>
        <v>Cachapoal</v>
      </c>
      <c r="I859" t="str">
        <f>VLOOKUP(F859,'[1]Sheet 1'!$B$2:$E$347,4,FALSE)</f>
        <v>Codegua</v>
      </c>
      <c r="J859" t="s">
        <v>136</v>
      </c>
      <c r="K859" s="3" t="s">
        <v>0</v>
      </c>
      <c r="L859" s="12" t="str">
        <f>VLOOKUP(K859,[2]Hoja4!$A$2:$C$443,2,FALSE)</f>
        <v>Intentional self-harm by hanging, strangulation and suffocation</v>
      </c>
      <c r="M859" s="12" t="str">
        <f>VLOOKUP(K859,[2]Hoja4!$A$2:$C$443,3,FALSE)</f>
        <v>Unspecified place</v>
      </c>
      <c r="N859" s="1" t="s">
        <v>63</v>
      </c>
      <c r="O859" s="1">
        <v>13.3</v>
      </c>
      <c r="P859" s="1">
        <v>7.7</v>
      </c>
      <c r="Q859" s="1">
        <v>963.6</v>
      </c>
      <c r="R859" s="1">
        <v>0</v>
      </c>
      <c r="S859" s="1">
        <v>81.7</v>
      </c>
      <c r="T859" s="8">
        <v>0.13089999999999999</v>
      </c>
      <c r="U859" s="7">
        <v>1E-3</v>
      </c>
    </row>
    <row r="860" spans="1:21" customFormat="1">
      <c r="A860">
        <v>2</v>
      </c>
      <c r="B860">
        <v>64</v>
      </c>
      <c r="C860">
        <v>6</v>
      </c>
      <c r="D860">
        <v>7</v>
      </c>
      <c r="E860">
        <v>2020</v>
      </c>
      <c r="F860">
        <v>13201</v>
      </c>
      <c r="G860" t="str">
        <f>VLOOKUP(F860,'[1]Sheet 1'!$B$2:$E$347,2,FALSE)</f>
        <v>Metropolitana de Santiago</v>
      </c>
      <c r="H860" t="str">
        <f>VLOOKUP(F860,'[1]Sheet 1'!$B$2:$E$347,3,FALSE)</f>
        <v>Cordillera</v>
      </c>
      <c r="I860" t="str">
        <f>VLOOKUP(F860,'[1]Sheet 1'!$B$2:$E$347,4,FALSE)</f>
        <v>Puente Alto</v>
      </c>
      <c r="J860" t="s">
        <v>136</v>
      </c>
      <c r="K860" s="3" t="s">
        <v>0</v>
      </c>
      <c r="L860" s="12" t="str">
        <f>VLOOKUP(K860,[2]Hoja4!$A$2:$C$443,2,FALSE)</f>
        <v>Intentional self-harm by hanging, strangulation and suffocation</v>
      </c>
      <c r="M860" s="12" t="str">
        <f>VLOOKUP(K860,[2]Hoja4!$A$2:$C$443,3,FALSE)</f>
        <v>Unspecified place</v>
      </c>
      <c r="N860" s="1">
        <v>4.7</v>
      </c>
      <c r="O860" s="1">
        <v>12.3</v>
      </c>
      <c r="P860" s="1">
        <v>7.3</v>
      </c>
      <c r="Q860" s="1">
        <v>938</v>
      </c>
      <c r="R860" s="1">
        <v>0</v>
      </c>
      <c r="S860" s="1">
        <v>90.5</v>
      </c>
      <c r="T860" s="8">
        <v>0.13089999999999999</v>
      </c>
      <c r="U860" s="7">
        <v>1E-3</v>
      </c>
    </row>
    <row r="861" spans="1:21" customFormat="1">
      <c r="A861">
        <v>1</v>
      </c>
      <c r="B861">
        <v>45</v>
      </c>
      <c r="C861">
        <v>6</v>
      </c>
      <c r="D861">
        <v>7</v>
      </c>
      <c r="E861">
        <v>2020</v>
      </c>
      <c r="F861">
        <v>8101</v>
      </c>
      <c r="G861" t="str">
        <f>VLOOKUP(F861,'[1]Sheet 1'!$B$2:$E$347,2,FALSE)</f>
        <v>Biobío</v>
      </c>
      <c r="H861" t="str">
        <f>VLOOKUP(F861,'[1]Sheet 1'!$B$2:$E$347,3,FALSE)</f>
        <v>Concepción</v>
      </c>
      <c r="I861" t="str">
        <f>VLOOKUP(F861,'[1]Sheet 1'!$B$2:$E$347,4,FALSE)</f>
        <v>Concepción</v>
      </c>
      <c r="J861" t="s">
        <v>136</v>
      </c>
      <c r="K861" s="3" t="s">
        <v>17</v>
      </c>
      <c r="L861" s="12" t="str">
        <f>VLOOKUP(K861,[2]Hoja4!$A$2:$C$443,2,FALSE)</f>
        <v>Intentional self-harm by hanging, strangulation and suffocation</v>
      </c>
      <c r="M861" s="12" t="str">
        <f>VLOOKUP(K861,[2]Hoja4!$A$2:$C$443,3,FALSE)</f>
        <v>Industrial and construction area</v>
      </c>
      <c r="N861" s="1">
        <v>3</v>
      </c>
      <c r="O861" s="1">
        <v>12.5</v>
      </c>
      <c r="P861" s="1">
        <v>6.8</v>
      </c>
      <c r="Q861" s="1">
        <v>1016.8</v>
      </c>
      <c r="R861" s="1">
        <v>0</v>
      </c>
      <c r="S861" s="1">
        <v>83.2</v>
      </c>
      <c r="T861" s="8">
        <v>0.13089999999999999</v>
      </c>
      <c r="U861" s="7">
        <v>1E-3</v>
      </c>
    </row>
    <row r="862" spans="1:21" customFormat="1">
      <c r="A862">
        <v>1</v>
      </c>
      <c r="B862">
        <v>17</v>
      </c>
      <c r="C862">
        <v>6</v>
      </c>
      <c r="D862">
        <v>7</v>
      </c>
      <c r="E862">
        <v>2020</v>
      </c>
      <c r="F862">
        <v>7304</v>
      </c>
      <c r="G862" t="str">
        <f>VLOOKUP(F862,'[1]Sheet 1'!$B$2:$E$347,2,FALSE)</f>
        <v>Maule</v>
      </c>
      <c r="H862" t="str">
        <f>VLOOKUP(F862,'[1]Sheet 1'!$B$2:$E$347,3,FALSE)</f>
        <v>Curicó</v>
      </c>
      <c r="I862" t="str">
        <f>VLOOKUP(F862,'[1]Sheet 1'!$B$2:$E$347,4,FALSE)</f>
        <v>Molina</v>
      </c>
      <c r="J862" t="s">
        <v>136</v>
      </c>
      <c r="K862" s="3" t="s">
        <v>4</v>
      </c>
      <c r="L862" s="12" t="str">
        <f>VLOOKUP(K862,[2]Hoja4!$A$2:$C$443,2,FALSE)</f>
        <v>Intentional self-harm by hanging, strangulation and suffocation</v>
      </c>
      <c r="M862" s="12" t="str">
        <f>VLOOKUP(K862,[2]Hoja4!$A$2:$C$443,3,FALSE)</f>
        <v>At home</v>
      </c>
      <c r="N862" s="1">
        <v>6.4</v>
      </c>
      <c r="O862" s="1">
        <v>8.1</v>
      </c>
      <c r="P862" s="1">
        <v>7.8</v>
      </c>
      <c r="Q862" s="1">
        <v>989.8</v>
      </c>
      <c r="R862" s="1">
        <v>0</v>
      </c>
      <c r="S862" s="1">
        <v>95</v>
      </c>
      <c r="T862" s="8">
        <v>0.13089999999999999</v>
      </c>
      <c r="U862" s="7">
        <v>1E-3</v>
      </c>
    </row>
    <row r="863" spans="1:21" customFormat="1">
      <c r="A863">
        <v>1</v>
      </c>
      <c r="B863">
        <v>50</v>
      </c>
      <c r="C863">
        <v>7</v>
      </c>
      <c r="D863">
        <v>7</v>
      </c>
      <c r="E863">
        <v>2020</v>
      </c>
      <c r="F863">
        <v>4201</v>
      </c>
      <c r="G863" t="str">
        <f>VLOOKUP(F863,'[1]Sheet 1'!$B$2:$E$347,2,FALSE)</f>
        <v>Coquimbo</v>
      </c>
      <c r="H863" t="str">
        <f>VLOOKUP(F863,'[1]Sheet 1'!$B$2:$E$347,3,FALSE)</f>
        <v>Choapa</v>
      </c>
      <c r="I863" t="str">
        <f>VLOOKUP(F863,'[1]Sheet 1'!$B$2:$E$347,4,FALSE)</f>
        <v>Illapel</v>
      </c>
      <c r="J863" t="s">
        <v>136</v>
      </c>
      <c r="K863" s="3" t="s">
        <v>0</v>
      </c>
      <c r="L863" s="12" t="str">
        <f>VLOOKUP(K863,[2]Hoja4!$A$2:$C$443,2,FALSE)</f>
        <v>Intentional self-harm by hanging, strangulation and suffocation</v>
      </c>
      <c r="M863" s="12" t="str">
        <f>VLOOKUP(K863,[2]Hoja4!$A$2:$C$443,3,FALSE)</f>
        <v>Unspecified place</v>
      </c>
      <c r="N863" s="1">
        <v>5.9</v>
      </c>
      <c r="O863" s="1">
        <v>16.399999999999999</v>
      </c>
      <c r="P863" s="1">
        <v>10</v>
      </c>
      <c r="Q863" s="1">
        <v>985.8</v>
      </c>
      <c r="R863" s="1">
        <v>0</v>
      </c>
      <c r="S863" s="1">
        <v>86.2</v>
      </c>
      <c r="T863" s="8">
        <v>0.13089999999999999</v>
      </c>
      <c r="U863" s="7">
        <v>1E-3</v>
      </c>
    </row>
    <row r="864" spans="1:21" customFormat="1">
      <c r="A864">
        <v>1</v>
      </c>
      <c r="B864">
        <v>36</v>
      </c>
      <c r="C864">
        <v>7</v>
      </c>
      <c r="D864">
        <v>7</v>
      </c>
      <c r="E864">
        <v>2020</v>
      </c>
      <c r="F864">
        <v>1101</v>
      </c>
      <c r="G864" t="str">
        <f>VLOOKUP(F864,'[1]Sheet 1'!$B$2:$E$347,2,FALSE)</f>
        <v>Tarapacá</v>
      </c>
      <c r="H864" t="str">
        <f>VLOOKUP(F864,'[1]Sheet 1'!$B$2:$E$347,3,FALSE)</f>
        <v>Iquique</v>
      </c>
      <c r="I864" t="str">
        <f>VLOOKUP(F864,'[1]Sheet 1'!$B$2:$E$347,4,FALSE)</f>
        <v>Iquique</v>
      </c>
      <c r="J864" t="s">
        <v>136</v>
      </c>
      <c r="K864" s="3" t="s">
        <v>4</v>
      </c>
      <c r="L864" s="12" t="str">
        <f>VLOOKUP(K864,[2]Hoja4!$A$2:$C$443,2,FALSE)</f>
        <v>Intentional self-harm by hanging, strangulation and suffocation</v>
      </c>
      <c r="M864" s="12" t="str">
        <f>VLOOKUP(K864,[2]Hoja4!$A$2:$C$443,3,FALSE)</f>
        <v>At home</v>
      </c>
      <c r="N864" s="1">
        <v>14.5</v>
      </c>
      <c r="O864" s="1">
        <v>18.100000000000001</v>
      </c>
      <c r="P864" s="1">
        <v>16.399999999999999</v>
      </c>
      <c r="Q864" s="1">
        <v>1016.8</v>
      </c>
      <c r="R864" s="1">
        <v>0</v>
      </c>
      <c r="S864" s="1">
        <v>67.900000000000006</v>
      </c>
      <c r="T864" s="8">
        <v>0.13089999999999999</v>
      </c>
      <c r="U864" s="7">
        <v>1E-3</v>
      </c>
    </row>
    <row r="865" spans="1:21" customFormat="1">
      <c r="A865">
        <v>1</v>
      </c>
      <c r="B865">
        <v>28</v>
      </c>
      <c r="C865">
        <v>9</v>
      </c>
      <c r="D865">
        <v>7</v>
      </c>
      <c r="E865">
        <v>2020</v>
      </c>
      <c r="F865">
        <v>5101</v>
      </c>
      <c r="G865" t="str">
        <f>VLOOKUP(F865,'[1]Sheet 1'!$B$2:$E$347,2,FALSE)</f>
        <v>Valparaíso</v>
      </c>
      <c r="H865" t="str">
        <f>VLOOKUP(F865,'[1]Sheet 1'!$B$2:$E$347,3,FALSE)</f>
        <v>Valparaíso</v>
      </c>
      <c r="I865" t="str">
        <f>VLOOKUP(F865,'[1]Sheet 1'!$B$2:$E$347,4,FALSE)</f>
        <v>Valparaíso</v>
      </c>
      <c r="J865" t="s">
        <v>136</v>
      </c>
      <c r="K865" s="3" t="s">
        <v>0</v>
      </c>
      <c r="L865" s="12" t="str">
        <f>VLOOKUP(K865,[2]Hoja4!$A$2:$C$443,2,FALSE)</f>
        <v>Intentional self-harm by hanging, strangulation and suffocation</v>
      </c>
      <c r="M865" s="12" t="str">
        <f>VLOOKUP(K865,[2]Hoja4!$A$2:$C$443,3,FALSE)</f>
        <v>Unspecified place</v>
      </c>
      <c r="N865" s="1">
        <v>7.7</v>
      </c>
      <c r="O865" s="1" t="s">
        <v>97</v>
      </c>
      <c r="P865" s="1">
        <v>11.3</v>
      </c>
      <c r="Q865" s="1">
        <v>981.7</v>
      </c>
      <c r="R865" s="1">
        <v>0</v>
      </c>
      <c r="S865" s="1">
        <v>74</v>
      </c>
      <c r="T865" s="8">
        <v>0.13089999999999999</v>
      </c>
      <c r="U865" s="7">
        <v>1E-3</v>
      </c>
    </row>
    <row r="866" spans="1:21" customFormat="1">
      <c r="A866">
        <v>2</v>
      </c>
      <c r="B866">
        <v>32</v>
      </c>
      <c r="C866">
        <v>9</v>
      </c>
      <c r="D866">
        <v>7</v>
      </c>
      <c r="E866">
        <v>2020</v>
      </c>
      <c r="F866">
        <v>5601</v>
      </c>
      <c r="G866" t="str">
        <f>VLOOKUP(F866,'[1]Sheet 1'!$B$2:$E$347,2,FALSE)</f>
        <v>Valparaíso</v>
      </c>
      <c r="H866" t="str">
        <f>VLOOKUP(F866,'[1]Sheet 1'!$B$2:$E$347,3,FALSE)</f>
        <v>San Antonio</v>
      </c>
      <c r="I866" t="str">
        <f>VLOOKUP(F866,'[1]Sheet 1'!$B$2:$E$347,4,FALSE)</f>
        <v>San Antonio</v>
      </c>
      <c r="J866" t="s">
        <v>136</v>
      </c>
      <c r="K866" s="3" t="s">
        <v>0</v>
      </c>
      <c r="L866" s="12" t="str">
        <f>VLOOKUP(K866,[2]Hoja4!$A$2:$C$443,2,FALSE)</f>
        <v>Intentional self-harm by hanging, strangulation and suffocation</v>
      </c>
      <c r="M866" s="12" t="str">
        <f>VLOOKUP(K866,[2]Hoja4!$A$2:$C$443,3,FALSE)</f>
        <v>Unspecified place</v>
      </c>
      <c r="N866" s="1">
        <v>7</v>
      </c>
      <c r="O866" s="1">
        <v>16</v>
      </c>
      <c r="P866" s="1">
        <v>11.5</v>
      </c>
      <c r="Q866" s="1">
        <v>1014.2</v>
      </c>
      <c r="R866" s="1">
        <v>0</v>
      </c>
      <c r="S866" s="1">
        <v>78.2</v>
      </c>
      <c r="T866" s="8">
        <v>0.13089999999999999</v>
      </c>
      <c r="U866" s="7">
        <v>1E-3</v>
      </c>
    </row>
    <row r="867" spans="1:21" customFormat="1">
      <c r="A867">
        <v>2</v>
      </c>
      <c r="B867">
        <v>22</v>
      </c>
      <c r="C867">
        <v>9</v>
      </c>
      <c r="D867">
        <v>7</v>
      </c>
      <c r="E867">
        <v>2020</v>
      </c>
      <c r="F867">
        <v>4101</v>
      </c>
      <c r="G867" t="str">
        <f>VLOOKUP(F867,'[1]Sheet 1'!$B$2:$E$347,2,FALSE)</f>
        <v>Coquimbo</v>
      </c>
      <c r="H867" t="str">
        <f>VLOOKUP(F867,'[1]Sheet 1'!$B$2:$E$347,3,FALSE)</f>
        <v>Elqui</v>
      </c>
      <c r="I867" t="str">
        <f>VLOOKUP(F867,'[1]Sheet 1'!$B$2:$E$347,4,FALSE)</f>
        <v>La Serena</v>
      </c>
      <c r="J867" t="s">
        <v>136</v>
      </c>
      <c r="K867" s="3" t="s">
        <v>4</v>
      </c>
      <c r="L867" s="12" t="str">
        <f>VLOOKUP(K867,[2]Hoja4!$A$2:$C$443,2,FALSE)</f>
        <v>Intentional self-harm by hanging, strangulation and suffocation</v>
      </c>
      <c r="M867" s="12" t="str">
        <f>VLOOKUP(K867,[2]Hoja4!$A$2:$C$443,3,FALSE)</f>
        <v>At home</v>
      </c>
      <c r="N867" s="1">
        <v>7.4</v>
      </c>
      <c r="O867" s="1">
        <v>17.399999999999999</v>
      </c>
      <c r="P867" s="1">
        <v>12.4</v>
      </c>
      <c r="Q867" s="1">
        <v>1000.5</v>
      </c>
      <c r="R867" s="1">
        <v>0</v>
      </c>
      <c r="S867" s="1">
        <v>71</v>
      </c>
      <c r="T867" s="8">
        <v>0.13089999999999999</v>
      </c>
      <c r="U867" s="7">
        <v>1E-3</v>
      </c>
    </row>
    <row r="868" spans="1:21" customFormat="1">
      <c r="A868">
        <v>1</v>
      </c>
      <c r="B868">
        <v>49</v>
      </c>
      <c r="C868">
        <v>10</v>
      </c>
      <c r="D868">
        <v>7</v>
      </c>
      <c r="E868">
        <v>2020</v>
      </c>
      <c r="F868">
        <v>10209</v>
      </c>
      <c r="G868" t="str">
        <f>VLOOKUP(F868,'[1]Sheet 1'!$B$2:$E$347,2,FALSE)</f>
        <v>Los Lagos</v>
      </c>
      <c r="H868" t="str">
        <f>VLOOKUP(F868,'[1]Sheet 1'!$B$2:$E$347,3,FALSE)</f>
        <v>Chiloé</v>
      </c>
      <c r="I868" t="str">
        <f>VLOOKUP(F868,'[1]Sheet 1'!$B$2:$E$347,4,FALSE)</f>
        <v>Quemchi</v>
      </c>
      <c r="J868" t="s">
        <v>136</v>
      </c>
      <c r="K868" s="3" t="s">
        <v>17</v>
      </c>
      <c r="L868" s="12" t="str">
        <f>VLOOKUP(K868,[2]Hoja4!$A$2:$C$443,2,FALSE)</f>
        <v>Intentional self-harm by hanging, strangulation and suffocation</v>
      </c>
      <c r="M868" s="12" t="str">
        <f>VLOOKUP(K868,[2]Hoja4!$A$2:$C$443,3,FALSE)</f>
        <v>Industrial and construction area</v>
      </c>
      <c r="N868" s="1">
        <v>0.1</v>
      </c>
      <c r="O868" s="1">
        <v>7.4</v>
      </c>
      <c r="P868" s="1">
        <v>3.3</v>
      </c>
      <c r="Q868" s="1">
        <v>992.6</v>
      </c>
      <c r="R868" s="1">
        <v>12</v>
      </c>
      <c r="S868" s="1">
        <v>90.5</v>
      </c>
      <c r="T868" s="8">
        <v>0.13089999999999999</v>
      </c>
      <c r="U868" s="7">
        <v>1E-3</v>
      </c>
    </row>
    <row r="869" spans="1:21" customFormat="1">
      <c r="A869">
        <v>1</v>
      </c>
      <c r="B869">
        <v>48</v>
      </c>
      <c r="C869">
        <v>10</v>
      </c>
      <c r="D869">
        <v>7</v>
      </c>
      <c r="E869">
        <v>2020</v>
      </c>
      <c r="F869">
        <v>13107</v>
      </c>
      <c r="G869" t="str">
        <f>VLOOKUP(F869,'[1]Sheet 1'!$B$2:$E$347,2,FALSE)</f>
        <v>Metropolitana de Santiago</v>
      </c>
      <c r="H869" t="str">
        <f>VLOOKUP(F869,'[1]Sheet 1'!$B$2:$E$347,3,FALSE)</f>
        <v>Santiago</v>
      </c>
      <c r="I869" t="str">
        <f>VLOOKUP(F869,'[1]Sheet 1'!$B$2:$E$347,4,FALSE)</f>
        <v>Huechuraba</v>
      </c>
      <c r="J869" t="s">
        <v>136</v>
      </c>
      <c r="K869" s="3" t="s">
        <v>0</v>
      </c>
      <c r="L869" s="12" t="str">
        <f>VLOOKUP(K869,[2]Hoja4!$A$2:$C$443,2,FALSE)</f>
        <v>Intentional self-harm by hanging, strangulation and suffocation</v>
      </c>
      <c r="M869" s="12" t="str">
        <f>VLOOKUP(K869,[2]Hoja4!$A$2:$C$443,3,FALSE)</f>
        <v>Unspecified place</v>
      </c>
      <c r="N869" s="1">
        <v>6.2</v>
      </c>
      <c r="O869" s="1">
        <v>14.3</v>
      </c>
      <c r="P869" s="1">
        <v>9.1999999999999993</v>
      </c>
      <c r="Q869" s="1">
        <v>960.5</v>
      </c>
      <c r="R869" s="1"/>
      <c r="S869" s="1">
        <v>83.5</v>
      </c>
      <c r="T869" s="8">
        <v>0.13089999999999999</v>
      </c>
      <c r="U869" s="7">
        <v>1E-3</v>
      </c>
    </row>
    <row r="870" spans="1:21" customFormat="1">
      <c r="A870">
        <v>1</v>
      </c>
      <c r="B870">
        <v>42</v>
      </c>
      <c r="C870">
        <v>10</v>
      </c>
      <c r="D870">
        <v>7</v>
      </c>
      <c r="E870">
        <v>2020</v>
      </c>
      <c r="F870">
        <v>13106</v>
      </c>
      <c r="G870" t="str">
        <f>VLOOKUP(F870,'[1]Sheet 1'!$B$2:$E$347,2,FALSE)</f>
        <v>Metropolitana de Santiago</v>
      </c>
      <c r="H870" t="str">
        <f>VLOOKUP(F870,'[1]Sheet 1'!$B$2:$E$347,3,FALSE)</f>
        <v>Santiago</v>
      </c>
      <c r="I870" t="str">
        <f>VLOOKUP(F870,'[1]Sheet 1'!$B$2:$E$347,4,FALSE)</f>
        <v>Estación Central</v>
      </c>
      <c r="J870" t="s">
        <v>136</v>
      </c>
      <c r="K870" s="3" t="s">
        <v>0</v>
      </c>
      <c r="L870" s="12" t="str">
        <f>VLOOKUP(K870,[2]Hoja4!$A$2:$C$443,2,FALSE)</f>
        <v>Intentional self-harm by hanging, strangulation and suffocation</v>
      </c>
      <c r="M870" s="12" t="str">
        <f>VLOOKUP(K870,[2]Hoja4!$A$2:$C$443,3,FALSE)</f>
        <v>Unspecified place</v>
      </c>
      <c r="N870" s="1">
        <v>6.2</v>
      </c>
      <c r="O870" s="1">
        <v>14.3</v>
      </c>
      <c r="P870" s="1">
        <v>9.1999999999999993</v>
      </c>
      <c r="Q870" s="1">
        <v>960.5</v>
      </c>
      <c r="R870" s="1"/>
      <c r="S870" s="1">
        <v>83.5</v>
      </c>
      <c r="T870" s="8">
        <v>0.13089999999999999</v>
      </c>
      <c r="U870" s="7">
        <v>1E-3</v>
      </c>
    </row>
    <row r="871" spans="1:21" customFormat="1">
      <c r="A871">
        <v>1</v>
      </c>
      <c r="B871">
        <v>20</v>
      </c>
      <c r="C871">
        <v>10</v>
      </c>
      <c r="D871">
        <v>7</v>
      </c>
      <c r="E871">
        <v>2020</v>
      </c>
      <c r="F871">
        <v>13201</v>
      </c>
      <c r="G871" t="str">
        <f>VLOOKUP(F871,'[1]Sheet 1'!$B$2:$E$347,2,FALSE)</f>
        <v>Metropolitana de Santiago</v>
      </c>
      <c r="H871" t="str">
        <f>VLOOKUP(F871,'[1]Sheet 1'!$B$2:$E$347,3,FALSE)</f>
        <v>Cordillera</v>
      </c>
      <c r="I871" t="str">
        <f>VLOOKUP(F871,'[1]Sheet 1'!$B$2:$E$347,4,FALSE)</f>
        <v>Puente Alto</v>
      </c>
      <c r="J871" t="s">
        <v>136</v>
      </c>
      <c r="K871" s="3" t="s">
        <v>0</v>
      </c>
      <c r="L871" s="12" t="str">
        <f>VLOOKUP(K871,[2]Hoja4!$A$2:$C$443,2,FALSE)</f>
        <v>Intentional self-harm by hanging, strangulation and suffocation</v>
      </c>
      <c r="M871" s="12" t="str">
        <f>VLOOKUP(K871,[2]Hoja4!$A$2:$C$443,3,FALSE)</f>
        <v>Unspecified place</v>
      </c>
      <c r="N871" s="1">
        <v>4.3</v>
      </c>
      <c r="O871" s="1">
        <v>13.4</v>
      </c>
      <c r="P871" s="1">
        <v>8.8000000000000007</v>
      </c>
      <c r="Q871" s="1">
        <v>943.6</v>
      </c>
      <c r="R871" s="1">
        <v>0</v>
      </c>
      <c r="S871" s="1">
        <v>89.6</v>
      </c>
      <c r="T871" s="8">
        <v>0.13089999999999999</v>
      </c>
      <c r="U871" s="7">
        <v>1E-3</v>
      </c>
    </row>
    <row r="872" spans="1:21" customFormat="1">
      <c r="A872">
        <v>1</v>
      </c>
      <c r="B872">
        <v>57</v>
      </c>
      <c r="C872">
        <v>11</v>
      </c>
      <c r="D872">
        <v>7</v>
      </c>
      <c r="E872">
        <v>2020</v>
      </c>
      <c r="F872">
        <v>14108</v>
      </c>
      <c r="G872" t="str">
        <f>VLOOKUP(F872,'[1]Sheet 1'!$B$2:$E$347,2,FALSE)</f>
        <v>Los Ríos</v>
      </c>
      <c r="H872" t="str">
        <f>VLOOKUP(F872,'[1]Sheet 1'!$B$2:$E$347,3,FALSE)</f>
        <v>Valdivia</v>
      </c>
      <c r="I872" t="str">
        <f>VLOOKUP(F872,'[1]Sheet 1'!$B$2:$E$347,4,FALSE)</f>
        <v>Panguipulli</v>
      </c>
      <c r="J872" t="s">
        <v>136</v>
      </c>
      <c r="K872" s="3" t="s">
        <v>0</v>
      </c>
      <c r="L872" s="12" t="str">
        <f>VLOOKUP(K872,[2]Hoja4!$A$2:$C$443,2,FALSE)</f>
        <v>Intentional self-harm by hanging, strangulation and suffocation</v>
      </c>
      <c r="M872" s="12" t="str">
        <f>VLOOKUP(K872,[2]Hoja4!$A$2:$C$443,3,FALSE)</f>
        <v>Unspecified place</v>
      </c>
      <c r="N872" s="1">
        <v>8</v>
      </c>
      <c r="O872" s="1">
        <v>9.3000000000000007</v>
      </c>
      <c r="P872" s="1">
        <v>8.6</v>
      </c>
      <c r="Q872" s="1">
        <v>1014.6</v>
      </c>
      <c r="R872" s="1">
        <v>8.6</v>
      </c>
      <c r="S872" s="1">
        <v>94.5</v>
      </c>
      <c r="T872" s="8">
        <v>0.13089999999999999</v>
      </c>
      <c r="U872" s="7">
        <v>1E-3</v>
      </c>
    </row>
    <row r="873" spans="1:21" customFormat="1">
      <c r="A873">
        <v>1</v>
      </c>
      <c r="B873">
        <v>52</v>
      </c>
      <c r="C873">
        <v>11</v>
      </c>
      <c r="D873">
        <v>7</v>
      </c>
      <c r="E873">
        <v>2020</v>
      </c>
      <c r="F873">
        <v>8205</v>
      </c>
      <c r="G873" t="str">
        <f>VLOOKUP(F873,'[1]Sheet 1'!$B$2:$E$347,2,FALSE)</f>
        <v>Biobío</v>
      </c>
      <c r="H873" t="str">
        <f>VLOOKUP(F873,'[1]Sheet 1'!$B$2:$E$347,3,FALSE)</f>
        <v>Arauco</v>
      </c>
      <c r="I873" t="str">
        <f>VLOOKUP(F873,'[1]Sheet 1'!$B$2:$E$347,4,FALSE)</f>
        <v>Curanilahue</v>
      </c>
      <c r="J873" t="s">
        <v>136</v>
      </c>
      <c r="K873" s="3" t="s">
        <v>4</v>
      </c>
      <c r="L873" s="12" t="str">
        <f>VLOOKUP(K873,[2]Hoja4!$A$2:$C$443,2,FALSE)</f>
        <v>Intentional self-harm by hanging, strangulation and suffocation</v>
      </c>
      <c r="M873" s="12" t="str">
        <f>VLOOKUP(K873,[2]Hoja4!$A$2:$C$443,3,FALSE)</f>
        <v>At home</v>
      </c>
      <c r="N873" s="1">
        <v>4.4000000000000004</v>
      </c>
      <c r="O873" s="1">
        <v>12.5</v>
      </c>
      <c r="P873" s="1">
        <v>8.6999999999999993</v>
      </c>
      <c r="Q873" s="1">
        <v>1021.2</v>
      </c>
      <c r="R873" s="1">
        <v>5.2</v>
      </c>
      <c r="S873" s="1">
        <v>90.8</v>
      </c>
      <c r="T873" s="8">
        <v>0.13089999999999999</v>
      </c>
      <c r="U873" s="7">
        <v>1E-3</v>
      </c>
    </row>
    <row r="874" spans="1:21" customFormat="1">
      <c r="A874">
        <v>1</v>
      </c>
      <c r="B874">
        <v>43</v>
      </c>
      <c r="C874">
        <v>11</v>
      </c>
      <c r="D874">
        <v>7</v>
      </c>
      <c r="E874">
        <v>2020</v>
      </c>
      <c r="F874">
        <v>7401</v>
      </c>
      <c r="G874" t="str">
        <f>VLOOKUP(F874,'[1]Sheet 1'!$B$2:$E$347,2,FALSE)</f>
        <v>Maule</v>
      </c>
      <c r="H874" t="str">
        <f>VLOOKUP(F874,'[1]Sheet 1'!$B$2:$E$347,3,FALSE)</f>
        <v>Linares</v>
      </c>
      <c r="I874" t="str">
        <f>VLOOKUP(F874,'[1]Sheet 1'!$B$2:$E$347,4,FALSE)</f>
        <v>Linares</v>
      </c>
      <c r="J874" t="s">
        <v>136</v>
      </c>
      <c r="K874" s="3" t="s">
        <v>4</v>
      </c>
      <c r="L874" s="12" t="str">
        <f>VLOOKUP(K874,[2]Hoja4!$A$2:$C$443,2,FALSE)</f>
        <v>Intentional self-harm by hanging, strangulation and suffocation</v>
      </c>
      <c r="M874" s="12" t="str">
        <f>VLOOKUP(K874,[2]Hoja4!$A$2:$C$443,3,FALSE)</f>
        <v>At home</v>
      </c>
      <c r="N874" s="1">
        <v>0.2</v>
      </c>
      <c r="O874" s="1">
        <v>9.9</v>
      </c>
      <c r="P874" s="1">
        <v>5.2</v>
      </c>
      <c r="Q874" s="1">
        <v>1002.6</v>
      </c>
      <c r="R874" s="1">
        <v>0</v>
      </c>
      <c r="S874" s="1">
        <v>93.2</v>
      </c>
      <c r="T874" s="8">
        <v>0.13089999999999999</v>
      </c>
      <c r="U874" s="7">
        <v>1E-3</v>
      </c>
    </row>
    <row r="875" spans="1:21" customFormat="1">
      <c r="A875">
        <v>1</v>
      </c>
      <c r="B875">
        <v>34</v>
      </c>
      <c r="C875">
        <v>11</v>
      </c>
      <c r="D875">
        <v>7</v>
      </c>
      <c r="E875">
        <v>2020</v>
      </c>
      <c r="F875">
        <v>4301</v>
      </c>
      <c r="G875" t="str">
        <f>VLOOKUP(F875,'[1]Sheet 1'!$B$2:$E$347,2,FALSE)</f>
        <v>Coquimbo</v>
      </c>
      <c r="H875" t="str">
        <f>VLOOKUP(F875,'[1]Sheet 1'!$B$2:$E$347,3,FALSE)</f>
        <v>Limarí</v>
      </c>
      <c r="I875" t="str">
        <f>VLOOKUP(F875,'[1]Sheet 1'!$B$2:$E$347,4,FALSE)</f>
        <v>Ovalle</v>
      </c>
      <c r="J875" t="s">
        <v>143</v>
      </c>
      <c r="K875" s="3" t="s">
        <v>11</v>
      </c>
      <c r="L875" s="12" t="str">
        <f>VLOOKUP(K875,[2]Hoja4!$A$2:$C$443,2,FALSE)</f>
        <v>Intentional self-harm by other and unspecified firearm discharge</v>
      </c>
      <c r="M875" s="12" t="str">
        <f>VLOOKUP(K875,[2]Hoja4!$A$2:$C$443,3,FALSE)</f>
        <v>Unspecified place</v>
      </c>
      <c r="N875" s="1">
        <v>5.0999999999999996</v>
      </c>
      <c r="O875" s="1">
        <v>17.7</v>
      </c>
      <c r="P875" s="1">
        <v>10.8</v>
      </c>
      <c r="Q875" s="1">
        <v>981.9</v>
      </c>
      <c r="R875" s="1">
        <v>0.1</v>
      </c>
      <c r="S875" s="1">
        <v>87.7</v>
      </c>
      <c r="T875" s="8">
        <v>0.13089999999999999</v>
      </c>
      <c r="U875" s="7">
        <v>1E-3</v>
      </c>
    </row>
    <row r="876" spans="1:21" customFormat="1">
      <c r="A876">
        <v>1</v>
      </c>
      <c r="B876">
        <v>26</v>
      </c>
      <c r="C876">
        <v>11</v>
      </c>
      <c r="D876">
        <v>7</v>
      </c>
      <c r="E876">
        <v>2020</v>
      </c>
      <c r="F876">
        <v>13122</v>
      </c>
      <c r="G876" t="str">
        <f>VLOOKUP(F876,'[1]Sheet 1'!$B$2:$E$347,2,FALSE)</f>
        <v>Metropolitana de Santiago</v>
      </c>
      <c r="H876" t="str">
        <f>VLOOKUP(F876,'[1]Sheet 1'!$B$2:$E$347,3,FALSE)</f>
        <v>Santiago</v>
      </c>
      <c r="I876" t="str">
        <f>VLOOKUP(F876,'[1]Sheet 1'!$B$2:$E$347,4,FALSE)</f>
        <v>Peñalolén</v>
      </c>
      <c r="J876" t="s">
        <v>136</v>
      </c>
      <c r="K876" s="3" t="s">
        <v>0</v>
      </c>
      <c r="L876" s="12" t="str">
        <f>VLOOKUP(K876,[2]Hoja4!$A$2:$C$443,2,FALSE)</f>
        <v>Intentional self-harm by hanging, strangulation and suffocation</v>
      </c>
      <c r="M876" s="12" t="str">
        <f>VLOOKUP(K876,[2]Hoja4!$A$2:$C$443,3,FALSE)</f>
        <v>Unspecified place</v>
      </c>
      <c r="N876" s="1">
        <v>4.0999999999999996</v>
      </c>
      <c r="O876" s="1">
        <v>15.8</v>
      </c>
      <c r="P876" s="1">
        <v>8.6999999999999993</v>
      </c>
      <c r="Q876" s="1">
        <v>959.9</v>
      </c>
      <c r="R876" s="1"/>
      <c r="S876" s="1">
        <v>86.5</v>
      </c>
      <c r="T876" s="8">
        <v>0.13089999999999999</v>
      </c>
      <c r="U876" s="7">
        <v>1E-3</v>
      </c>
    </row>
    <row r="877" spans="1:21" customFormat="1">
      <c r="A877">
        <v>1</v>
      </c>
      <c r="B877">
        <v>60</v>
      </c>
      <c r="C877">
        <v>12</v>
      </c>
      <c r="D877">
        <v>7</v>
      </c>
      <c r="E877">
        <v>2020</v>
      </c>
      <c r="F877">
        <v>5701</v>
      </c>
      <c r="G877" t="str">
        <f>VLOOKUP(F877,'[1]Sheet 1'!$B$2:$E$347,2,FALSE)</f>
        <v>Valparaíso</v>
      </c>
      <c r="H877" t="str">
        <f>VLOOKUP(F877,'[1]Sheet 1'!$B$2:$E$347,3,FALSE)</f>
        <v>San Felipe de Aconcagua</v>
      </c>
      <c r="I877" t="str">
        <f>VLOOKUP(F877,'[1]Sheet 1'!$B$2:$E$347,4,FALSE)</f>
        <v>San Felipe</v>
      </c>
      <c r="J877" t="s">
        <v>136</v>
      </c>
      <c r="K877" s="3" t="s">
        <v>4</v>
      </c>
      <c r="L877" s="12" t="str">
        <f>VLOOKUP(K877,[2]Hoja4!$A$2:$C$443,2,FALSE)</f>
        <v>Intentional self-harm by hanging, strangulation and suffocation</v>
      </c>
      <c r="M877" s="12" t="str">
        <f>VLOOKUP(K877,[2]Hoja4!$A$2:$C$443,3,FALSE)</f>
        <v>At home</v>
      </c>
      <c r="N877" s="1">
        <v>4.8</v>
      </c>
      <c r="O877" s="1">
        <v>23.1</v>
      </c>
      <c r="P877" s="1">
        <v>12.2</v>
      </c>
      <c r="Q877" s="1">
        <v>943.3</v>
      </c>
      <c r="R877" s="1">
        <v>0</v>
      </c>
      <c r="S877" s="1">
        <v>69.2</v>
      </c>
      <c r="T877" s="8">
        <v>0.13089999999999999</v>
      </c>
      <c r="U877" s="7">
        <v>1E-3</v>
      </c>
    </row>
    <row r="878" spans="1:21" customFormat="1">
      <c r="A878">
        <v>1</v>
      </c>
      <c r="B878">
        <v>32</v>
      </c>
      <c r="C878">
        <v>12</v>
      </c>
      <c r="D878">
        <v>7</v>
      </c>
      <c r="E878">
        <v>2020</v>
      </c>
      <c r="F878">
        <v>5804</v>
      </c>
      <c r="G878" t="str">
        <f>VLOOKUP(F878,'[1]Sheet 1'!$B$2:$E$347,2,FALSE)</f>
        <v>Valparaíso</v>
      </c>
      <c r="H878" t="str">
        <f>VLOOKUP(F878,'[1]Sheet 1'!$B$2:$E$347,3,FALSE)</f>
        <v>Marga Marga</v>
      </c>
      <c r="I878" t="str">
        <f>VLOOKUP(F878,'[1]Sheet 1'!$B$2:$E$347,4,FALSE)</f>
        <v>Villa Alemana</v>
      </c>
      <c r="J878" t="s">
        <v>136</v>
      </c>
      <c r="K878" s="3" t="s">
        <v>4</v>
      </c>
      <c r="L878" s="12" t="str">
        <f>VLOOKUP(K878,[2]Hoja4!$A$2:$C$443,2,FALSE)</f>
        <v>Intentional self-harm by hanging, strangulation and suffocation</v>
      </c>
      <c r="M878" s="12" t="str">
        <f>VLOOKUP(K878,[2]Hoja4!$A$2:$C$443,3,FALSE)</f>
        <v>At home</v>
      </c>
      <c r="N878" s="1">
        <v>4.2</v>
      </c>
      <c r="O878" s="1">
        <v>22.8</v>
      </c>
      <c r="P878" s="1">
        <v>9.4</v>
      </c>
      <c r="Q878" s="1">
        <v>1016.3</v>
      </c>
      <c r="R878" s="1">
        <v>0</v>
      </c>
      <c r="S878" s="1">
        <v>82.6</v>
      </c>
      <c r="T878" s="8">
        <v>0.13089999999999999</v>
      </c>
      <c r="U878" s="7">
        <v>1E-3</v>
      </c>
    </row>
    <row r="879" spans="1:21" customFormat="1">
      <c r="A879">
        <v>1</v>
      </c>
      <c r="B879">
        <v>72</v>
      </c>
      <c r="C879">
        <v>13</v>
      </c>
      <c r="D879">
        <v>7</v>
      </c>
      <c r="E879">
        <v>2020</v>
      </c>
      <c r="F879">
        <v>5109</v>
      </c>
      <c r="G879" t="str">
        <f>VLOOKUP(F879,'[1]Sheet 1'!$B$2:$E$347,2,FALSE)</f>
        <v>Valparaíso</v>
      </c>
      <c r="H879" t="str">
        <f>VLOOKUP(F879,'[1]Sheet 1'!$B$2:$E$347,3,FALSE)</f>
        <v>Valparaíso</v>
      </c>
      <c r="I879" t="str">
        <f>VLOOKUP(F879,'[1]Sheet 1'!$B$2:$E$347,4,FALSE)</f>
        <v>Viña del Mar</v>
      </c>
      <c r="J879" t="s">
        <v>136</v>
      </c>
      <c r="K879" s="3" t="s">
        <v>4</v>
      </c>
      <c r="L879" s="12" t="str">
        <f>VLOOKUP(K879,[2]Hoja4!$A$2:$C$443,2,FALSE)</f>
        <v>Intentional self-harm by hanging, strangulation and suffocation</v>
      </c>
      <c r="M879" s="12" t="str">
        <f>VLOOKUP(K879,[2]Hoja4!$A$2:$C$443,3,FALSE)</f>
        <v>At home</v>
      </c>
      <c r="N879" s="1">
        <v>11.7</v>
      </c>
      <c r="O879" s="1">
        <v>25.9</v>
      </c>
      <c r="P879" s="1">
        <v>17.3</v>
      </c>
      <c r="Q879" s="1">
        <v>980</v>
      </c>
      <c r="R879" s="1">
        <v>0</v>
      </c>
      <c r="S879" s="1">
        <v>45</v>
      </c>
      <c r="T879" s="8">
        <v>0.13089999999999999</v>
      </c>
      <c r="U879" s="7">
        <v>1E-3</v>
      </c>
    </row>
    <row r="880" spans="1:21" customFormat="1">
      <c r="A880">
        <v>1</v>
      </c>
      <c r="B880">
        <v>79</v>
      </c>
      <c r="C880">
        <v>13</v>
      </c>
      <c r="D880">
        <v>7</v>
      </c>
      <c r="E880">
        <v>2020</v>
      </c>
      <c r="F880">
        <v>16204</v>
      </c>
      <c r="G880" t="str">
        <f>VLOOKUP(F880,'[1]Sheet 1'!$B$2:$E$347,2,FALSE)</f>
        <v>Ñuble</v>
      </c>
      <c r="H880" t="str">
        <f>VLOOKUP(F880,'[1]Sheet 1'!$B$2:$E$347,3,FALSE)</f>
        <v>Itata</v>
      </c>
      <c r="I880" t="str">
        <f>VLOOKUP(F880,'[1]Sheet 1'!$B$2:$E$347,4,FALSE)</f>
        <v>Ninhue</v>
      </c>
      <c r="J880" t="s">
        <v>136</v>
      </c>
      <c r="K880" s="3" t="s">
        <v>0</v>
      </c>
      <c r="L880" s="12" t="str">
        <f>VLOOKUP(K880,[2]Hoja4!$A$2:$C$443,2,FALSE)</f>
        <v>Intentional self-harm by hanging, strangulation and suffocation</v>
      </c>
      <c r="M880" s="12" t="str">
        <f>VLOOKUP(K880,[2]Hoja4!$A$2:$C$443,3,FALSE)</f>
        <v>Unspecified place</v>
      </c>
      <c r="N880" s="1">
        <v>5.5</v>
      </c>
      <c r="O880" s="1">
        <v>13.9</v>
      </c>
      <c r="P880" s="1">
        <v>9.6999999999999993</v>
      </c>
      <c r="Q880" s="1">
        <v>1012</v>
      </c>
      <c r="R880" s="1">
        <v>0</v>
      </c>
      <c r="S880" s="1">
        <v>99.5</v>
      </c>
      <c r="T880" s="8">
        <v>0.13089999999999999</v>
      </c>
      <c r="U880" s="7">
        <v>1E-3</v>
      </c>
    </row>
    <row r="881" spans="1:21" customFormat="1">
      <c r="A881">
        <v>1</v>
      </c>
      <c r="B881">
        <v>53</v>
      </c>
      <c r="C881">
        <v>13</v>
      </c>
      <c r="D881">
        <v>7</v>
      </c>
      <c r="E881">
        <v>2020</v>
      </c>
      <c r="F881">
        <v>8202</v>
      </c>
      <c r="G881" t="str">
        <f>VLOOKUP(F881,'[1]Sheet 1'!$B$2:$E$347,2,FALSE)</f>
        <v>Biobío</v>
      </c>
      <c r="H881" t="str">
        <f>VLOOKUP(F881,'[1]Sheet 1'!$B$2:$E$347,3,FALSE)</f>
        <v>Arauco</v>
      </c>
      <c r="I881" t="str">
        <f>VLOOKUP(F881,'[1]Sheet 1'!$B$2:$E$347,4,FALSE)</f>
        <v>Arauco</v>
      </c>
      <c r="J881" t="s">
        <v>144</v>
      </c>
      <c r="K881" s="3" t="s">
        <v>10</v>
      </c>
      <c r="L881" s="12" t="str">
        <f>VLOOKUP(K881,[2]Hoja4!$A$2:$C$443,2,FALSE)</f>
        <v>Intentional self-harm by unspecified means</v>
      </c>
      <c r="M881" s="12" t="str">
        <f>VLOOKUP(K881,[2]Hoja4!$A$2:$C$443,3,FALSE)</f>
        <v>At home</v>
      </c>
      <c r="N881" s="1">
        <v>6.4</v>
      </c>
      <c r="O881" s="1">
        <v>14.1</v>
      </c>
      <c r="P881" s="1">
        <v>10</v>
      </c>
      <c r="Q881" s="1">
        <v>1023.2</v>
      </c>
      <c r="R881" s="1">
        <v>0</v>
      </c>
      <c r="S881" s="1">
        <v>79.2</v>
      </c>
      <c r="T881" s="8">
        <v>0.13089999999999999</v>
      </c>
      <c r="U881" s="7">
        <v>1E-3</v>
      </c>
    </row>
    <row r="882" spans="1:21" customFormat="1">
      <c r="A882">
        <v>2</v>
      </c>
      <c r="B882">
        <v>33</v>
      </c>
      <c r="C882">
        <v>13</v>
      </c>
      <c r="D882">
        <v>7</v>
      </c>
      <c r="E882">
        <v>2020</v>
      </c>
      <c r="F882">
        <v>13101</v>
      </c>
      <c r="G882" t="str">
        <f>VLOOKUP(F882,'[1]Sheet 1'!$B$2:$E$347,2,FALSE)</f>
        <v>Metropolitana de Santiago</v>
      </c>
      <c r="H882" t="str">
        <f>VLOOKUP(F882,'[1]Sheet 1'!$B$2:$E$347,3,FALSE)</f>
        <v>Santiago</v>
      </c>
      <c r="I882" t="str">
        <f>VLOOKUP(F882,'[1]Sheet 1'!$B$2:$E$347,4,FALSE)</f>
        <v>Santiago</v>
      </c>
      <c r="J882" t="s">
        <v>136</v>
      </c>
      <c r="K882" s="3" t="s">
        <v>0</v>
      </c>
      <c r="L882" s="12" t="str">
        <f>VLOOKUP(K882,[2]Hoja4!$A$2:$C$443,2,FALSE)</f>
        <v>Intentional self-harm by hanging, strangulation and suffocation</v>
      </c>
      <c r="M882" s="12" t="str">
        <f>VLOOKUP(K882,[2]Hoja4!$A$2:$C$443,3,FALSE)</f>
        <v>Unspecified place</v>
      </c>
      <c r="N882" s="1">
        <v>3.8</v>
      </c>
      <c r="O882" s="1">
        <v>23.4</v>
      </c>
      <c r="P882" s="1">
        <v>10.8</v>
      </c>
      <c r="Q882" s="1">
        <v>960.4</v>
      </c>
      <c r="R882" s="1"/>
      <c r="S882" s="1">
        <v>79</v>
      </c>
      <c r="T882" s="8">
        <v>0.13089999999999999</v>
      </c>
      <c r="U882" s="7">
        <v>1E-3</v>
      </c>
    </row>
    <row r="883" spans="1:21" customFormat="1">
      <c r="A883">
        <v>1</v>
      </c>
      <c r="B883">
        <v>29</v>
      </c>
      <c r="C883">
        <v>13</v>
      </c>
      <c r="D883">
        <v>7</v>
      </c>
      <c r="E883">
        <v>2020</v>
      </c>
      <c r="F883">
        <v>8111</v>
      </c>
      <c r="G883" t="str">
        <f>VLOOKUP(F883,'[1]Sheet 1'!$B$2:$E$347,2,FALSE)</f>
        <v>Biobío</v>
      </c>
      <c r="H883" t="str">
        <f>VLOOKUP(F883,'[1]Sheet 1'!$B$2:$E$347,3,FALSE)</f>
        <v>Concepción</v>
      </c>
      <c r="I883" t="str">
        <f>VLOOKUP(F883,'[1]Sheet 1'!$B$2:$E$347,4,FALSE)</f>
        <v>Tomé</v>
      </c>
      <c r="J883" t="s">
        <v>136</v>
      </c>
      <c r="K883" s="3" t="s">
        <v>0</v>
      </c>
      <c r="L883" s="12" t="str">
        <f>VLOOKUP(K883,[2]Hoja4!$A$2:$C$443,2,FALSE)</f>
        <v>Intentional self-harm by hanging, strangulation and suffocation</v>
      </c>
      <c r="M883" s="12" t="str">
        <f>VLOOKUP(K883,[2]Hoja4!$A$2:$C$443,3,FALSE)</f>
        <v>Unspecified place</v>
      </c>
      <c r="N883" s="1">
        <v>6.4</v>
      </c>
      <c r="O883" s="1">
        <v>14.1</v>
      </c>
      <c r="P883" s="1">
        <v>10</v>
      </c>
      <c r="Q883" s="1">
        <v>1023.2</v>
      </c>
      <c r="R883" s="1">
        <v>0</v>
      </c>
      <c r="S883" s="1">
        <v>79.2</v>
      </c>
      <c r="T883" s="8">
        <v>0.13089999999999999</v>
      </c>
      <c r="U883" s="7">
        <v>1E-3</v>
      </c>
    </row>
    <row r="884" spans="1:21" customFormat="1">
      <c r="A884">
        <v>1</v>
      </c>
      <c r="B884">
        <v>47</v>
      </c>
      <c r="C884">
        <v>14</v>
      </c>
      <c r="D884">
        <v>7</v>
      </c>
      <c r="E884">
        <v>2020</v>
      </c>
      <c r="F884">
        <v>13127</v>
      </c>
      <c r="G884" t="str">
        <f>VLOOKUP(F884,'[1]Sheet 1'!$B$2:$E$347,2,FALSE)</f>
        <v>Metropolitana de Santiago</v>
      </c>
      <c r="H884" t="str">
        <f>VLOOKUP(F884,'[1]Sheet 1'!$B$2:$E$347,3,FALSE)</f>
        <v>Santiago</v>
      </c>
      <c r="I884" t="str">
        <f>VLOOKUP(F884,'[1]Sheet 1'!$B$2:$E$347,4,FALSE)</f>
        <v>Recoleta</v>
      </c>
      <c r="J884" t="s">
        <v>136</v>
      </c>
      <c r="K884" s="3" t="s">
        <v>0</v>
      </c>
      <c r="L884" s="12" t="str">
        <f>VLOOKUP(K884,[2]Hoja4!$A$2:$C$443,2,FALSE)</f>
        <v>Intentional self-harm by hanging, strangulation and suffocation</v>
      </c>
      <c r="M884" s="12" t="str">
        <f>VLOOKUP(K884,[2]Hoja4!$A$2:$C$443,3,FALSE)</f>
        <v>Unspecified place</v>
      </c>
      <c r="N884" s="1">
        <v>3.1</v>
      </c>
      <c r="O884" s="1">
        <v>23.8</v>
      </c>
      <c r="P884" s="1">
        <v>11.1</v>
      </c>
      <c r="Q884" s="1">
        <v>956.7</v>
      </c>
      <c r="R884" s="1"/>
      <c r="S884" s="1">
        <v>71.8</v>
      </c>
      <c r="T884" s="8">
        <v>0.13089999999999999</v>
      </c>
      <c r="U884" s="7">
        <v>1E-3</v>
      </c>
    </row>
    <row r="885" spans="1:21" customFormat="1">
      <c r="A885">
        <v>1</v>
      </c>
      <c r="B885">
        <v>50</v>
      </c>
      <c r="C885">
        <v>14</v>
      </c>
      <c r="D885">
        <v>7</v>
      </c>
      <c r="E885">
        <v>2020</v>
      </c>
      <c r="F885">
        <v>1107</v>
      </c>
      <c r="G885" t="str">
        <f>VLOOKUP(F885,'[1]Sheet 1'!$B$2:$E$347,2,FALSE)</f>
        <v>Tarapacá</v>
      </c>
      <c r="H885" t="str">
        <f>VLOOKUP(F885,'[1]Sheet 1'!$B$2:$E$347,3,FALSE)</f>
        <v>Iquique</v>
      </c>
      <c r="I885" t="str">
        <f>VLOOKUP(F885,'[1]Sheet 1'!$B$2:$E$347,4,FALSE)</f>
        <v>Alto Hospicio</v>
      </c>
      <c r="J885" t="s">
        <v>136</v>
      </c>
      <c r="K885" s="3" t="s">
        <v>4</v>
      </c>
      <c r="L885" s="12" t="str">
        <f>VLOOKUP(K885,[2]Hoja4!$A$2:$C$443,2,FALSE)</f>
        <v>Intentional self-harm by hanging, strangulation and suffocation</v>
      </c>
      <c r="M885" s="12" t="str">
        <f>VLOOKUP(K885,[2]Hoja4!$A$2:$C$443,3,FALSE)</f>
        <v>At home</v>
      </c>
      <c r="N885" s="1">
        <v>12</v>
      </c>
      <c r="O885" s="1">
        <v>16.600000000000001</v>
      </c>
      <c r="P885" s="1">
        <v>14.3</v>
      </c>
      <c r="Q885" s="1">
        <v>1012.4</v>
      </c>
      <c r="R885" s="1">
        <v>0</v>
      </c>
      <c r="S885" s="1">
        <v>81.7</v>
      </c>
      <c r="T885" s="8">
        <v>0.13089999999999999</v>
      </c>
      <c r="U885" s="7">
        <v>1E-3</v>
      </c>
    </row>
    <row r="886" spans="1:21" customFormat="1">
      <c r="A886">
        <v>1</v>
      </c>
      <c r="B886">
        <v>74</v>
      </c>
      <c r="C886">
        <v>15</v>
      </c>
      <c r="D886">
        <v>7</v>
      </c>
      <c r="E886">
        <v>2020</v>
      </c>
      <c r="F886">
        <v>6202</v>
      </c>
      <c r="G886" t="str">
        <f>VLOOKUP(F886,'[1]Sheet 1'!$B$2:$E$347,2,FALSE)</f>
        <v>Libertador General Bernardo O'Higgins</v>
      </c>
      <c r="H886" t="str">
        <f>VLOOKUP(F886,'[1]Sheet 1'!$B$2:$E$347,3,FALSE)</f>
        <v>Cardenal Caro</v>
      </c>
      <c r="I886" t="str">
        <f>VLOOKUP(F886,'[1]Sheet 1'!$B$2:$E$347,4,FALSE)</f>
        <v>La Estrella</v>
      </c>
      <c r="J886" t="s">
        <v>136</v>
      </c>
      <c r="K886" s="3" t="s">
        <v>0</v>
      </c>
      <c r="L886" s="12" t="str">
        <f>VLOOKUP(K886,[2]Hoja4!$A$2:$C$443,2,FALSE)</f>
        <v>Intentional self-harm by hanging, strangulation and suffocation</v>
      </c>
      <c r="M886" s="12" t="str">
        <f>VLOOKUP(K886,[2]Hoja4!$A$2:$C$443,3,FALSE)</f>
        <v>Unspecified place</v>
      </c>
      <c r="N886" s="1">
        <v>8.1999999999999993</v>
      </c>
      <c r="O886" s="1">
        <v>14.5</v>
      </c>
      <c r="P886" s="1">
        <v>11.5</v>
      </c>
      <c r="Q886" s="1">
        <v>1012.5</v>
      </c>
      <c r="R886" s="1">
        <v>0.2</v>
      </c>
      <c r="S886" s="1">
        <v>82.3</v>
      </c>
      <c r="T886" s="8">
        <v>0.13089999999999999</v>
      </c>
      <c r="U886" s="7">
        <v>1E-3</v>
      </c>
    </row>
    <row r="887" spans="1:21" customFormat="1">
      <c r="A887">
        <v>1</v>
      </c>
      <c r="B887">
        <v>57</v>
      </c>
      <c r="C887">
        <v>15</v>
      </c>
      <c r="D887">
        <v>7</v>
      </c>
      <c r="E887">
        <v>2020</v>
      </c>
      <c r="F887">
        <v>13132</v>
      </c>
      <c r="G887" t="str">
        <f>VLOOKUP(F887,'[1]Sheet 1'!$B$2:$E$347,2,FALSE)</f>
        <v>Metropolitana de Santiago</v>
      </c>
      <c r="H887" t="str">
        <f>VLOOKUP(F887,'[1]Sheet 1'!$B$2:$E$347,3,FALSE)</f>
        <v>Santiago</v>
      </c>
      <c r="I887" t="str">
        <f>VLOOKUP(F887,'[1]Sheet 1'!$B$2:$E$347,4,FALSE)</f>
        <v>Vitacura</v>
      </c>
      <c r="J887" t="s">
        <v>136</v>
      </c>
      <c r="K887" s="3" t="s">
        <v>0</v>
      </c>
      <c r="L887" s="12" t="str">
        <f>VLOOKUP(K887,[2]Hoja4!$A$2:$C$443,2,FALSE)</f>
        <v>Intentional self-harm by hanging, strangulation and suffocation</v>
      </c>
      <c r="M887" s="12" t="str">
        <f>VLOOKUP(K887,[2]Hoja4!$A$2:$C$443,3,FALSE)</f>
        <v>Unspecified place</v>
      </c>
      <c r="N887" s="1">
        <v>2.6</v>
      </c>
      <c r="O887" s="1">
        <v>22.5</v>
      </c>
      <c r="P887" s="1">
        <v>10.4</v>
      </c>
      <c r="Q887" s="1">
        <v>954.7</v>
      </c>
      <c r="R887" s="1"/>
      <c r="S887" s="1">
        <v>66.5</v>
      </c>
      <c r="T887" s="8">
        <v>0.13089999999999999</v>
      </c>
      <c r="U887" s="7">
        <v>1E-3</v>
      </c>
    </row>
    <row r="888" spans="1:21" customFormat="1">
      <c r="A888">
        <v>1</v>
      </c>
      <c r="B888">
        <v>58</v>
      </c>
      <c r="C888">
        <v>15</v>
      </c>
      <c r="D888">
        <v>7</v>
      </c>
      <c r="E888">
        <v>2020</v>
      </c>
      <c r="F888">
        <v>7306</v>
      </c>
      <c r="G888" t="str">
        <f>VLOOKUP(F888,'[1]Sheet 1'!$B$2:$E$347,2,FALSE)</f>
        <v>Maule</v>
      </c>
      <c r="H888" t="str">
        <f>VLOOKUP(F888,'[1]Sheet 1'!$B$2:$E$347,3,FALSE)</f>
        <v>Curicó</v>
      </c>
      <c r="I888" t="str">
        <f>VLOOKUP(F888,'[1]Sheet 1'!$B$2:$E$347,4,FALSE)</f>
        <v>Romeral</v>
      </c>
      <c r="J888" t="s">
        <v>142</v>
      </c>
      <c r="K888" s="3" t="s">
        <v>21</v>
      </c>
      <c r="L888" s="12" t="str">
        <f>VLOOKUP(K888,[2]Hoja4!$A$2:$C$443,2,FALSE)</f>
        <v>Intentional self-harm by other and unspecified firearm discharge</v>
      </c>
      <c r="M888" s="12" t="str">
        <f>VLOOKUP(K888,[2]Hoja4!$A$2:$C$443,3,FALSE)</f>
        <v>Street and highway</v>
      </c>
      <c r="N888" s="1" t="s">
        <v>90</v>
      </c>
      <c r="O888" s="1">
        <v>19.8</v>
      </c>
      <c r="P888" s="1">
        <v>9.1</v>
      </c>
      <c r="Q888" s="1">
        <v>988.1</v>
      </c>
      <c r="R888" s="1">
        <v>0</v>
      </c>
      <c r="S888" s="1">
        <v>83.8</v>
      </c>
      <c r="T888" s="8">
        <v>0.13089999999999999</v>
      </c>
      <c r="U888" s="7">
        <v>1E-3</v>
      </c>
    </row>
    <row r="889" spans="1:21" customFormat="1">
      <c r="A889">
        <v>1</v>
      </c>
      <c r="B889">
        <v>33</v>
      </c>
      <c r="C889">
        <v>15</v>
      </c>
      <c r="D889">
        <v>7</v>
      </c>
      <c r="E889">
        <v>2020</v>
      </c>
      <c r="F889">
        <v>10101</v>
      </c>
      <c r="G889" t="str">
        <f>VLOOKUP(F889,'[1]Sheet 1'!$B$2:$E$347,2,FALSE)</f>
        <v>Los Lagos</v>
      </c>
      <c r="H889" t="str">
        <f>VLOOKUP(F889,'[1]Sheet 1'!$B$2:$E$347,3,FALSE)</f>
        <v>Llanquihue</v>
      </c>
      <c r="I889" t="str">
        <f>VLOOKUP(F889,'[1]Sheet 1'!$B$2:$E$347,4,FALSE)</f>
        <v>Puerto Montt</v>
      </c>
      <c r="J889" t="s">
        <v>136</v>
      </c>
      <c r="K889" s="3" t="s">
        <v>4</v>
      </c>
      <c r="L889" s="12" t="str">
        <f>VLOOKUP(K889,[2]Hoja4!$A$2:$C$443,2,FALSE)</f>
        <v>Intentional self-harm by hanging, strangulation and suffocation</v>
      </c>
      <c r="M889" s="12" t="str">
        <f>VLOOKUP(K889,[2]Hoja4!$A$2:$C$443,3,FALSE)</f>
        <v>At home</v>
      </c>
      <c r="N889" s="1">
        <v>6.2</v>
      </c>
      <c r="O889" s="1">
        <v>10.4</v>
      </c>
      <c r="P889" s="1">
        <v>8</v>
      </c>
      <c r="Q889" s="1">
        <v>1003.6</v>
      </c>
      <c r="R889" s="1">
        <v>5</v>
      </c>
      <c r="S889" s="1">
        <v>97.5</v>
      </c>
      <c r="T889" s="8">
        <v>0.13089999999999999</v>
      </c>
      <c r="U889" s="7">
        <v>1E-3</v>
      </c>
    </row>
    <row r="890" spans="1:21" customFormat="1">
      <c r="A890">
        <v>1</v>
      </c>
      <c r="B890">
        <v>26</v>
      </c>
      <c r="C890">
        <v>15</v>
      </c>
      <c r="D890">
        <v>7</v>
      </c>
      <c r="E890">
        <v>2020</v>
      </c>
      <c r="F890">
        <v>13123</v>
      </c>
      <c r="G890" t="str">
        <f>VLOOKUP(F890,'[1]Sheet 1'!$B$2:$E$347,2,FALSE)</f>
        <v>Metropolitana de Santiago</v>
      </c>
      <c r="H890" t="str">
        <f>VLOOKUP(F890,'[1]Sheet 1'!$B$2:$E$347,3,FALSE)</f>
        <v>Santiago</v>
      </c>
      <c r="I890" t="str">
        <f>VLOOKUP(F890,'[1]Sheet 1'!$B$2:$E$347,4,FALSE)</f>
        <v>Providencia</v>
      </c>
      <c r="J890" t="s">
        <v>136</v>
      </c>
      <c r="K890" s="3" t="s">
        <v>0</v>
      </c>
      <c r="L890" s="12" t="str">
        <f>VLOOKUP(K890,[2]Hoja4!$A$2:$C$443,2,FALSE)</f>
        <v>Intentional self-harm by hanging, strangulation and suffocation</v>
      </c>
      <c r="M890" s="12" t="str">
        <f>VLOOKUP(K890,[2]Hoja4!$A$2:$C$443,3,FALSE)</f>
        <v>Unspecified place</v>
      </c>
      <c r="N890" s="1">
        <v>2.6</v>
      </c>
      <c r="O890" s="1">
        <v>22.5</v>
      </c>
      <c r="P890" s="1">
        <v>10.4</v>
      </c>
      <c r="Q890" s="1">
        <v>954.7</v>
      </c>
      <c r="R890" s="1"/>
      <c r="S890" s="1">
        <v>66.5</v>
      </c>
      <c r="T890" s="8">
        <v>0.13089999999999999</v>
      </c>
      <c r="U890" s="7">
        <v>1E-3</v>
      </c>
    </row>
    <row r="891" spans="1:21" customFormat="1">
      <c r="A891">
        <v>1</v>
      </c>
      <c r="B891">
        <v>70</v>
      </c>
      <c r="C891">
        <v>16</v>
      </c>
      <c r="D891">
        <v>7</v>
      </c>
      <c r="E891">
        <v>2020</v>
      </c>
      <c r="F891">
        <v>6206</v>
      </c>
      <c r="G891" t="str">
        <f>VLOOKUP(F891,'[1]Sheet 1'!$B$2:$E$347,2,FALSE)</f>
        <v>Libertador General Bernardo O'Higgins</v>
      </c>
      <c r="H891" t="str">
        <f>VLOOKUP(F891,'[1]Sheet 1'!$B$2:$E$347,3,FALSE)</f>
        <v>Cardenal Caro</v>
      </c>
      <c r="I891" t="str">
        <f>VLOOKUP(F891,'[1]Sheet 1'!$B$2:$E$347,4,FALSE)</f>
        <v>Paredones</v>
      </c>
      <c r="J891" t="s">
        <v>136</v>
      </c>
      <c r="K891" s="3" t="s">
        <v>0</v>
      </c>
      <c r="L891" s="12" t="str">
        <f>VLOOKUP(K891,[2]Hoja4!$A$2:$C$443,2,FALSE)</f>
        <v>Intentional self-harm by hanging, strangulation and suffocation</v>
      </c>
      <c r="M891" s="12" t="str">
        <f>VLOOKUP(K891,[2]Hoja4!$A$2:$C$443,3,FALSE)</f>
        <v>Unspecified place</v>
      </c>
      <c r="N891" s="1">
        <v>10.1</v>
      </c>
      <c r="O891" s="1">
        <v>13.4</v>
      </c>
      <c r="P891" s="1">
        <v>11.9</v>
      </c>
      <c r="Q891" s="1">
        <v>1011.7</v>
      </c>
      <c r="R891" s="1">
        <v>0.1</v>
      </c>
      <c r="S891" s="1">
        <v>82</v>
      </c>
      <c r="T891" s="8">
        <v>0.13089999999999999</v>
      </c>
      <c r="U891" s="7">
        <v>1E-3</v>
      </c>
    </row>
    <row r="892" spans="1:21" customFormat="1">
      <c r="A892">
        <v>1</v>
      </c>
      <c r="B892">
        <v>68</v>
      </c>
      <c r="C892">
        <v>16</v>
      </c>
      <c r="D892">
        <v>7</v>
      </c>
      <c r="E892">
        <v>2020</v>
      </c>
      <c r="F892">
        <v>9102</v>
      </c>
      <c r="G892" t="str">
        <f>VLOOKUP(F892,'[1]Sheet 1'!$B$2:$E$347,2,FALSE)</f>
        <v>La Araucanía</v>
      </c>
      <c r="H892" t="str">
        <f>VLOOKUP(F892,'[1]Sheet 1'!$B$2:$E$347,3,FALSE)</f>
        <v>Cautín</v>
      </c>
      <c r="I892" t="str">
        <f>VLOOKUP(F892,'[1]Sheet 1'!$B$2:$E$347,4,FALSE)</f>
        <v>Carahue</v>
      </c>
      <c r="J892" t="s">
        <v>136</v>
      </c>
      <c r="K892" s="3" t="s">
        <v>0</v>
      </c>
      <c r="L892" s="12" t="str">
        <f>VLOOKUP(K892,[2]Hoja4!$A$2:$C$443,2,FALSE)</f>
        <v>Intentional self-harm by hanging, strangulation and suffocation</v>
      </c>
      <c r="M892" s="12" t="str">
        <f>VLOOKUP(K892,[2]Hoja4!$A$2:$C$443,3,FALSE)</f>
        <v>Unspecified place</v>
      </c>
      <c r="N892" s="1">
        <v>2.9</v>
      </c>
      <c r="O892" s="1">
        <v>11.8</v>
      </c>
      <c r="P892" s="1">
        <v>7.7</v>
      </c>
      <c r="Q892" s="1">
        <v>999.8</v>
      </c>
      <c r="R892" s="1">
        <v>11.4</v>
      </c>
      <c r="S892" s="1">
        <v>93.2</v>
      </c>
      <c r="T892" s="8">
        <v>0.13089999999999999</v>
      </c>
      <c r="U892" s="7">
        <v>1E-3</v>
      </c>
    </row>
    <row r="893" spans="1:21" customFormat="1">
      <c r="A893">
        <v>1</v>
      </c>
      <c r="B893">
        <v>50</v>
      </c>
      <c r="C893">
        <v>16</v>
      </c>
      <c r="D893">
        <v>7</v>
      </c>
      <c r="E893">
        <v>2020</v>
      </c>
      <c r="F893">
        <v>13121</v>
      </c>
      <c r="G893" t="str">
        <f>VLOOKUP(F893,'[1]Sheet 1'!$B$2:$E$347,2,FALSE)</f>
        <v>Metropolitana de Santiago</v>
      </c>
      <c r="H893" t="str">
        <f>VLOOKUP(F893,'[1]Sheet 1'!$B$2:$E$347,3,FALSE)</f>
        <v>Santiago</v>
      </c>
      <c r="I893" t="str">
        <f>VLOOKUP(F893,'[1]Sheet 1'!$B$2:$E$347,4,FALSE)</f>
        <v>Pedro Aguirre Cerda</v>
      </c>
      <c r="J893" t="s">
        <v>136</v>
      </c>
      <c r="K893" s="3" t="s">
        <v>0</v>
      </c>
      <c r="L893" s="12" t="str">
        <f>VLOOKUP(K893,[2]Hoja4!$A$2:$C$443,2,FALSE)</f>
        <v>Intentional self-harm by hanging, strangulation and suffocation</v>
      </c>
      <c r="M893" s="12" t="str">
        <f>VLOOKUP(K893,[2]Hoja4!$A$2:$C$443,3,FALSE)</f>
        <v>Unspecified place</v>
      </c>
      <c r="N893" s="1">
        <v>3.8</v>
      </c>
      <c r="O893" s="1">
        <v>11.3</v>
      </c>
      <c r="P893" s="1">
        <v>7.3</v>
      </c>
      <c r="Q893" s="1">
        <v>954.3</v>
      </c>
      <c r="R893" s="1"/>
      <c r="S893" s="1">
        <v>91.2</v>
      </c>
      <c r="T893" s="8">
        <v>0.13089999999999999</v>
      </c>
      <c r="U893" s="7">
        <v>1E-3</v>
      </c>
    </row>
    <row r="894" spans="1:21" customFormat="1">
      <c r="A894">
        <v>1</v>
      </c>
      <c r="B894">
        <v>41</v>
      </c>
      <c r="C894">
        <v>16</v>
      </c>
      <c r="D894">
        <v>7</v>
      </c>
      <c r="E894">
        <v>2020</v>
      </c>
      <c r="F894">
        <v>5301</v>
      </c>
      <c r="G894" t="str">
        <f>VLOOKUP(F894,'[1]Sheet 1'!$B$2:$E$347,2,FALSE)</f>
        <v>Valparaíso</v>
      </c>
      <c r="H894" t="str">
        <f>VLOOKUP(F894,'[1]Sheet 1'!$B$2:$E$347,3,FALSE)</f>
        <v>Los Andes</v>
      </c>
      <c r="I894" t="str">
        <f>VLOOKUP(F894,'[1]Sheet 1'!$B$2:$E$347,4,FALSE)</f>
        <v>Los Andes</v>
      </c>
      <c r="J894" t="s">
        <v>136</v>
      </c>
      <c r="K894" s="3" t="s">
        <v>4</v>
      </c>
      <c r="L894" s="12" t="str">
        <f>VLOOKUP(K894,[2]Hoja4!$A$2:$C$443,2,FALSE)</f>
        <v>Intentional self-harm by hanging, strangulation and suffocation</v>
      </c>
      <c r="M894" s="12" t="str">
        <f>VLOOKUP(K894,[2]Hoja4!$A$2:$C$443,3,FALSE)</f>
        <v>At home</v>
      </c>
      <c r="N894" s="1">
        <v>2.1</v>
      </c>
      <c r="O894" s="1" t="s">
        <v>114</v>
      </c>
      <c r="P894" s="1">
        <v>8.9</v>
      </c>
      <c r="Q894" s="1">
        <v>925.7</v>
      </c>
      <c r="R894" s="1">
        <v>0</v>
      </c>
      <c r="S894" s="1">
        <v>65.099999999999994</v>
      </c>
      <c r="T894" s="8">
        <v>0.13089999999999999</v>
      </c>
      <c r="U894" s="7">
        <v>1E-3</v>
      </c>
    </row>
    <row r="895" spans="1:21" customFormat="1">
      <c r="A895">
        <v>1</v>
      </c>
      <c r="B895">
        <v>43</v>
      </c>
      <c r="C895">
        <v>17</v>
      </c>
      <c r="D895">
        <v>7</v>
      </c>
      <c r="E895">
        <v>2020</v>
      </c>
      <c r="F895">
        <v>14107</v>
      </c>
      <c r="G895" t="str">
        <f>VLOOKUP(F895,'[1]Sheet 1'!$B$2:$E$347,2,FALSE)</f>
        <v>Los Ríos</v>
      </c>
      <c r="H895" t="str">
        <f>VLOOKUP(F895,'[1]Sheet 1'!$B$2:$E$347,3,FALSE)</f>
        <v>Valdivia</v>
      </c>
      <c r="I895" t="str">
        <f>VLOOKUP(F895,'[1]Sheet 1'!$B$2:$E$347,4,FALSE)</f>
        <v>Paillaco</v>
      </c>
      <c r="J895" t="s">
        <v>136</v>
      </c>
      <c r="K895" s="3" t="s">
        <v>4</v>
      </c>
      <c r="L895" s="12" t="str">
        <f>VLOOKUP(K895,[2]Hoja4!$A$2:$C$443,2,FALSE)</f>
        <v>Intentional self-harm by hanging, strangulation and suffocation</v>
      </c>
      <c r="M895" s="12" t="str">
        <f>VLOOKUP(K895,[2]Hoja4!$A$2:$C$443,3,FALSE)</f>
        <v>At home</v>
      </c>
      <c r="N895" s="1">
        <v>9.6</v>
      </c>
      <c r="O895" s="1">
        <v>13.8</v>
      </c>
      <c r="P895" s="1">
        <v>10.7</v>
      </c>
      <c r="Q895" s="1">
        <v>1001.1</v>
      </c>
      <c r="R895" s="1">
        <v>30.2</v>
      </c>
      <c r="S895" s="1">
        <v>94</v>
      </c>
      <c r="T895" s="8">
        <v>0.13089999999999999</v>
      </c>
      <c r="U895" s="7">
        <v>1E-3</v>
      </c>
    </row>
    <row r="896" spans="1:21" customFormat="1">
      <c r="A896">
        <v>1</v>
      </c>
      <c r="B896">
        <v>44</v>
      </c>
      <c r="C896">
        <v>17</v>
      </c>
      <c r="D896">
        <v>7</v>
      </c>
      <c r="E896">
        <v>2020</v>
      </c>
      <c r="F896">
        <v>7401</v>
      </c>
      <c r="G896" t="str">
        <f>VLOOKUP(F896,'[1]Sheet 1'!$B$2:$E$347,2,FALSE)</f>
        <v>Maule</v>
      </c>
      <c r="H896" t="str">
        <f>VLOOKUP(F896,'[1]Sheet 1'!$B$2:$E$347,3,FALSE)</f>
        <v>Linares</v>
      </c>
      <c r="I896" t="str">
        <f>VLOOKUP(F896,'[1]Sheet 1'!$B$2:$E$347,4,FALSE)</f>
        <v>Linares</v>
      </c>
      <c r="J896" t="s">
        <v>136</v>
      </c>
      <c r="K896" s="3" t="s">
        <v>4</v>
      </c>
      <c r="L896" s="12" t="str">
        <f>VLOOKUP(K896,[2]Hoja4!$A$2:$C$443,2,FALSE)</f>
        <v>Intentional self-harm by hanging, strangulation and suffocation</v>
      </c>
      <c r="M896" s="12" t="str">
        <f>VLOOKUP(K896,[2]Hoja4!$A$2:$C$443,3,FALSE)</f>
        <v>At home</v>
      </c>
      <c r="N896" s="1">
        <v>8.1999999999999993</v>
      </c>
      <c r="O896" s="1">
        <v>11.7</v>
      </c>
      <c r="P896" s="1">
        <v>10</v>
      </c>
      <c r="Q896" s="1">
        <v>990.1</v>
      </c>
      <c r="R896" s="1">
        <v>17.8</v>
      </c>
      <c r="S896" s="1">
        <v>91.8</v>
      </c>
      <c r="T896" s="8">
        <v>0.13089999999999999</v>
      </c>
      <c r="U896" s="7">
        <v>1E-3</v>
      </c>
    </row>
    <row r="897" spans="1:21" customFormat="1">
      <c r="A897">
        <v>1</v>
      </c>
      <c r="B897">
        <v>35</v>
      </c>
      <c r="C897">
        <v>17</v>
      </c>
      <c r="D897">
        <v>7</v>
      </c>
      <c r="E897">
        <v>2020</v>
      </c>
      <c r="F897">
        <v>13110</v>
      </c>
      <c r="G897" t="str">
        <f>VLOOKUP(F897,'[1]Sheet 1'!$B$2:$E$347,2,FALSE)</f>
        <v>Metropolitana de Santiago</v>
      </c>
      <c r="H897" t="str">
        <f>VLOOKUP(F897,'[1]Sheet 1'!$B$2:$E$347,3,FALSE)</f>
        <v>Santiago</v>
      </c>
      <c r="I897" t="str">
        <f>VLOOKUP(F897,'[1]Sheet 1'!$B$2:$E$347,4,FALSE)</f>
        <v>La Florida</v>
      </c>
      <c r="J897" t="s">
        <v>136</v>
      </c>
      <c r="K897" s="3" t="s">
        <v>0</v>
      </c>
      <c r="L897" s="12" t="str">
        <f>VLOOKUP(K897,[2]Hoja4!$A$2:$C$443,2,FALSE)</f>
        <v>Intentional self-harm by hanging, strangulation and suffocation</v>
      </c>
      <c r="M897" s="12" t="str">
        <f>VLOOKUP(K897,[2]Hoja4!$A$2:$C$443,3,FALSE)</f>
        <v>Unspecified place</v>
      </c>
      <c r="N897" s="1">
        <v>6.1</v>
      </c>
      <c r="O897" s="1">
        <v>13.7</v>
      </c>
      <c r="P897" s="1">
        <v>8.6999999999999993</v>
      </c>
      <c r="Q897" s="1">
        <v>953.2</v>
      </c>
      <c r="R897" s="1"/>
      <c r="S897" s="1">
        <v>86.2</v>
      </c>
      <c r="T897" s="8">
        <v>0.13089999999999999</v>
      </c>
      <c r="U897" s="7">
        <v>1E-3</v>
      </c>
    </row>
    <row r="898" spans="1:21" customFormat="1">
      <c r="A898">
        <v>1</v>
      </c>
      <c r="B898">
        <v>22</v>
      </c>
      <c r="C898">
        <v>17</v>
      </c>
      <c r="D898">
        <v>7</v>
      </c>
      <c r="E898">
        <v>2020</v>
      </c>
      <c r="F898">
        <v>7401</v>
      </c>
      <c r="G898" t="str">
        <f>VLOOKUP(F898,'[1]Sheet 1'!$B$2:$E$347,2,FALSE)</f>
        <v>Maule</v>
      </c>
      <c r="H898" t="str">
        <f>VLOOKUP(F898,'[1]Sheet 1'!$B$2:$E$347,3,FALSE)</f>
        <v>Linares</v>
      </c>
      <c r="I898" t="str">
        <f>VLOOKUP(F898,'[1]Sheet 1'!$B$2:$E$347,4,FALSE)</f>
        <v>Linares</v>
      </c>
      <c r="J898" t="s">
        <v>136</v>
      </c>
      <c r="K898" s="3" t="s">
        <v>0</v>
      </c>
      <c r="L898" s="12" t="str">
        <f>VLOOKUP(K898,[2]Hoja4!$A$2:$C$443,2,FALSE)</f>
        <v>Intentional self-harm by hanging, strangulation and suffocation</v>
      </c>
      <c r="M898" s="12" t="str">
        <f>VLOOKUP(K898,[2]Hoja4!$A$2:$C$443,3,FALSE)</f>
        <v>Unspecified place</v>
      </c>
      <c r="N898" s="1">
        <v>8.1999999999999993</v>
      </c>
      <c r="O898" s="1">
        <v>11.7</v>
      </c>
      <c r="P898" s="1">
        <v>10</v>
      </c>
      <c r="Q898" s="1">
        <v>990.1</v>
      </c>
      <c r="R898" s="1">
        <v>17.8</v>
      </c>
      <c r="S898" s="1">
        <v>91.8</v>
      </c>
      <c r="T898" s="8">
        <v>0.13089999999999999</v>
      </c>
      <c r="U898" s="7">
        <v>1E-3</v>
      </c>
    </row>
    <row r="899" spans="1:21" customFormat="1">
      <c r="A899">
        <v>1</v>
      </c>
      <c r="B899">
        <v>36</v>
      </c>
      <c r="C899">
        <v>18</v>
      </c>
      <c r="D899">
        <v>7</v>
      </c>
      <c r="E899">
        <v>2020</v>
      </c>
      <c r="F899">
        <v>4101</v>
      </c>
      <c r="G899" t="str">
        <f>VLOOKUP(F899,'[1]Sheet 1'!$B$2:$E$347,2,FALSE)</f>
        <v>Coquimbo</v>
      </c>
      <c r="H899" t="str">
        <f>VLOOKUP(F899,'[1]Sheet 1'!$B$2:$E$347,3,FALSE)</f>
        <v>Elqui</v>
      </c>
      <c r="I899" t="str">
        <f>VLOOKUP(F899,'[1]Sheet 1'!$B$2:$E$347,4,FALSE)</f>
        <v>La Serena</v>
      </c>
      <c r="J899" t="s">
        <v>136</v>
      </c>
      <c r="K899" s="3" t="s">
        <v>4</v>
      </c>
      <c r="L899" s="12" t="str">
        <f>VLOOKUP(K899,[2]Hoja4!$A$2:$C$443,2,FALSE)</f>
        <v>Intentional self-harm by hanging, strangulation and suffocation</v>
      </c>
      <c r="M899" s="12" t="str">
        <f>VLOOKUP(K899,[2]Hoja4!$A$2:$C$443,3,FALSE)</f>
        <v>At home</v>
      </c>
      <c r="N899" s="1">
        <v>7.4</v>
      </c>
      <c r="O899" s="1">
        <v>15.4</v>
      </c>
      <c r="P899" s="1">
        <v>11.5</v>
      </c>
      <c r="Q899" s="1">
        <v>1000.4</v>
      </c>
      <c r="R899" s="1">
        <v>0</v>
      </c>
      <c r="S899" s="1">
        <v>84.5</v>
      </c>
      <c r="T899" s="8">
        <v>0.13089999999999999</v>
      </c>
      <c r="U899" s="7">
        <v>1E-3</v>
      </c>
    </row>
    <row r="900" spans="1:21" customFormat="1">
      <c r="A900">
        <v>1</v>
      </c>
      <c r="B900">
        <v>20</v>
      </c>
      <c r="C900">
        <v>18</v>
      </c>
      <c r="D900">
        <v>7</v>
      </c>
      <c r="E900">
        <v>2020</v>
      </c>
      <c r="F900">
        <v>5601</v>
      </c>
      <c r="G900" t="str">
        <f>VLOOKUP(F900,'[1]Sheet 1'!$B$2:$E$347,2,FALSE)</f>
        <v>Valparaíso</v>
      </c>
      <c r="H900" t="str">
        <f>VLOOKUP(F900,'[1]Sheet 1'!$B$2:$E$347,3,FALSE)</f>
        <v>San Antonio</v>
      </c>
      <c r="I900" t="str">
        <f>VLOOKUP(F900,'[1]Sheet 1'!$B$2:$E$347,4,FALSE)</f>
        <v>San Antonio</v>
      </c>
      <c r="J900" t="s">
        <v>136</v>
      </c>
      <c r="K900" s="3" t="s">
        <v>0</v>
      </c>
      <c r="L900" s="12" t="str">
        <f>VLOOKUP(K900,[2]Hoja4!$A$2:$C$443,2,FALSE)</f>
        <v>Intentional self-harm by hanging, strangulation and suffocation</v>
      </c>
      <c r="M900" s="12" t="str">
        <f>VLOOKUP(K900,[2]Hoja4!$A$2:$C$443,3,FALSE)</f>
        <v>Unspecified place</v>
      </c>
      <c r="N900" s="1">
        <v>10</v>
      </c>
      <c r="O900" s="1">
        <v>14.5</v>
      </c>
      <c r="P900" s="1">
        <v>12.3</v>
      </c>
      <c r="Q900" s="1">
        <v>1007.5</v>
      </c>
      <c r="R900" s="1">
        <v>0.3</v>
      </c>
      <c r="S900" s="1">
        <v>64.5</v>
      </c>
      <c r="T900" s="8">
        <v>0.13089999999999999</v>
      </c>
      <c r="U900" s="7">
        <v>1E-3</v>
      </c>
    </row>
    <row r="901" spans="1:21" customFormat="1">
      <c r="A901">
        <v>1</v>
      </c>
      <c r="B901">
        <v>64</v>
      </c>
      <c r="C901">
        <v>19</v>
      </c>
      <c r="D901">
        <v>7</v>
      </c>
      <c r="E901">
        <v>2020</v>
      </c>
      <c r="F901">
        <v>7308</v>
      </c>
      <c r="G901" t="str">
        <f>VLOOKUP(F901,'[1]Sheet 1'!$B$2:$E$347,2,FALSE)</f>
        <v>Maule</v>
      </c>
      <c r="H901" t="str">
        <f>VLOOKUP(F901,'[1]Sheet 1'!$B$2:$E$347,3,FALSE)</f>
        <v>Curicó</v>
      </c>
      <c r="I901" t="str">
        <f>VLOOKUP(F901,'[1]Sheet 1'!$B$2:$E$347,4,FALSE)</f>
        <v>Teno</v>
      </c>
      <c r="J901" t="s">
        <v>136</v>
      </c>
      <c r="K901" s="3" t="s">
        <v>0</v>
      </c>
      <c r="L901" s="12" t="str">
        <f>VLOOKUP(K901,[2]Hoja4!$A$2:$C$443,2,FALSE)</f>
        <v>Intentional self-harm by hanging, strangulation and suffocation</v>
      </c>
      <c r="M901" s="12" t="str">
        <f>VLOOKUP(K901,[2]Hoja4!$A$2:$C$443,3,FALSE)</f>
        <v>Unspecified place</v>
      </c>
      <c r="N901" s="1">
        <v>11.7</v>
      </c>
      <c r="O901" s="1">
        <v>17.600000000000001</v>
      </c>
      <c r="P901" s="1">
        <v>14</v>
      </c>
      <c r="Q901" s="1">
        <v>989</v>
      </c>
      <c r="R901" s="1">
        <v>0</v>
      </c>
      <c r="S901" s="1">
        <v>77.5</v>
      </c>
      <c r="T901" s="8">
        <v>0.13089999999999999</v>
      </c>
      <c r="U901" s="7">
        <v>1E-3</v>
      </c>
    </row>
    <row r="902" spans="1:21" customFormat="1">
      <c r="A902">
        <v>1</v>
      </c>
      <c r="B902">
        <v>49</v>
      </c>
      <c r="C902">
        <v>19</v>
      </c>
      <c r="D902">
        <v>7</v>
      </c>
      <c r="E902">
        <v>2020</v>
      </c>
      <c r="F902">
        <v>13401</v>
      </c>
      <c r="G902" t="str">
        <f>VLOOKUP(F902,'[1]Sheet 1'!$B$2:$E$347,2,FALSE)</f>
        <v>Metropolitana de Santiago</v>
      </c>
      <c r="H902" t="str">
        <f>VLOOKUP(F902,'[1]Sheet 1'!$B$2:$E$347,3,FALSE)</f>
        <v>Maipo</v>
      </c>
      <c r="I902" t="str">
        <f>VLOOKUP(F902,'[1]Sheet 1'!$B$2:$E$347,4,FALSE)</f>
        <v>San Bernardo</v>
      </c>
      <c r="J902" t="s">
        <v>136</v>
      </c>
      <c r="K902" s="3" t="s">
        <v>0</v>
      </c>
      <c r="L902" s="12" t="str">
        <f>VLOOKUP(K902,[2]Hoja4!$A$2:$C$443,2,FALSE)</f>
        <v>Intentional self-harm by hanging, strangulation and suffocation</v>
      </c>
      <c r="M902" s="12" t="str">
        <f>VLOOKUP(K902,[2]Hoja4!$A$2:$C$443,3,FALSE)</f>
        <v>Unspecified place</v>
      </c>
      <c r="N902" s="1">
        <v>7.7</v>
      </c>
      <c r="O902" s="1">
        <v>17.7</v>
      </c>
      <c r="P902" s="1">
        <v>12.2</v>
      </c>
      <c r="Q902" s="1">
        <v>965.1</v>
      </c>
      <c r="R902" s="1">
        <v>0</v>
      </c>
      <c r="S902" s="1">
        <v>82.6</v>
      </c>
      <c r="T902" s="8">
        <v>0.13089999999999999</v>
      </c>
      <c r="U902" s="7">
        <v>1E-3</v>
      </c>
    </row>
    <row r="903" spans="1:21" customFormat="1">
      <c r="A903">
        <v>1</v>
      </c>
      <c r="B903">
        <v>33</v>
      </c>
      <c r="C903">
        <v>19</v>
      </c>
      <c r="D903">
        <v>7</v>
      </c>
      <c r="E903">
        <v>2020</v>
      </c>
      <c r="F903">
        <v>13201</v>
      </c>
      <c r="G903" t="str">
        <f>VLOOKUP(F903,'[1]Sheet 1'!$B$2:$E$347,2,FALSE)</f>
        <v>Metropolitana de Santiago</v>
      </c>
      <c r="H903" t="str">
        <f>VLOOKUP(F903,'[1]Sheet 1'!$B$2:$E$347,3,FALSE)</f>
        <v>Cordillera</v>
      </c>
      <c r="I903" t="str">
        <f>VLOOKUP(F903,'[1]Sheet 1'!$B$2:$E$347,4,FALSE)</f>
        <v>Puente Alto</v>
      </c>
      <c r="J903" t="s">
        <v>136</v>
      </c>
      <c r="K903" s="3" t="s">
        <v>0</v>
      </c>
      <c r="L903" s="12" t="str">
        <f>VLOOKUP(K903,[2]Hoja4!$A$2:$C$443,2,FALSE)</f>
        <v>Intentional self-harm by hanging, strangulation and suffocation</v>
      </c>
      <c r="M903" s="12" t="str">
        <f>VLOOKUP(K903,[2]Hoja4!$A$2:$C$443,3,FALSE)</f>
        <v>Unspecified place</v>
      </c>
      <c r="N903" s="1">
        <v>5.9</v>
      </c>
      <c r="O903" s="1">
        <v>16.899999999999999</v>
      </c>
      <c r="P903" s="1">
        <v>9.9</v>
      </c>
      <c r="Q903" s="1">
        <v>939.1</v>
      </c>
      <c r="R903" s="1">
        <v>0</v>
      </c>
      <c r="S903" s="1">
        <v>85.2</v>
      </c>
      <c r="T903" s="8">
        <v>0.13089999999999999</v>
      </c>
      <c r="U903" s="7">
        <v>1E-3</v>
      </c>
    </row>
    <row r="904" spans="1:21" customFormat="1">
      <c r="A904">
        <v>1</v>
      </c>
      <c r="B904">
        <v>28</v>
      </c>
      <c r="C904">
        <v>19</v>
      </c>
      <c r="D904">
        <v>7</v>
      </c>
      <c r="E904">
        <v>2020</v>
      </c>
      <c r="F904">
        <v>13201</v>
      </c>
      <c r="G904" t="str">
        <f>VLOOKUP(F904,'[1]Sheet 1'!$B$2:$E$347,2,FALSE)</f>
        <v>Metropolitana de Santiago</v>
      </c>
      <c r="H904" t="str">
        <f>VLOOKUP(F904,'[1]Sheet 1'!$B$2:$E$347,3,FALSE)</f>
        <v>Cordillera</v>
      </c>
      <c r="I904" t="str">
        <f>VLOOKUP(F904,'[1]Sheet 1'!$B$2:$E$347,4,FALSE)</f>
        <v>Puente Alto</v>
      </c>
      <c r="J904" t="s">
        <v>136</v>
      </c>
      <c r="K904" s="3" t="s">
        <v>0</v>
      </c>
      <c r="L904" s="12" t="str">
        <f>VLOOKUP(K904,[2]Hoja4!$A$2:$C$443,2,FALSE)</f>
        <v>Intentional self-harm by hanging, strangulation and suffocation</v>
      </c>
      <c r="M904" s="12" t="str">
        <f>VLOOKUP(K904,[2]Hoja4!$A$2:$C$443,3,FALSE)</f>
        <v>Unspecified place</v>
      </c>
      <c r="N904" s="1">
        <v>5.9</v>
      </c>
      <c r="O904" s="1">
        <v>16.899999999999999</v>
      </c>
      <c r="P904" s="1">
        <v>9.9</v>
      </c>
      <c r="Q904" s="1">
        <v>939.1</v>
      </c>
      <c r="R904" s="1">
        <v>0</v>
      </c>
      <c r="S904" s="1">
        <v>85.2</v>
      </c>
      <c r="T904" s="8">
        <v>0.13089999999999999</v>
      </c>
      <c r="U904" s="7">
        <v>1E-3</v>
      </c>
    </row>
    <row r="905" spans="1:21" customFormat="1">
      <c r="A905">
        <v>2</v>
      </c>
      <c r="B905">
        <v>26</v>
      </c>
      <c r="C905">
        <v>19</v>
      </c>
      <c r="D905">
        <v>7</v>
      </c>
      <c r="E905">
        <v>2020</v>
      </c>
      <c r="F905">
        <v>13127</v>
      </c>
      <c r="G905" t="str">
        <f>VLOOKUP(F905,'[1]Sheet 1'!$B$2:$E$347,2,FALSE)</f>
        <v>Metropolitana de Santiago</v>
      </c>
      <c r="H905" t="str">
        <f>VLOOKUP(F905,'[1]Sheet 1'!$B$2:$E$347,3,FALSE)</f>
        <v>Santiago</v>
      </c>
      <c r="I905" t="str">
        <f>VLOOKUP(F905,'[1]Sheet 1'!$B$2:$E$347,4,FALSE)</f>
        <v>Recoleta</v>
      </c>
      <c r="J905" t="s">
        <v>136</v>
      </c>
      <c r="K905" s="3" t="s">
        <v>0</v>
      </c>
      <c r="L905" s="12" t="str">
        <f>VLOOKUP(K905,[2]Hoja4!$A$2:$C$443,2,FALSE)</f>
        <v>Intentional self-harm by hanging, strangulation and suffocation</v>
      </c>
      <c r="M905" s="12" t="str">
        <f>VLOOKUP(K905,[2]Hoja4!$A$2:$C$443,3,FALSE)</f>
        <v>Unspecified place</v>
      </c>
      <c r="N905" s="1">
        <v>7.1</v>
      </c>
      <c r="O905" s="1">
        <v>17.899999999999999</v>
      </c>
      <c r="P905" s="1">
        <v>10.9</v>
      </c>
      <c r="Q905" s="1">
        <v>955.8</v>
      </c>
      <c r="R905" s="1"/>
      <c r="S905" s="1">
        <v>84.8</v>
      </c>
      <c r="T905" s="8">
        <v>0.13089999999999999</v>
      </c>
      <c r="U905" s="7">
        <v>1E-3</v>
      </c>
    </row>
    <row r="906" spans="1:21" customFormat="1">
      <c r="A906">
        <v>1</v>
      </c>
      <c r="B906">
        <v>27</v>
      </c>
      <c r="C906">
        <v>19</v>
      </c>
      <c r="D906">
        <v>7</v>
      </c>
      <c r="E906">
        <v>2020</v>
      </c>
      <c r="F906">
        <v>9114</v>
      </c>
      <c r="G906" t="str">
        <f>VLOOKUP(F906,'[1]Sheet 1'!$B$2:$E$347,2,FALSE)</f>
        <v>La Araucanía</v>
      </c>
      <c r="H906" t="str">
        <f>VLOOKUP(F906,'[1]Sheet 1'!$B$2:$E$347,3,FALSE)</f>
        <v>Cautín</v>
      </c>
      <c r="I906" t="str">
        <f>VLOOKUP(F906,'[1]Sheet 1'!$B$2:$E$347,4,FALSE)</f>
        <v>Pitrufquén</v>
      </c>
      <c r="J906" t="s">
        <v>136</v>
      </c>
      <c r="K906" s="3" t="s">
        <v>0</v>
      </c>
      <c r="L906" s="12" t="str">
        <f>VLOOKUP(K906,[2]Hoja4!$A$2:$C$443,2,FALSE)</f>
        <v>Intentional self-harm by hanging, strangulation and suffocation</v>
      </c>
      <c r="M906" s="12" t="str">
        <f>VLOOKUP(K906,[2]Hoja4!$A$2:$C$443,3,FALSE)</f>
        <v>Unspecified place</v>
      </c>
      <c r="N906" s="1">
        <v>10</v>
      </c>
      <c r="O906" s="1">
        <v>15.4</v>
      </c>
      <c r="P906" s="1">
        <v>11.4</v>
      </c>
      <c r="Q906" s="1">
        <v>1001</v>
      </c>
      <c r="R906" s="1">
        <v>4</v>
      </c>
      <c r="S906" s="1">
        <v>87.2</v>
      </c>
      <c r="T906" s="8">
        <v>0.13089999999999999</v>
      </c>
      <c r="U906" s="7">
        <v>1E-3</v>
      </c>
    </row>
    <row r="907" spans="1:21" customFormat="1">
      <c r="A907">
        <v>1</v>
      </c>
      <c r="B907">
        <v>71</v>
      </c>
      <c r="C907">
        <v>20</v>
      </c>
      <c r="D907">
        <v>7</v>
      </c>
      <c r="E907">
        <v>2020</v>
      </c>
      <c r="F907">
        <v>6310</v>
      </c>
      <c r="G907" t="str">
        <f>VLOOKUP(F907,'[1]Sheet 1'!$B$2:$E$347,2,FALSE)</f>
        <v>Libertador General Bernardo O'Higgins</v>
      </c>
      <c r="H907" t="str">
        <f>VLOOKUP(F907,'[1]Sheet 1'!$B$2:$E$347,3,FALSE)</f>
        <v>Colchagua</v>
      </c>
      <c r="I907" t="str">
        <f>VLOOKUP(F907,'[1]Sheet 1'!$B$2:$E$347,4,FALSE)</f>
        <v>Santa Cruz</v>
      </c>
      <c r="J907" t="s">
        <v>136</v>
      </c>
      <c r="K907" s="3" t="s">
        <v>0</v>
      </c>
      <c r="L907" s="12" t="str">
        <f>VLOOKUP(K907,[2]Hoja4!$A$2:$C$443,2,FALSE)</f>
        <v>Intentional self-harm by hanging, strangulation and suffocation</v>
      </c>
      <c r="M907" s="12" t="str">
        <f>VLOOKUP(K907,[2]Hoja4!$A$2:$C$443,3,FALSE)</f>
        <v>Unspecified place</v>
      </c>
      <c r="N907" s="1">
        <v>6.5</v>
      </c>
      <c r="O907" s="1">
        <v>17.899999999999999</v>
      </c>
      <c r="P907" s="1">
        <v>11.9</v>
      </c>
      <c r="Q907" s="1">
        <v>980.2</v>
      </c>
      <c r="R907" s="1">
        <v>3.4</v>
      </c>
      <c r="S907" s="1">
        <v>85.2</v>
      </c>
      <c r="T907" s="8">
        <v>0.13089999999999999</v>
      </c>
      <c r="U907" s="7">
        <v>1E-3</v>
      </c>
    </row>
    <row r="908" spans="1:21" customFormat="1">
      <c r="A908">
        <v>1</v>
      </c>
      <c r="B908">
        <v>82</v>
      </c>
      <c r="C908">
        <v>20</v>
      </c>
      <c r="D908">
        <v>7</v>
      </c>
      <c r="E908">
        <v>2020</v>
      </c>
      <c r="F908">
        <v>16106</v>
      </c>
      <c r="G908" t="str">
        <f>VLOOKUP(F908,'[1]Sheet 1'!$B$2:$E$347,2,FALSE)</f>
        <v>Ñuble</v>
      </c>
      <c r="H908" t="str">
        <f>VLOOKUP(F908,'[1]Sheet 1'!$B$2:$E$347,3,FALSE)</f>
        <v>Diguillín</v>
      </c>
      <c r="I908" t="str">
        <f>VLOOKUP(F908,'[1]Sheet 1'!$B$2:$E$347,4,FALSE)</f>
        <v>Pinto</v>
      </c>
      <c r="J908" t="s">
        <v>136</v>
      </c>
      <c r="K908" s="3" t="s">
        <v>0</v>
      </c>
      <c r="L908" s="12" t="str">
        <f>VLOOKUP(K908,[2]Hoja4!$A$2:$C$443,2,FALSE)</f>
        <v>Intentional self-harm by hanging, strangulation and suffocation</v>
      </c>
      <c r="M908" s="12" t="str">
        <f>VLOOKUP(K908,[2]Hoja4!$A$2:$C$443,3,FALSE)</f>
        <v>Unspecified place</v>
      </c>
      <c r="N908" s="1">
        <v>8.5</v>
      </c>
      <c r="O908" s="1">
        <v>13.9</v>
      </c>
      <c r="P908" s="1">
        <v>10.199999999999999</v>
      </c>
      <c r="Q908" s="1">
        <v>996.5</v>
      </c>
      <c r="R908" s="1">
        <v>6</v>
      </c>
      <c r="S908" s="1">
        <v>92.8</v>
      </c>
      <c r="T908" s="8">
        <v>0.13089999999999999</v>
      </c>
      <c r="U908" s="7">
        <v>1E-3</v>
      </c>
    </row>
    <row r="909" spans="1:21" customFormat="1">
      <c r="A909">
        <v>2</v>
      </c>
      <c r="B909">
        <v>58</v>
      </c>
      <c r="C909">
        <v>20</v>
      </c>
      <c r="D909">
        <v>7</v>
      </c>
      <c r="E909">
        <v>2020</v>
      </c>
      <c r="F909">
        <v>9114</v>
      </c>
      <c r="G909" t="str">
        <f>VLOOKUP(F909,'[1]Sheet 1'!$B$2:$E$347,2,FALSE)</f>
        <v>La Araucanía</v>
      </c>
      <c r="H909" t="str">
        <f>VLOOKUP(F909,'[1]Sheet 1'!$B$2:$E$347,3,FALSE)</f>
        <v>Cautín</v>
      </c>
      <c r="I909" t="str">
        <f>VLOOKUP(F909,'[1]Sheet 1'!$B$2:$E$347,4,FALSE)</f>
        <v>Pitrufquén</v>
      </c>
      <c r="J909" t="s">
        <v>136</v>
      </c>
      <c r="K909" s="3" t="s">
        <v>4</v>
      </c>
      <c r="L909" s="12" t="str">
        <f>VLOOKUP(K909,[2]Hoja4!$A$2:$C$443,2,FALSE)</f>
        <v>Intentional self-harm by hanging, strangulation and suffocation</v>
      </c>
      <c r="M909" s="12" t="str">
        <f>VLOOKUP(K909,[2]Hoja4!$A$2:$C$443,3,FALSE)</f>
        <v>At home</v>
      </c>
      <c r="N909" s="1">
        <v>7</v>
      </c>
      <c r="O909" s="1">
        <v>11.4</v>
      </c>
      <c r="P909" s="1">
        <v>9.1</v>
      </c>
      <c r="Q909" s="1">
        <v>1002.8</v>
      </c>
      <c r="R909" s="1">
        <v>12</v>
      </c>
      <c r="S909" s="1">
        <v>93.2</v>
      </c>
      <c r="T909" s="8">
        <v>0.13089999999999999</v>
      </c>
      <c r="U909" s="7">
        <v>1E-3</v>
      </c>
    </row>
    <row r="910" spans="1:21" customFormat="1">
      <c r="A910">
        <v>1</v>
      </c>
      <c r="B910">
        <v>54</v>
      </c>
      <c r="C910">
        <v>20</v>
      </c>
      <c r="D910">
        <v>7</v>
      </c>
      <c r="E910">
        <v>2020</v>
      </c>
      <c r="F910">
        <v>5109</v>
      </c>
      <c r="G910" t="str">
        <f>VLOOKUP(F910,'[1]Sheet 1'!$B$2:$E$347,2,FALSE)</f>
        <v>Valparaíso</v>
      </c>
      <c r="H910" t="str">
        <f>VLOOKUP(F910,'[1]Sheet 1'!$B$2:$E$347,3,FALSE)</f>
        <v>Valparaíso</v>
      </c>
      <c r="I910" t="str">
        <f>VLOOKUP(F910,'[1]Sheet 1'!$B$2:$E$347,4,FALSE)</f>
        <v>Viña del Mar</v>
      </c>
      <c r="J910" t="s">
        <v>136</v>
      </c>
      <c r="K910" s="3" t="s">
        <v>4</v>
      </c>
      <c r="L910" s="12" t="str">
        <f>VLOOKUP(K910,[2]Hoja4!$A$2:$C$443,2,FALSE)</f>
        <v>Intentional self-harm by hanging, strangulation and suffocation</v>
      </c>
      <c r="M910" s="12" t="str">
        <f>VLOOKUP(K910,[2]Hoja4!$A$2:$C$443,3,FALSE)</f>
        <v>At home</v>
      </c>
      <c r="N910" s="1">
        <v>10.3</v>
      </c>
      <c r="O910" s="1">
        <v>13.7</v>
      </c>
      <c r="P910" s="1">
        <v>11.5</v>
      </c>
      <c r="Q910" s="1">
        <v>977.1</v>
      </c>
      <c r="R910" s="1">
        <v>12.9</v>
      </c>
      <c r="S910" s="1">
        <v>95.8</v>
      </c>
      <c r="T910" s="8">
        <v>0.13089999999999999</v>
      </c>
      <c r="U910" s="7">
        <v>1E-3</v>
      </c>
    </row>
    <row r="911" spans="1:21" customFormat="1">
      <c r="A911">
        <v>1</v>
      </c>
      <c r="B911">
        <v>48</v>
      </c>
      <c r="C911">
        <v>20</v>
      </c>
      <c r="D911">
        <v>7</v>
      </c>
      <c r="E911">
        <v>2020</v>
      </c>
      <c r="F911">
        <v>13101</v>
      </c>
      <c r="G911" t="str">
        <f>VLOOKUP(F911,'[1]Sheet 1'!$B$2:$E$347,2,FALSE)</f>
        <v>Metropolitana de Santiago</v>
      </c>
      <c r="H911" t="str">
        <f>VLOOKUP(F911,'[1]Sheet 1'!$B$2:$E$347,3,FALSE)</f>
        <v>Santiago</v>
      </c>
      <c r="I911" t="str">
        <f>VLOOKUP(F911,'[1]Sheet 1'!$B$2:$E$347,4,FALSE)</f>
        <v>Santiago</v>
      </c>
      <c r="J911" t="s">
        <v>136</v>
      </c>
      <c r="K911" s="3" t="s">
        <v>4</v>
      </c>
      <c r="L911" s="12" t="str">
        <f>VLOOKUP(K911,[2]Hoja4!$A$2:$C$443,2,FALSE)</f>
        <v>Intentional self-harm by hanging, strangulation and suffocation</v>
      </c>
      <c r="M911" s="12" t="str">
        <f>VLOOKUP(K911,[2]Hoja4!$A$2:$C$443,3,FALSE)</f>
        <v>At home</v>
      </c>
      <c r="N911" s="1">
        <v>4.7</v>
      </c>
      <c r="O911" s="1">
        <v>17.899999999999999</v>
      </c>
      <c r="P911" s="1">
        <v>10.8</v>
      </c>
      <c r="Q911" s="1">
        <v>955.4</v>
      </c>
      <c r="R911" s="1"/>
      <c r="S911" s="1">
        <v>80.5</v>
      </c>
      <c r="T911" s="8">
        <v>0.13089999999999999</v>
      </c>
      <c r="U911" s="7">
        <v>1E-3</v>
      </c>
    </row>
    <row r="912" spans="1:21" customFormat="1">
      <c r="A912">
        <v>1</v>
      </c>
      <c r="B912">
        <v>47</v>
      </c>
      <c r="C912">
        <v>20</v>
      </c>
      <c r="D912">
        <v>7</v>
      </c>
      <c r="E912">
        <v>2020</v>
      </c>
      <c r="F912">
        <v>13201</v>
      </c>
      <c r="G912" t="str">
        <f>VLOOKUP(F912,'[1]Sheet 1'!$B$2:$E$347,2,FALSE)</f>
        <v>Metropolitana de Santiago</v>
      </c>
      <c r="H912" t="str">
        <f>VLOOKUP(F912,'[1]Sheet 1'!$B$2:$E$347,3,FALSE)</f>
        <v>Cordillera</v>
      </c>
      <c r="I912" t="str">
        <f>VLOOKUP(F912,'[1]Sheet 1'!$B$2:$E$347,4,FALSE)</f>
        <v>Puente Alto</v>
      </c>
      <c r="J912" t="s">
        <v>136</v>
      </c>
      <c r="K912" s="3" t="s">
        <v>0</v>
      </c>
      <c r="L912" s="12" t="str">
        <f>VLOOKUP(K912,[2]Hoja4!$A$2:$C$443,2,FALSE)</f>
        <v>Intentional self-harm by hanging, strangulation and suffocation</v>
      </c>
      <c r="M912" s="12" t="str">
        <f>VLOOKUP(K912,[2]Hoja4!$A$2:$C$443,3,FALSE)</f>
        <v>Unspecified place</v>
      </c>
      <c r="N912" s="1">
        <v>1.2</v>
      </c>
      <c r="O912" s="1">
        <v>18.2</v>
      </c>
      <c r="P912" s="1">
        <v>9.6</v>
      </c>
      <c r="Q912" s="1">
        <v>938.9</v>
      </c>
      <c r="R912" s="1">
        <v>0.2</v>
      </c>
      <c r="S912" s="1">
        <v>82.5</v>
      </c>
      <c r="T912" s="8">
        <v>0.13089999999999999</v>
      </c>
      <c r="U912" s="7">
        <v>1E-3</v>
      </c>
    </row>
    <row r="913" spans="1:21" customFormat="1">
      <c r="A913">
        <v>1</v>
      </c>
      <c r="B913">
        <v>47</v>
      </c>
      <c r="C913">
        <v>20</v>
      </c>
      <c r="D913">
        <v>7</v>
      </c>
      <c r="E913">
        <v>2020</v>
      </c>
      <c r="F913">
        <v>5804</v>
      </c>
      <c r="G913" t="str">
        <f>VLOOKUP(F913,'[1]Sheet 1'!$B$2:$E$347,2,FALSE)</f>
        <v>Valparaíso</v>
      </c>
      <c r="H913" t="str">
        <f>VLOOKUP(F913,'[1]Sheet 1'!$B$2:$E$347,3,FALSE)</f>
        <v>Marga Marga</v>
      </c>
      <c r="I913" t="str">
        <f>VLOOKUP(F913,'[1]Sheet 1'!$B$2:$E$347,4,FALSE)</f>
        <v>Villa Alemana</v>
      </c>
      <c r="J913" t="s">
        <v>136</v>
      </c>
      <c r="K913" s="3" t="s">
        <v>4</v>
      </c>
      <c r="L913" s="12" t="str">
        <f>VLOOKUP(K913,[2]Hoja4!$A$2:$C$443,2,FALSE)</f>
        <v>Intentional self-harm by hanging, strangulation and suffocation</v>
      </c>
      <c r="M913" s="12" t="str">
        <f>VLOOKUP(K913,[2]Hoja4!$A$2:$C$443,3,FALSE)</f>
        <v>At home</v>
      </c>
      <c r="N913" s="1">
        <v>9.6999999999999993</v>
      </c>
      <c r="O913" s="1" t="s">
        <v>108</v>
      </c>
      <c r="P913" s="1">
        <v>12.4</v>
      </c>
      <c r="Q913" s="1">
        <v>1013.8</v>
      </c>
      <c r="R913" s="1">
        <v>13.2</v>
      </c>
      <c r="S913" s="1">
        <v>92.3</v>
      </c>
      <c r="T913" s="8">
        <v>0.13089999999999999</v>
      </c>
      <c r="U913" s="7">
        <v>1E-3</v>
      </c>
    </row>
    <row r="914" spans="1:21" customFormat="1">
      <c r="A914">
        <v>1</v>
      </c>
      <c r="B914">
        <v>41</v>
      </c>
      <c r="C914">
        <v>20</v>
      </c>
      <c r="D914">
        <v>7</v>
      </c>
      <c r="E914">
        <v>2020</v>
      </c>
      <c r="F914">
        <v>3101</v>
      </c>
      <c r="G914" t="str">
        <f>VLOOKUP(F914,'[1]Sheet 1'!$B$2:$E$347,2,FALSE)</f>
        <v>Atacama</v>
      </c>
      <c r="H914" t="str">
        <f>VLOOKUP(F914,'[1]Sheet 1'!$B$2:$E$347,3,FALSE)</f>
        <v>Copiapó</v>
      </c>
      <c r="I914" t="str">
        <f>VLOOKUP(F914,'[1]Sheet 1'!$B$2:$E$347,4,FALSE)</f>
        <v>Copiapó</v>
      </c>
      <c r="J914" t="s">
        <v>136</v>
      </c>
      <c r="K914" s="3" t="s">
        <v>4</v>
      </c>
      <c r="L914" s="12" t="str">
        <f>VLOOKUP(K914,[2]Hoja4!$A$2:$C$443,2,FALSE)</f>
        <v>Intentional self-harm by hanging, strangulation and suffocation</v>
      </c>
      <c r="M914" s="12" t="str">
        <f>VLOOKUP(K914,[2]Hoja4!$A$2:$C$443,3,FALSE)</f>
        <v>At home</v>
      </c>
      <c r="N914" s="1">
        <v>6.5</v>
      </c>
      <c r="O914" s="1">
        <v>20</v>
      </c>
      <c r="P914" s="1">
        <v>12.4</v>
      </c>
      <c r="Q914" s="1">
        <v>992.4</v>
      </c>
      <c r="R914" s="1">
        <v>0</v>
      </c>
      <c r="S914" s="1">
        <v>77.5</v>
      </c>
      <c r="T914" s="8">
        <v>0.13089999999999999</v>
      </c>
      <c r="U914" s="7">
        <v>1E-3</v>
      </c>
    </row>
    <row r="915" spans="1:21" customFormat="1">
      <c r="A915">
        <v>1</v>
      </c>
      <c r="B915">
        <v>36</v>
      </c>
      <c r="C915">
        <v>20</v>
      </c>
      <c r="D915">
        <v>7</v>
      </c>
      <c r="E915">
        <v>2020</v>
      </c>
      <c r="F915">
        <v>2101</v>
      </c>
      <c r="G915" t="str">
        <f>VLOOKUP(F915,'[1]Sheet 1'!$B$2:$E$347,2,FALSE)</f>
        <v>Antofagasta</v>
      </c>
      <c r="H915" t="str">
        <f>VLOOKUP(F915,'[1]Sheet 1'!$B$2:$E$347,3,FALSE)</f>
        <v>Antofagasta</v>
      </c>
      <c r="I915" t="str">
        <f>VLOOKUP(F915,'[1]Sheet 1'!$B$2:$E$347,4,FALSE)</f>
        <v>Antofagasta</v>
      </c>
      <c r="J915" t="s">
        <v>136</v>
      </c>
      <c r="K915" s="3" t="s">
        <v>17</v>
      </c>
      <c r="L915" s="12" t="str">
        <f>VLOOKUP(K915,[2]Hoja4!$A$2:$C$443,2,FALSE)</f>
        <v>Intentional self-harm by hanging, strangulation and suffocation</v>
      </c>
      <c r="M915" s="12" t="str">
        <f>VLOOKUP(K915,[2]Hoja4!$A$2:$C$443,3,FALSE)</f>
        <v>Industrial and construction area</v>
      </c>
      <c r="N915" s="1">
        <v>13</v>
      </c>
      <c r="O915" s="1">
        <v>15.5</v>
      </c>
      <c r="P915" s="1">
        <v>13.9</v>
      </c>
      <c r="Q915" s="1">
        <v>998.1</v>
      </c>
      <c r="R915" s="1">
        <v>0</v>
      </c>
      <c r="S915" s="1">
        <v>76</v>
      </c>
      <c r="T915" s="8">
        <v>0.13089999999999999</v>
      </c>
      <c r="U915" s="7">
        <v>1E-3</v>
      </c>
    </row>
    <row r="916" spans="1:21" customFormat="1">
      <c r="A916">
        <v>1</v>
      </c>
      <c r="B916">
        <v>29</v>
      </c>
      <c r="C916">
        <v>20</v>
      </c>
      <c r="D916">
        <v>7</v>
      </c>
      <c r="E916">
        <v>2020</v>
      </c>
      <c r="F916">
        <v>14204</v>
      </c>
      <c r="G916" t="str">
        <f>VLOOKUP(F916,'[1]Sheet 1'!$B$2:$E$347,2,FALSE)</f>
        <v>Los Ríos</v>
      </c>
      <c r="H916" t="str">
        <f>VLOOKUP(F916,'[1]Sheet 1'!$B$2:$E$347,3,FALSE)</f>
        <v>Ranco</v>
      </c>
      <c r="I916" t="str">
        <f>VLOOKUP(F916,'[1]Sheet 1'!$B$2:$E$347,4,FALSE)</f>
        <v>Río Bueno</v>
      </c>
      <c r="J916" t="s">
        <v>155</v>
      </c>
      <c r="K916" s="3" t="s">
        <v>37</v>
      </c>
      <c r="L916" s="12" t="str">
        <f>VLOOKUP(K916,[2]Hoja4!$A$2:$C$443,2,FALSE)</f>
        <v>Intentional self-harm by drowning and submersion</v>
      </c>
      <c r="M916" s="12" t="str">
        <f>VLOOKUP(K916,[2]Hoja4!$A$2:$C$443,3,FALSE)</f>
        <v>Industrial and construction area</v>
      </c>
      <c r="N916" s="1">
        <v>3.4</v>
      </c>
      <c r="O916" s="1">
        <v>9.8000000000000007</v>
      </c>
      <c r="P916" s="1">
        <v>6.6</v>
      </c>
      <c r="Q916" s="1">
        <v>1004.3</v>
      </c>
      <c r="R916" s="1">
        <v>4</v>
      </c>
      <c r="S916" s="1">
        <v>94.5</v>
      </c>
      <c r="T916" s="8">
        <v>0.13089999999999999</v>
      </c>
      <c r="U916" s="7">
        <v>1E-3</v>
      </c>
    </row>
    <row r="917" spans="1:21" customFormat="1">
      <c r="A917">
        <v>2</v>
      </c>
      <c r="B917">
        <v>24</v>
      </c>
      <c r="C917">
        <v>20</v>
      </c>
      <c r="D917">
        <v>7</v>
      </c>
      <c r="E917">
        <v>2020</v>
      </c>
      <c r="F917">
        <v>7301</v>
      </c>
      <c r="G917" t="str">
        <f>VLOOKUP(F917,'[1]Sheet 1'!$B$2:$E$347,2,FALSE)</f>
        <v>Maule</v>
      </c>
      <c r="H917" t="str">
        <f>VLOOKUP(F917,'[1]Sheet 1'!$B$2:$E$347,3,FALSE)</f>
        <v>Curicó</v>
      </c>
      <c r="I917" t="str">
        <f>VLOOKUP(F917,'[1]Sheet 1'!$B$2:$E$347,4,FALSE)</f>
        <v>Curicó</v>
      </c>
      <c r="J917" t="s">
        <v>136</v>
      </c>
      <c r="K917" s="3" t="s">
        <v>0</v>
      </c>
      <c r="L917" s="12" t="str">
        <f>VLOOKUP(K917,[2]Hoja4!$A$2:$C$443,2,FALSE)</f>
        <v>Intentional self-harm by hanging, strangulation and suffocation</v>
      </c>
      <c r="M917" s="12" t="str">
        <f>VLOOKUP(K917,[2]Hoja4!$A$2:$C$443,3,FALSE)</f>
        <v>Unspecified place</v>
      </c>
      <c r="N917" s="1">
        <v>10.1</v>
      </c>
      <c r="O917" s="1">
        <v>17.600000000000001</v>
      </c>
      <c r="P917" s="1">
        <v>12.7</v>
      </c>
      <c r="Q917" s="1">
        <v>988.8</v>
      </c>
      <c r="R917" s="1">
        <v>8</v>
      </c>
      <c r="S917" s="1">
        <v>87.5</v>
      </c>
      <c r="T917" s="8">
        <v>0.13089999999999999</v>
      </c>
      <c r="U917" s="7">
        <v>1E-3</v>
      </c>
    </row>
    <row r="918" spans="1:21" customFormat="1">
      <c r="A918">
        <v>1</v>
      </c>
      <c r="B918">
        <v>75</v>
      </c>
      <c r="C918">
        <v>21</v>
      </c>
      <c r="D918">
        <v>7</v>
      </c>
      <c r="E918">
        <v>2020</v>
      </c>
      <c r="F918">
        <v>13112</v>
      </c>
      <c r="G918" t="str">
        <f>VLOOKUP(F918,'[1]Sheet 1'!$B$2:$E$347,2,FALSE)</f>
        <v>Metropolitana de Santiago</v>
      </c>
      <c r="H918" t="str">
        <f>VLOOKUP(F918,'[1]Sheet 1'!$B$2:$E$347,3,FALSE)</f>
        <v>Santiago</v>
      </c>
      <c r="I918" t="str">
        <f>VLOOKUP(F918,'[1]Sheet 1'!$B$2:$E$347,4,FALSE)</f>
        <v>La Pintana</v>
      </c>
      <c r="J918" t="s">
        <v>136</v>
      </c>
      <c r="K918" s="3" t="s">
        <v>0</v>
      </c>
      <c r="L918" s="12" t="str">
        <f>VLOOKUP(K918,[2]Hoja4!$A$2:$C$443,2,FALSE)</f>
        <v>Intentional self-harm by hanging, strangulation and suffocation</v>
      </c>
      <c r="M918" s="12" t="str">
        <f>VLOOKUP(K918,[2]Hoja4!$A$2:$C$443,3,FALSE)</f>
        <v>Unspecified place</v>
      </c>
      <c r="N918" s="1">
        <v>6.3</v>
      </c>
      <c r="O918" s="1">
        <v>11.8</v>
      </c>
      <c r="P918" s="1">
        <v>8.1</v>
      </c>
      <c r="Q918" s="1">
        <v>958.5</v>
      </c>
      <c r="R918" s="1"/>
      <c r="S918" s="1">
        <v>91.8</v>
      </c>
      <c r="T918" s="8">
        <v>0.13089999999999999</v>
      </c>
      <c r="U918" s="7">
        <v>1E-3</v>
      </c>
    </row>
    <row r="919" spans="1:21" customFormat="1">
      <c r="A919">
        <v>1</v>
      </c>
      <c r="B919">
        <v>59</v>
      </c>
      <c r="C919">
        <v>21</v>
      </c>
      <c r="D919">
        <v>7</v>
      </c>
      <c r="E919">
        <v>2020</v>
      </c>
      <c r="F919">
        <v>4102</v>
      </c>
      <c r="G919" t="str">
        <f>VLOOKUP(F919,'[1]Sheet 1'!$B$2:$E$347,2,FALSE)</f>
        <v>Coquimbo</v>
      </c>
      <c r="H919" t="str">
        <f>VLOOKUP(F919,'[1]Sheet 1'!$B$2:$E$347,3,FALSE)</f>
        <v>Elqui</v>
      </c>
      <c r="I919" t="str">
        <f>VLOOKUP(F919,'[1]Sheet 1'!$B$2:$E$347,4,FALSE)</f>
        <v>Coquimbo</v>
      </c>
      <c r="J919" t="s">
        <v>136</v>
      </c>
      <c r="K919" s="3" t="s">
        <v>4</v>
      </c>
      <c r="L919" s="12" t="str">
        <f>VLOOKUP(K919,[2]Hoja4!$A$2:$C$443,2,FALSE)</f>
        <v>Intentional self-harm by hanging, strangulation and suffocation</v>
      </c>
      <c r="M919" s="12" t="str">
        <f>VLOOKUP(K919,[2]Hoja4!$A$2:$C$443,3,FALSE)</f>
        <v>At home</v>
      </c>
      <c r="N919" s="1">
        <v>7.9</v>
      </c>
      <c r="O919" s="1">
        <v>17.600000000000001</v>
      </c>
      <c r="P919" s="1">
        <v>11.6</v>
      </c>
      <c r="Q919" s="1">
        <v>1001.4</v>
      </c>
      <c r="R919" s="1">
        <v>0</v>
      </c>
      <c r="S919" s="1">
        <v>78.8</v>
      </c>
      <c r="T919" s="8">
        <v>0.13089999999999999</v>
      </c>
      <c r="U919" s="7">
        <v>1E-3</v>
      </c>
    </row>
    <row r="920" spans="1:21" customFormat="1">
      <c r="A920">
        <v>1</v>
      </c>
      <c r="B920">
        <v>62</v>
      </c>
      <c r="C920">
        <v>21</v>
      </c>
      <c r="D920">
        <v>7</v>
      </c>
      <c r="E920">
        <v>2020</v>
      </c>
      <c r="F920">
        <v>4101</v>
      </c>
      <c r="G920" t="str">
        <f>VLOOKUP(F920,'[1]Sheet 1'!$B$2:$E$347,2,FALSE)</f>
        <v>Coquimbo</v>
      </c>
      <c r="H920" t="str">
        <f>VLOOKUP(F920,'[1]Sheet 1'!$B$2:$E$347,3,FALSE)</f>
        <v>Elqui</v>
      </c>
      <c r="I920" t="str">
        <f>VLOOKUP(F920,'[1]Sheet 1'!$B$2:$E$347,4,FALSE)</f>
        <v>La Serena</v>
      </c>
      <c r="J920" t="s">
        <v>136</v>
      </c>
      <c r="K920" s="3" t="s">
        <v>4</v>
      </c>
      <c r="L920" s="12" t="str">
        <f>VLOOKUP(K920,[2]Hoja4!$A$2:$C$443,2,FALSE)</f>
        <v>Intentional self-harm by hanging, strangulation and suffocation</v>
      </c>
      <c r="M920" s="12" t="str">
        <f>VLOOKUP(K920,[2]Hoja4!$A$2:$C$443,3,FALSE)</f>
        <v>At home</v>
      </c>
      <c r="N920" s="1">
        <v>7.9</v>
      </c>
      <c r="O920" s="1">
        <v>17.600000000000001</v>
      </c>
      <c r="P920" s="1">
        <v>11.6</v>
      </c>
      <c r="Q920" s="1">
        <v>1001.4</v>
      </c>
      <c r="R920" s="1">
        <v>0</v>
      </c>
      <c r="S920" s="1">
        <v>78.8</v>
      </c>
      <c r="T920" s="8">
        <v>0.13089999999999999</v>
      </c>
      <c r="U920" s="7">
        <v>1E-3</v>
      </c>
    </row>
    <row r="921" spans="1:21" customFormat="1">
      <c r="A921">
        <v>1</v>
      </c>
      <c r="B921">
        <v>38</v>
      </c>
      <c r="C921">
        <v>21</v>
      </c>
      <c r="D921">
        <v>7</v>
      </c>
      <c r="E921">
        <v>2020</v>
      </c>
      <c r="F921">
        <v>13402</v>
      </c>
      <c r="G921" t="str">
        <f>VLOOKUP(F921,'[1]Sheet 1'!$B$2:$E$347,2,FALSE)</f>
        <v>Metropolitana de Santiago</v>
      </c>
      <c r="H921" t="str">
        <f>VLOOKUP(F921,'[1]Sheet 1'!$B$2:$E$347,3,FALSE)</f>
        <v>Maipo</v>
      </c>
      <c r="I921" t="str">
        <f>VLOOKUP(F921,'[1]Sheet 1'!$B$2:$E$347,4,FALSE)</f>
        <v>Buin</v>
      </c>
      <c r="J921" t="s">
        <v>136</v>
      </c>
      <c r="K921" s="3" t="s">
        <v>4</v>
      </c>
      <c r="L921" s="12" t="str">
        <f>VLOOKUP(K921,[2]Hoja4!$A$2:$C$443,2,FALSE)</f>
        <v>Intentional self-harm by hanging, strangulation and suffocation</v>
      </c>
      <c r="M921" s="12" t="str">
        <f>VLOOKUP(K921,[2]Hoja4!$A$2:$C$443,3,FALSE)</f>
        <v>At home</v>
      </c>
      <c r="N921" s="1">
        <v>7.1</v>
      </c>
      <c r="O921" s="1">
        <v>9</v>
      </c>
      <c r="P921" s="1">
        <v>8.6999999999999993</v>
      </c>
      <c r="Q921" s="1">
        <v>968.5</v>
      </c>
      <c r="R921" s="1">
        <v>14.7</v>
      </c>
      <c r="S921" s="1">
        <v>97</v>
      </c>
      <c r="T921" s="8">
        <v>0.13089999999999999</v>
      </c>
      <c r="U921" s="7">
        <v>1E-3</v>
      </c>
    </row>
    <row r="922" spans="1:21" customFormat="1">
      <c r="A922">
        <v>1</v>
      </c>
      <c r="B922">
        <v>63</v>
      </c>
      <c r="C922">
        <v>22</v>
      </c>
      <c r="D922">
        <v>7</v>
      </c>
      <c r="E922">
        <v>2020</v>
      </c>
      <c r="F922">
        <v>11101</v>
      </c>
      <c r="G922" t="str">
        <f>VLOOKUP(F922,'[1]Sheet 1'!$B$2:$E$347,2,FALSE)</f>
        <v>Aysén del General Carlos Ibáñez del Campo</v>
      </c>
      <c r="H922" t="str">
        <f>VLOOKUP(F922,'[1]Sheet 1'!$B$2:$E$347,3,FALSE)</f>
        <v>Coihaique</v>
      </c>
      <c r="I922" t="str">
        <f>VLOOKUP(F922,'[1]Sheet 1'!$B$2:$E$347,4,FALSE)</f>
        <v>Coihaique</v>
      </c>
      <c r="J922" t="s">
        <v>136</v>
      </c>
      <c r="K922" s="3" t="s">
        <v>4</v>
      </c>
      <c r="L922" s="12" t="str">
        <f>VLOOKUP(K922,[2]Hoja4!$A$2:$C$443,2,FALSE)</f>
        <v>Intentional self-harm by hanging, strangulation and suffocation</v>
      </c>
      <c r="M922" s="12" t="str">
        <f>VLOOKUP(K922,[2]Hoja4!$A$2:$C$443,3,FALSE)</f>
        <v>At home</v>
      </c>
      <c r="N922" s="1">
        <v>0.1</v>
      </c>
      <c r="O922" s="1">
        <v>1.7</v>
      </c>
      <c r="P922" s="1">
        <v>1</v>
      </c>
      <c r="Q922" s="1">
        <v>998.2</v>
      </c>
      <c r="R922" s="1">
        <v>0</v>
      </c>
      <c r="S922" s="1">
        <v>75.5</v>
      </c>
      <c r="T922" s="8">
        <v>0.13089999999999999</v>
      </c>
      <c r="U922" s="7">
        <v>1E-3</v>
      </c>
    </row>
    <row r="923" spans="1:21" customFormat="1">
      <c r="A923">
        <v>1</v>
      </c>
      <c r="B923">
        <v>62</v>
      </c>
      <c r="C923">
        <v>22</v>
      </c>
      <c r="D923">
        <v>7</v>
      </c>
      <c r="E923">
        <v>2020</v>
      </c>
      <c r="F923">
        <v>8311</v>
      </c>
      <c r="G923" t="str">
        <f>VLOOKUP(F923,'[1]Sheet 1'!$B$2:$E$347,2,FALSE)</f>
        <v>Biobío</v>
      </c>
      <c r="H923" t="str">
        <f>VLOOKUP(F923,'[1]Sheet 1'!$B$2:$E$347,3,FALSE)</f>
        <v>Biobío</v>
      </c>
      <c r="I923" t="str">
        <f>VLOOKUP(F923,'[1]Sheet 1'!$B$2:$E$347,4,FALSE)</f>
        <v>Santa Bárbara</v>
      </c>
      <c r="J923" t="s">
        <v>136</v>
      </c>
      <c r="K923" s="3" t="s">
        <v>0</v>
      </c>
      <c r="L923" s="12" t="str">
        <f>VLOOKUP(K923,[2]Hoja4!$A$2:$C$443,2,FALSE)</f>
        <v>Intentional self-harm by hanging, strangulation and suffocation</v>
      </c>
      <c r="M923" s="12" t="str">
        <f>VLOOKUP(K923,[2]Hoja4!$A$2:$C$443,3,FALSE)</f>
        <v>Unspecified place</v>
      </c>
      <c r="N923" s="1">
        <v>2</v>
      </c>
      <c r="O923" s="1">
        <v>14</v>
      </c>
      <c r="P923" s="1">
        <v>8</v>
      </c>
      <c r="Q923" s="1">
        <v>1008.3</v>
      </c>
      <c r="R923" s="1">
        <v>0</v>
      </c>
      <c r="S923" s="1">
        <v>82.6</v>
      </c>
      <c r="T923" s="8">
        <v>0.13089999999999999</v>
      </c>
      <c r="U923" s="7">
        <v>1E-3</v>
      </c>
    </row>
    <row r="924" spans="1:21" customFormat="1">
      <c r="A924">
        <v>1</v>
      </c>
      <c r="B924">
        <v>52</v>
      </c>
      <c r="C924">
        <v>23</v>
      </c>
      <c r="D924">
        <v>7</v>
      </c>
      <c r="E924">
        <v>2020</v>
      </c>
      <c r="F924">
        <v>9105</v>
      </c>
      <c r="G924" t="str">
        <f>VLOOKUP(F924,'[1]Sheet 1'!$B$2:$E$347,2,FALSE)</f>
        <v>La Araucanía</v>
      </c>
      <c r="H924" t="str">
        <f>VLOOKUP(F924,'[1]Sheet 1'!$B$2:$E$347,3,FALSE)</f>
        <v>Cautín</v>
      </c>
      <c r="I924" t="str">
        <f>VLOOKUP(F924,'[1]Sheet 1'!$B$2:$E$347,4,FALSE)</f>
        <v>Freire</v>
      </c>
      <c r="J924" t="s">
        <v>169</v>
      </c>
      <c r="K924" s="3" t="s">
        <v>22</v>
      </c>
      <c r="L924" s="12" t="str">
        <f>VLOOKUP(K924,[2]Hoja4!$A$2:$C$443,2,FALSE)</f>
        <v>Intentional self-harm by sharp object</v>
      </c>
      <c r="M924" s="12" t="str">
        <f>VLOOKUP(K924,[2]Hoja4!$A$2:$C$443,3,FALSE)</f>
        <v>Unspecified place</v>
      </c>
      <c r="N924" s="1">
        <v>4.3</v>
      </c>
      <c r="O924" s="1">
        <v>12.9</v>
      </c>
      <c r="P924" s="1">
        <v>8.3000000000000007</v>
      </c>
      <c r="Q924" s="1">
        <v>1011.1</v>
      </c>
      <c r="R924" s="1">
        <v>0</v>
      </c>
      <c r="S924" s="1">
        <v>62.8</v>
      </c>
      <c r="T924" s="8">
        <v>0.13089999999999999</v>
      </c>
      <c r="U924" s="7">
        <v>1E-3</v>
      </c>
    </row>
    <row r="925" spans="1:21" customFormat="1">
      <c r="A925">
        <v>1</v>
      </c>
      <c r="B925">
        <v>36</v>
      </c>
      <c r="C925">
        <v>23</v>
      </c>
      <c r="D925">
        <v>7</v>
      </c>
      <c r="E925">
        <v>2020</v>
      </c>
      <c r="F925">
        <v>4106</v>
      </c>
      <c r="G925" t="str">
        <f>VLOOKUP(F925,'[1]Sheet 1'!$B$2:$E$347,2,FALSE)</f>
        <v>Coquimbo</v>
      </c>
      <c r="H925" t="str">
        <f>VLOOKUP(F925,'[1]Sheet 1'!$B$2:$E$347,3,FALSE)</f>
        <v>Elqui</v>
      </c>
      <c r="I925" t="str">
        <f>VLOOKUP(F925,'[1]Sheet 1'!$B$2:$E$347,4,FALSE)</f>
        <v>Vicuña</v>
      </c>
      <c r="J925" t="s">
        <v>136</v>
      </c>
      <c r="K925" s="3" t="s">
        <v>4</v>
      </c>
      <c r="L925" s="12" t="str">
        <f>VLOOKUP(K925,[2]Hoja4!$A$2:$C$443,2,FALSE)</f>
        <v>Intentional self-harm by hanging, strangulation and suffocation</v>
      </c>
      <c r="M925" s="12" t="str">
        <f>VLOOKUP(K925,[2]Hoja4!$A$2:$C$443,3,FALSE)</f>
        <v>At home</v>
      </c>
      <c r="N925" s="1">
        <v>6.1</v>
      </c>
      <c r="O925" s="1">
        <v>15.4</v>
      </c>
      <c r="P925" s="1">
        <v>10.7</v>
      </c>
      <c r="Q925" s="1">
        <v>1005.2</v>
      </c>
      <c r="R925" s="1">
        <v>0</v>
      </c>
      <c r="S925" s="1">
        <v>79.5</v>
      </c>
      <c r="T925" s="8">
        <v>0.13089999999999999</v>
      </c>
      <c r="U925" s="7">
        <v>1E-3</v>
      </c>
    </row>
    <row r="926" spans="1:21" customFormat="1">
      <c r="A926">
        <v>1</v>
      </c>
      <c r="B926">
        <v>34</v>
      </c>
      <c r="C926">
        <v>23</v>
      </c>
      <c r="D926">
        <v>7</v>
      </c>
      <c r="E926">
        <v>2020</v>
      </c>
      <c r="F926">
        <v>15101</v>
      </c>
      <c r="G926" t="str">
        <f>VLOOKUP(F926,'[1]Sheet 1'!$B$2:$E$347,2,FALSE)</f>
        <v>Arica y Parinacota</v>
      </c>
      <c r="H926" t="str">
        <f>VLOOKUP(F926,'[1]Sheet 1'!$B$2:$E$347,3,FALSE)</f>
        <v>Arica</v>
      </c>
      <c r="I926" t="str">
        <f>VLOOKUP(F926,'[1]Sheet 1'!$B$2:$E$347,4,FALSE)</f>
        <v>Arica</v>
      </c>
      <c r="J926" t="s">
        <v>142</v>
      </c>
      <c r="K926" s="3" t="s">
        <v>29</v>
      </c>
      <c r="L926" s="12" t="str">
        <f>VLOOKUP(K926,[2]Hoja4!$A$2:$C$443,2,FALSE)</f>
        <v>Intentional self-harm by jumping from a high place</v>
      </c>
      <c r="M926" s="12" t="str">
        <f>VLOOKUP(K926,[2]Hoja4!$A$2:$C$443,3,FALSE)</f>
        <v>Street and highway</v>
      </c>
      <c r="N926" s="1">
        <v>15.7</v>
      </c>
      <c r="O926" s="1">
        <v>18.8</v>
      </c>
      <c r="P926" s="1">
        <v>17.2</v>
      </c>
      <c r="Q926" s="1">
        <v>1014.4</v>
      </c>
      <c r="R926" s="1">
        <v>0</v>
      </c>
      <c r="S926" s="1">
        <v>65.2</v>
      </c>
      <c r="T926" s="8">
        <v>0.13089999999999999</v>
      </c>
      <c r="U926" s="7">
        <v>1E-3</v>
      </c>
    </row>
    <row r="927" spans="1:21" customFormat="1">
      <c r="A927">
        <v>1</v>
      </c>
      <c r="B927">
        <v>33</v>
      </c>
      <c r="C927">
        <v>23</v>
      </c>
      <c r="D927">
        <v>7</v>
      </c>
      <c r="E927">
        <v>2020</v>
      </c>
      <c r="F927">
        <v>6116</v>
      </c>
      <c r="G927" t="str">
        <f>VLOOKUP(F927,'[1]Sheet 1'!$B$2:$E$347,2,FALSE)</f>
        <v>Libertador General Bernardo O'Higgins</v>
      </c>
      <c r="H927" t="str">
        <f>VLOOKUP(F927,'[1]Sheet 1'!$B$2:$E$347,3,FALSE)</f>
        <v>Cachapoal</v>
      </c>
      <c r="I927" t="str">
        <f>VLOOKUP(F927,'[1]Sheet 1'!$B$2:$E$347,4,FALSE)</f>
        <v>Requínoa</v>
      </c>
      <c r="J927" t="s">
        <v>136</v>
      </c>
      <c r="K927" s="3" t="s">
        <v>0</v>
      </c>
      <c r="L927" s="12" t="str">
        <f>VLOOKUP(K927,[2]Hoja4!$A$2:$C$443,2,FALSE)</f>
        <v>Intentional self-harm by hanging, strangulation and suffocation</v>
      </c>
      <c r="M927" s="12" t="str">
        <f>VLOOKUP(K927,[2]Hoja4!$A$2:$C$443,3,FALSE)</f>
        <v>Unspecified place</v>
      </c>
      <c r="N927" s="1">
        <v>0</v>
      </c>
      <c r="O927" s="1">
        <v>13.4</v>
      </c>
      <c r="P927" s="1">
        <v>6</v>
      </c>
      <c r="Q927" s="1">
        <v>964.2</v>
      </c>
      <c r="R927" s="1">
        <v>0</v>
      </c>
      <c r="S927" s="1">
        <v>73.7</v>
      </c>
      <c r="T927" s="8">
        <v>0.13089999999999999</v>
      </c>
      <c r="U927" s="7">
        <v>1E-3</v>
      </c>
    </row>
    <row r="928" spans="1:21" customFormat="1">
      <c r="A928">
        <v>1</v>
      </c>
      <c r="B928">
        <v>80</v>
      </c>
      <c r="C928">
        <v>24</v>
      </c>
      <c r="D928">
        <v>7</v>
      </c>
      <c r="E928">
        <v>2020</v>
      </c>
      <c r="F928">
        <v>13501</v>
      </c>
      <c r="G928" t="str">
        <f>VLOOKUP(F928,'[1]Sheet 1'!$B$2:$E$347,2,FALSE)</f>
        <v>Metropolitana de Santiago</v>
      </c>
      <c r="H928" t="str">
        <f>VLOOKUP(F928,'[1]Sheet 1'!$B$2:$E$347,3,FALSE)</f>
        <v>Melipilla</v>
      </c>
      <c r="I928" t="str">
        <f>VLOOKUP(F928,'[1]Sheet 1'!$B$2:$E$347,4,FALSE)</f>
        <v>Melipilla</v>
      </c>
      <c r="J928" t="s">
        <v>136</v>
      </c>
      <c r="K928" s="3" t="s">
        <v>4</v>
      </c>
      <c r="L928" s="12" t="str">
        <f>VLOOKUP(K928,[2]Hoja4!$A$2:$C$443,2,FALSE)</f>
        <v>Intentional self-harm by hanging, strangulation and suffocation</v>
      </c>
      <c r="M928" s="12" t="str">
        <f>VLOOKUP(K928,[2]Hoja4!$A$2:$C$443,3,FALSE)</f>
        <v>At home</v>
      </c>
      <c r="N928" s="1">
        <v>1.3</v>
      </c>
      <c r="O928" s="1">
        <v>15.7</v>
      </c>
      <c r="P928" s="1">
        <v>7.9</v>
      </c>
      <c r="Q928" s="1">
        <v>1028.4000000000001</v>
      </c>
      <c r="R928" s="1">
        <v>0</v>
      </c>
      <c r="S928" s="1">
        <v>65.2</v>
      </c>
      <c r="T928" s="8">
        <v>0.13089999999999999</v>
      </c>
      <c r="U928" s="7">
        <v>1E-3</v>
      </c>
    </row>
    <row r="929" spans="1:21" customFormat="1">
      <c r="A929">
        <v>2</v>
      </c>
      <c r="B929">
        <v>31</v>
      </c>
      <c r="C929">
        <v>24</v>
      </c>
      <c r="D929">
        <v>7</v>
      </c>
      <c r="E929">
        <v>2020</v>
      </c>
      <c r="F929">
        <v>7301</v>
      </c>
      <c r="G929" t="str">
        <f>VLOOKUP(F929,'[1]Sheet 1'!$B$2:$E$347,2,FALSE)</f>
        <v>Maule</v>
      </c>
      <c r="H929" t="str">
        <f>VLOOKUP(F929,'[1]Sheet 1'!$B$2:$E$347,3,FALSE)</f>
        <v>Curicó</v>
      </c>
      <c r="I929" t="str">
        <f>VLOOKUP(F929,'[1]Sheet 1'!$B$2:$E$347,4,FALSE)</f>
        <v>Curicó</v>
      </c>
      <c r="J929" t="s">
        <v>136</v>
      </c>
      <c r="K929" s="3" t="s">
        <v>4</v>
      </c>
      <c r="L929" s="12" t="str">
        <f>VLOOKUP(K929,[2]Hoja4!$A$2:$C$443,2,FALSE)</f>
        <v>Intentional self-harm by hanging, strangulation and suffocation</v>
      </c>
      <c r="M929" s="12" t="str">
        <f>VLOOKUP(K929,[2]Hoja4!$A$2:$C$443,3,FALSE)</f>
        <v>At home</v>
      </c>
      <c r="N929" s="1">
        <v>0.6</v>
      </c>
      <c r="O929" s="1">
        <v>15.1</v>
      </c>
      <c r="P929" s="1">
        <v>7.2</v>
      </c>
      <c r="Q929" s="1">
        <v>1000.9</v>
      </c>
      <c r="R929" s="1">
        <v>0</v>
      </c>
      <c r="S929" s="1">
        <v>83</v>
      </c>
      <c r="T929" s="8">
        <v>0.13089999999999999</v>
      </c>
      <c r="U929" s="7">
        <v>1E-3</v>
      </c>
    </row>
    <row r="930" spans="1:21" customFormat="1">
      <c r="A930">
        <v>1</v>
      </c>
      <c r="B930">
        <v>17</v>
      </c>
      <c r="C930">
        <v>24</v>
      </c>
      <c r="D930">
        <v>7</v>
      </c>
      <c r="E930">
        <v>2020</v>
      </c>
      <c r="F930">
        <v>11101</v>
      </c>
      <c r="G930" t="str">
        <f>VLOOKUP(F930,'[1]Sheet 1'!$B$2:$E$347,2,FALSE)</f>
        <v>Aysén del General Carlos Ibáñez del Campo</v>
      </c>
      <c r="H930" t="str">
        <f>VLOOKUP(F930,'[1]Sheet 1'!$B$2:$E$347,3,FALSE)</f>
        <v>Coihaique</v>
      </c>
      <c r="I930" t="str">
        <f>VLOOKUP(F930,'[1]Sheet 1'!$B$2:$E$347,4,FALSE)</f>
        <v>Coihaique</v>
      </c>
      <c r="J930" t="s">
        <v>136</v>
      </c>
      <c r="K930" s="3" t="s">
        <v>0</v>
      </c>
      <c r="L930" s="12" t="str">
        <f>VLOOKUP(K930,[2]Hoja4!$A$2:$C$443,2,FALSE)</f>
        <v>Intentional self-harm by hanging, strangulation and suffocation</v>
      </c>
      <c r="M930" s="12" t="str">
        <f>VLOOKUP(K930,[2]Hoja4!$A$2:$C$443,3,FALSE)</f>
        <v>Unspecified place</v>
      </c>
      <c r="N930" s="1">
        <v>-9.8000000000000007</v>
      </c>
      <c r="O930" s="1">
        <v>6.3</v>
      </c>
      <c r="P930" s="1">
        <v>-0.7</v>
      </c>
      <c r="Q930" s="1">
        <v>975.7</v>
      </c>
      <c r="R930" s="1">
        <v>0</v>
      </c>
      <c r="S930" s="1">
        <v>74.8</v>
      </c>
      <c r="T930" s="8">
        <v>0.13089999999999999</v>
      </c>
      <c r="U930" s="7">
        <v>1E-3</v>
      </c>
    </row>
    <row r="931" spans="1:21" customFormat="1">
      <c r="A931">
        <v>1</v>
      </c>
      <c r="B931">
        <v>17</v>
      </c>
      <c r="C931">
        <v>24</v>
      </c>
      <c r="D931">
        <v>7</v>
      </c>
      <c r="E931">
        <v>2020</v>
      </c>
      <c r="F931">
        <v>8301</v>
      </c>
      <c r="G931" t="str">
        <f>VLOOKUP(F931,'[1]Sheet 1'!$B$2:$E$347,2,FALSE)</f>
        <v>Biobío</v>
      </c>
      <c r="H931" t="str">
        <f>VLOOKUP(F931,'[1]Sheet 1'!$B$2:$E$347,3,FALSE)</f>
        <v>Biobío</v>
      </c>
      <c r="I931" t="str">
        <f>VLOOKUP(F931,'[1]Sheet 1'!$B$2:$E$347,4,FALSE)</f>
        <v>Los Angeles</v>
      </c>
      <c r="J931" t="s">
        <v>136</v>
      </c>
      <c r="K931" s="3" t="s">
        <v>0</v>
      </c>
      <c r="L931" s="12" t="str">
        <f>VLOOKUP(K931,[2]Hoja4!$A$2:$C$443,2,FALSE)</f>
        <v>Intentional self-harm by hanging, strangulation and suffocation</v>
      </c>
      <c r="M931" s="12" t="str">
        <f>VLOOKUP(K931,[2]Hoja4!$A$2:$C$443,3,FALSE)</f>
        <v>Unspecified place</v>
      </c>
      <c r="N931" s="1">
        <v>-1</v>
      </c>
      <c r="O931" s="1">
        <v>10.6</v>
      </c>
      <c r="P931" s="1">
        <v>4.8</v>
      </c>
      <c r="Q931" s="1">
        <v>1015.2</v>
      </c>
      <c r="R931" s="1">
        <v>0</v>
      </c>
      <c r="S931" s="1">
        <v>68</v>
      </c>
      <c r="T931" s="8">
        <v>0.13089999999999999</v>
      </c>
      <c r="U931" s="7">
        <v>1E-3</v>
      </c>
    </row>
    <row r="932" spans="1:21" customFormat="1">
      <c r="A932">
        <v>1</v>
      </c>
      <c r="B932">
        <v>42</v>
      </c>
      <c r="C932">
        <v>25</v>
      </c>
      <c r="D932">
        <v>7</v>
      </c>
      <c r="E932">
        <v>2020</v>
      </c>
      <c r="F932">
        <v>7301</v>
      </c>
      <c r="G932" t="str">
        <f>VLOOKUP(F932,'[1]Sheet 1'!$B$2:$E$347,2,FALSE)</f>
        <v>Maule</v>
      </c>
      <c r="H932" t="str">
        <f>VLOOKUP(F932,'[1]Sheet 1'!$B$2:$E$347,3,FALSE)</f>
        <v>Curicó</v>
      </c>
      <c r="I932" t="str">
        <f>VLOOKUP(F932,'[1]Sheet 1'!$B$2:$E$347,4,FALSE)</f>
        <v>Curicó</v>
      </c>
      <c r="J932" t="s">
        <v>136</v>
      </c>
      <c r="K932" s="3" t="s">
        <v>4</v>
      </c>
      <c r="L932" s="12" t="str">
        <f>VLOOKUP(K932,[2]Hoja4!$A$2:$C$443,2,FALSE)</f>
        <v>Intentional self-harm by hanging, strangulation and suffocation</v>
      </c>
      <c r="M932" s="12" t="str">
        <f>VLOOKUP(K932,[2]Hoja4!$A$2:$C$443,3,FALSE)</f>
        <v>At home</v>
      </c>
      <c r="N932" s="1">
        <v>3.3</v>
      </c>
      <c r="O932" s="1">
        <v>12.5</v>
      </c>
      <c r="P932" s="1">
        <v>7.4</v>
      </c>
      <c r="Q932" s="1">
        <v>996.8</v>
      </c>
      <c r="R932" s="1">
        <v>0</v>
      </c>
      <c r="S932" s="1">
        <v>79</v>
      </c>
      <c r="T932" s="8">
        <v>0.13089999999999999</v>
      </c>
      <c r="U932" s="7">
        <v>1E-3</v>
      </c>
    </row>
    <row r="933" spans="1:21" customFormat="1">
      <c r="A933">
        <v>1</v>
      </c>
      <c r="B933">
        <v>31</v>
      </c>
      <c r="C933">
        <v>25</v>
      </c>
      <c r="D933">
        <v>7</v>
      </c>
      <c r="E933">
        <v>2020</v>
      </c>
      <c r="F933">
        <v>7401</v>
      </c>
      <c r="G933" t="str">
        <f>VLOOKUP(F933,'[1]Sheet 1'!$B$2:$E$347,2,FALSE)</f>
        <v>Maule</v>
      </c>
      <c r="H933" t="str">
        <f>VLOOKUP(F933,'[1]Sheet 1'!$B$2:$E$347,3,FALSE)</f>
        <v>Linares</v>
      </c>
      <c r="I933" t="str">
        <f>VLOOKUP(F933,'[1]Sheet 1'!$B$2:$E$347,4,FALSE)</f>
        <v>Linares</v>
      </c>
      <c r="J933" t="s">
        <v>136</v>
      </c>
      <c r="K933" s="3" t="s">
        <v>0</v>
      </c>
      <c r="L933" s="12" t="str">
        <f>VLOOKUP(K933,[2]Hoja4!$A$2:$C$443,2,FALSE)</f>
        <v>Intentional self-harm by hanging, strangulation and suffocation</v>
      </c>
      <c r="M933" s="12" t="str">
        <f>VLOOKUP(K933,[2]Hoja4!$A$2:$C$443,3,FALSE)</f>
        <v>Unspecified place</v>
      </c>
      <c r="N933" s="1">
        <v>0.1</v>
      </c>
      <c r="O933" s="1">
        <v>10.5</v>
      </c>
      <c r="P933" s="1">
        <v>5.2</v>
      </c>
      <c r="Q933" s="1">
        <v>1003.8</v>
      </c>
      <c r="R933" s="1">
        <v>0.8</v>
      </c>
      <c r="S933" s="1">
        <v>90.6</v>
      </c>
      <c r="T933" s="8">
        <v>0.13089999999999999</v>
      </c>
      <c r="U933" s="7">
        <v>1E-3</v>
      </c>
    </row>
    <row r="934" spans="1:21" customFormat="1">
      <c r="A934">
        <v>1</v>
      </c>
      <c r="B934">
        <v>74</v>
      </c>
      <c r="C934">
        <v>26</v>
      </c>
      <c r="D934">
        <v>7</v>
      </c>
      <c r="E934">
        <v>2020</v>
      </c>
      <c r="F934">
        <v>6309</v>
      </c>
      <c r="G934" t="str">
        <f>VLOOKUP(F934,'[1]Sheet 1'!$B$2:$E$347,2,FALSE)</f>
        <v>Libertador General Bernardo O'Higgins</v>
      </c>
      <c r="H934" t="str">
        <f>VLOOKUP(F934,'[1]Sheet 1'!$B$2:$E$347,3,FALSE)</f>
        <v>Colchagua</v>
      </c>
      <c r="I934" t="str">
        <f>VLOOKUP(F934,'[1]Sheet 1'!$B$2:$E$347,4,FALSE)</f>
        <v>Pumanque</v>
      </c>
      <c r="J934" t="s">
        <v>136</v>
      </c>
      <c r="K934" s="3" t="s">
        <v>0</v>
      </c>
      <c r="L934" s="12" t="str">
        <f>VLOOKUP(K934,[2]Hoja4!$A$2:$C$443,2,FALSE)</f>
        <v>Intentional self-harm by hanging, strangulation and suffocation</v>
      </c>
      <c r="M934" s="12" t="str">
        <f>VLOOKUP(K934,[2]Hoja4!$A$2:$C$443,3,FALSE)</f>
        <v>Unspecified place</v>
      </c>
      <c r="N934" s="1">
        <v>6.3</v>
      </c>
      <c r="O934" s="1">
        <v>13.6</v>
      </c>
      <c r="P934" s="1">
        <v>9.1999999999999993</v>
      </c>
      <c r="Q934" s="1">
        <v>986.9</v>
      </c>
      <c r="R934" s="1">
        <v>0</v>
      </c>
      <c r="S934" s="1">
        <v>81.2</v>
      </c>
      <c r="T934" s="8">
        <v>0.13089999999999999</v>
      </c>
      <c r="U934" s="7">
        <v>1E-3</v>
      </c>
    </row>
    <row r="935" spans="1:21" customFormat="1">
      <c r="A935">
        <v>1</v>
      </c>
      <c r="B935">
        <v>69</v>
      </c>
      <c r="C935">
        <v>26</v>
      </c>
      <c r="D935">
        <v>7</v>
      </c>
      <c r="E935">
        <v>2020</v>
      </c>
      <c r="F935">
        <v>8305</v>
      </c>
      <c r="G935" t="str">
        <f>VLOOKUP(F935,'[1]Sheet 1'!$B$2:$E$347,2,FALSE)</f>
        <v>Biobío</v>
      </c>
      <c r="H935" t="str">
        <f>VLOOKUP(F935,'[1]Sheet 1'!$B$2:$E$347,3,FALSE)</f>
        <v>Biobío</v>
      </c>
      <c r="I935" t="str">
        <f>VLOOKUP(F935,'[1]Sheet 1'!$B$2:$E$347,4,FALSE)</f>
        <v>Mulchén</v>
      </c>
      <c r="J935" t="s">
        <v>136</v>
      </c>
      <c r="K935" s="3" t="s">
        <v>4</v>
      </c>
      <c r="L935" s="12" t="str">
        <f>VLOOKUP(K935,[2]Hoja4!$A$2:$C$443,2,FALSE)</f>
        <v>Intentional self-harm by hanging, strangulation and suffocation</v>
      </c>
      <c r="M935" s="12" t="str">
        <f>VLOOKUP(K935,[2]Hoja4!$A$2:$C$443,3,FALSE)</f>
        <v>At home</v>
      </c>
      <c r="N935" s="1">
        <v>8</v>
      </c>
      <c r="O935" s="1">
        <v>13</v>
      </c>
      <c r="P935" s="1">
        <v>10.5</v>
      </c>
      <c r="Q935" s="1">
        <v>1006.8</v>
      </c>
      <c r="R935" s="1">
        <v>0.2</v>
      </c>
      <c r="S935" s="1">
        <v>82.8</v>
      </c>
      <c r="T935" s="8">
        <v>0.13089999999999999</v>
      </c>
      <c r="U935" s="7">
        <v>1E-3</v>
      </c>
    </row>
    <row r="936" spans="1:21" customFormat="1">
      <c r="A936">
        <v>1</v>
      </c>
      <c r="B936">
        <v>40</v>
      </c>
      <c r="C936">
        <v>26</v>
      </c>
      <c r="D936">
        <v>7</v>
      </c>
      <c r="E936">
        <v>2020</v>
      </c>
      <c r="F936">
        <v>10101</v>
      </c>
      <c r="G936" t="str">
        <f>VLOOKUP(F936,'[1]Sheet 1'!$B$2:$E$347,2,FALSE)</f>
        <v>Los Lagos</v>
      </c>
      <c r="H936" t="str">
        <f>VLOOKUP(F936,'[1]Sheet 1'!$B$2:$E$347,3,FALSE)</f>
        <v>Llanquihue</v>
      </c>
      <c r="I936" t="str">
        <f>VLOOKUP(F936,'[1]Sheet 1'!$B$2:$E$347,4,FALSE)</f>
        <v>Puerto Montt</v>
      </c>
      <c r="J936" t="s">
        <v>136</v>
      </c>
      <c r="K936" s="3" t="s">
        <v>4</v>
      </c>
      <c r="L936" s="12" t="str">
        <f>VLOOKUP(K936,[2]Hoja4!$A$2:$C$443,2,FALSE)</f>
        <v>Intentional self-harm by hanging, strangulation and suffocation</v>
      </c>
      <c r="M936" s="12" t="str">
        <f>VLOOKUP(K936,[2]Hoja4!$A$2:$C$443,3,FALSE)</f>
        <v>At home</v>
      </c>
      <c r="N936" s="1">
        <v>3.9</v>
      </c>
      <c r="O936" s="1">
        <v>10</v>
      </c>
      <c r="P936" s="1">
        <v>7.4</v>
      </c>
      <c r="Q936" s="1">
        <v>1007.7</v>
      </c>
      <c r="R936" s="1">
        <v>0.8</v>
      </c>
      <c r="S936" s="1">
        <v>89.5</v>
      </c>
      <c r="T936" s="8">
        <v>0.13089999999999999</v>
      </c>
      <c r="U936" s="7">
        <v>1E-3</v>
      </c>
    </row>
    <row r="937" spans="1:21" customFormat="1">
      <c r="A937">
        <v>1</v>
      </c>
      <c r="B937">
        <v>40</v>
      </c>
      <c r="C937">
        <v>26</v>
      </c>
      <c r="D937">
        <v>7</v>
      </c>
      <c r="E937">
        <v>2020</v>
      </c>
      <c r="F937">
        <v>16101</v>
      </c>
      <c r="G937" t="str">
        <f>VLOOKUP(F937,'[1]Sheet 1'!$B$2:$E$347,2,FALSE)</f>
        <v>Ñuble</v>
      </c>
      <c r="H937" t="str">
        <f>VLOOKUP(F937,'[1]Sheet 1'!$B$2:$E$347,3,FALSE)</f>
        <v>Diguillín</v>
      </c>
      <c r="I937" t="str">
        <f>VLOOKUP(F937,'[1]Sheet 1'!$B$2:$E$347,4,FALSE)</f>
        <v>Chillán</v>
      </c>
      <c r="J937" t="s">
        <v>136</v>
      </c>
      <c r="K937" s="3" t="s">
        <v>4</v>
      </c>
      <c r="L937" s="12" t="str">
        <f>VLOOKUP(K937,[2]Hoja4!$A$2:$C$443,2,FALSE)</f>
        <v>Intentional self-harm by hanging, strangulation and suffocation</v>
      </c>
      <c r="M937" s="12" t="str">
        <f>VLOOKUP(K937,[2]Hoja4!$A$2:$C$443,3,FALSE)</f>
        <v>At home</v>
      </c>
      <c r="N937" s="1">
        <v>7.9</v>
      </c>
      <c r="O937" s="1">
        <v>11.1</v>
      </c>
      <c r="P937" s="1">
        <v>9.1</v>
      </c>
      <c r="Q937" s="1">
        <v>1003.8</v>
      </c>
      <c r="R937" s="1">
        <v>4.4000000000000004</v>
      </c>
      <c r="S937" s="1">
        <v>100</v>
      </c>
      <c r="T937" s="8">
        <v>0.13089999999999999</v>
      </c>
      <c r="U937" s="7">
        <v>1E-3</v>
      </c>
    </row>
    <row r="938" spans="1:21" customFormat="1">
      <c r="A938">
        <v>1</v>
      </c>
      <c r="B938">
        <v>44</v>
      </c>
      <c r="C938">
        <v>26</v>
      </c>
      <c r="D938">
        <v>7</v>
      </c>
      <c r="E938">
        <v>2020</v>
      </c>
      <c r="F938">
        <v>8204</v>
      </c>
      <c r="G938" t="str">
        <f>VLOOKUP(F938,'[1]Sheet 1'!$B$2:$E$347,2,FALSE)</f>
        <v>Biobío</v>
      </c>
      <c r="H938" t="str">
        <f>VLOOKUP(F938,'[1]Sheet 1'!$B$2:$E$347,3,FALSE)</f>
        <v>Arauco</v>
      </c>
      <c r="I938" t="str">
        <f>VLOOKUP(F938,'[1]Sheet 1'!$B$2:$E$347,4,FALSE)</f>
        <v>Contulmo</v>
      </c>
      <c r="J938" t="s">
        <v>136</v>
      </c>
      <c r="K938" s="3" t="s">
        <v>2</v>
      </c>
      <c r="L938" s="12" t="str">
        <f>VLOOKUP(K938,[2]Hoja4!$A$2:$C$443,2,FALSE)</f>
        <v>Intentional self-harm by hanging, strangulation and suffocation</v>
      </c>
      <c r="M938" s="12" t="str">
        <f>VLOOKUP(K938,[2]Hoja4!$A$2:$C$443,3,FALSE)</f>
        <v>Street and highway</v>
      </c>
      <c r="N938" s="1">
        <v>10.7</v>
      </c>
      <c r="O938" s="1">
        <v>13.9</v>
      </c>
      <c r="P938" s="1">
        <v>12.1</v>
      </c>
      <c r="Q938" s="1">
        <v>1020.7</v>
      </c>
      <c r="R938" s="1">
        <v>0.4</v>
      </c>
      <c r="S938" s="1">
        <v>90.2</v>
      </c>
      <c r="T938" s="8">
        <v>0.13089999999999999</v>
      </c>
      <c r="U938" s="7">
        <v>1E-3</v>
      </c>
    </row>
    <row r="939" spans="1:21" customFormat="1">
      <c r="A939">
        <v>1</v>
      </c>
      <c r="B939">
        <v>22</v>
      </c>
      <c r="C939">
        <v>26</v>
      </c>
      <c r="D939">
        <v>7</v>
      </c>
      <c r="E939">
        <v>2020</v>
      </c>
      <c r="F939">
        <v>13112</v>
      </c>
      <c r="G939" t="str">
        <f>VLOOKUP(F939,'[1]Sheet 1'!$B$2:$E$347,2,FALSE)</f>
        <v>Metropolitana de Santiago</v>
      </c>
      <c r="H939" t="str">
        <f>VLOOKUP(F939,'[1]Sheet 1'!$B$2:$E$347,3,FALSE)</f>
        <v>Santiago</v>
      </c>
      <c r="I939" t="str">
        <f>VLOOKUP(F939,'[1]Sheet 1'!$B$2:$E$347,4,FALSE)</f>
        <v>La Pintana</v>
      </c>
      <c r="J939" t="s">
        <v>136</v>
      </c>
      <c r="K939" s="3" t="s">
        <v>0</v>
      </c>
      <c r="L939" s="12" t="str">
        <f>VLOOKUP(K939,[2]Hoja4!$A$2:$C$443,2,FALSE)</f>
        <v>Intentional self-harm by hanging, strangulation and suffocation</v>
      </c>
      <c r="M939" s="12" t="str">
        <f>VLOOKUP(K939,[2]Hoja4!$A$2:$C$443,3,FALSE)</f>
        <v>Unspecified place</v>
      </c>
      <c r="N939" s="1">
        <v>5.9</v>
      </c>
      <c r="O939" s="1">
        <v>13</v>
      </c>
      <c r="P939" s="1">
        <v>8.5</v>
      </c>
      <c r="Q939" s="1">
        <v>960.6</v>
      </c>
      <c r="R939" s="1"/>
      <c r="S939" s="1">
        <v>71.8</v>
      </c>
      <c r="T939" s="8">
        <v>0.13089999999999999</v>
      </c>
      <c r="U939" s="7">
        <v>1E-3</v>
      </c>
    </row>
    <row r="940" spans="1:21" customFormat="1">
      <c r="A940">
        <v>2</v>
      </c>
      <c r="B940">
        <v>22</v>
      </c>
      <c r="C940">
        <v>26</v>
      </c>
      <c r="D940">
        <v>7</v>
      </c>
      <c r="E940">
        <v>2020</v>
      </c>
      <c r="F940">
        <v>8312</v>
      </c>
      <c r="G940" t="str">
        <f>VLOOKUP(F940,'[1]Sheet 1'!$B$2:$E$347,2,FALSE)</f>
        <v>Biobío</v>
      </c>
      <c r="H940" t="str">
        <f>VLOOKUP(F940,'[1]Sheet 1'!$B$2:$E$347,3,FALSE)</f>
        <v>Biobío</v>
      </c>
      <c r="I940" t="str">
        <f>VLOOKUP(F940,'[1]Sheet 1'!$B$2:$E$347,4,FALSE)</f>
        <v>Tucapel</v>
      </c>
      <c r="J940" t="s">
        <v>136</v>
      </c>
      <c r="K940" s="3" t="s">
        <v>4</v>
      </c>
      <c r="L940" s="12" t="str">
        <f>VLOOKUP(K940,[2]Hoja4!$A$2:$C$443,2,FALSE)</f>
        <v>Intentional self-harm by hanging, strangulation and suffocation</v>
      </c>
      <c r="M940" s="12" t="str">
        <f>VLOOKUP(K940,[2]Hoja4!$A$2:$C$443,3,FALSE)</f>
        <v>At home</v>
      </c>
      <c r="N940" s="1">
        <v>8</v>
      </c>
      <c r="O940" s="1">
        <v>13</v>
      </c>
      <c r="P940" s="1">
        <v>10.5</v>
      </c>
      <c r="Q940" s="1">
        <v>1006.8</v>
      </c>
      <c r="R940" s="1">
        <v>0.2</v>
      </c>
      <c r="S940" s="1">
        <v>82.8</v>
      </c>
      <c r="T940" s="8">
        <v>0.13089999999999999</v>
      </c>
      <c r="U940" s="7">
        <v>1E-3</v>
      </c>
    </row>
    <row r="941" spans="1:21" customFormat="1">
      <c r="A941">
        <v>1</v>
      </c>
      <c r="B941">
        <v>49</v>
      </c>
      <c r="C941">
        <v>27</v>
      </c>
      <c r="D941">
        <v>7</v>
      </c>
      <c r="E941">
        <v>2020</v>
      </c>
      <c r="F941">
        <v>13112</v>
      </c>
      <c r="G941" t="str">
        <f>VLOOKUP(F941,'[1]Sheet 1'!$B$2:$E$347,2,FALSE)</f>
        <v>Metropolitana de Santiago</v>
      </c>
      <c r="H941" t="str">
        <f>VLOOKUP(F941,'[1]Sheet 1'!$B$2:$E$347,3,FALSE)</f>
        <v>Santiago</v>
      </c>
      <c r="I941" t="str">
        <f>VLOOKUP(F941,'[1]Sheet 1'!$B$2:$E$347,4,FALSE)</f>
        <v>La Pintana</v>
      </c>
      <c r="J941" t="s">
        <v>136</v>
      </c>
      <c r="K941" s="3" t="s">
        <v>0</v>
      </c>
      <c r="L941" s="12" t="str">
        <f>VLOOKUP(K941,[2]Hoja4!$A$2:$C$443,2,FALSE)</f>
        <v>Intentional self-harm by hanging, strangulation and suffocation</v>
      </c>
      <c r="M941" s="12" t="str">
        <f>VLOOKUP(K941,[2]Hoja4!$A$2:$C$443,3,FALSE)</f>
        <v>Unspecified place</v>
      </c>
      <c r="N941" s="1">
        <v>6.1</v>
      </c>
      <c r="O941" s="1">
        <v>14</v>
      </c>
      <c r="P941" s="1">
        <v>8.5</v>
      </c>
      <c r="Q941" s="1">
        <v>962.4</v>
      </c>
      <c r="R941" s="1"/>
      <c r="S941" s="1">
        <v>75.5</v>
      </c>
      <c r="T941" s="8">
        <v>0.13089999999999999</v>
      </c>
      <c r="U941" s="7">
        <v>1E-3</v>
      </c>
    </row>
    <row r="942" spans="1:21" customFormat="1">
      <c r="A942">
        <v>1</v>
      </c>
      <c r="B942">
        <v>35</v>
      </c>
      <c r="C942">
        <v>27</v>
      </c>
      <c r="D942">
        <v>7</v>
      </c>
      <c r="E942">
        <v>2020</v>
      </c>
      <c r="F942">
        <v>7304</v>
      </c>
      <c r="G942" t="str">
        <f>VLOOKUP(F942,'[1]Sheet 1'!$B$2:$E$347,2,FALSE)</f>
        <v>Maule</v>
      </c>
      <c r="H942" t="str">
        <f>VLOOKUP(F942,'[1]Sheet 1'!$B$2:$E$347,3,FALSE)</f>
        <v>Curicó</v>
      </c>
      <c r="I942" t="str">
        <f>VLOOKUP(F942,'[1]Sheet 1'!$B$2:$E$347,4,FALSE)</f>
        <v>Molina</v>
      </c>
      <c r="J942" t="s">
        <v>136</v>
      </c>
      <c r="K942" s="3" t="s">
        <v>4</v>
      </c>
      <c r="L942" s="12" t="str">
        <f>VLOOKUP(K942,[2]Hoja4!$A$2:$C$443,2,FALSE)</f>
        <v>Intentional self-harm by hanging, strangulation and suffocation</v>
      </c>
      <c r="M942" s="12" t="str">
        <f>VLOOKUP(K942,[2]Hoja4!$A$2:$C$443,3,FALSE)</f>
        <v>At home</v>
      </c>
      <c r="N942" s="1">
        <v>7.2</v>
      </c>
      <c r="O942" s="1">
        <v>13.5</v>
      </c>
      <c r="P942" s="1">
        <v>9.8000000000000007</v>
      </c>
      <c r="Q942" s="1">
        <v>998.6</v>
      </c>
      <c r="R942" s="1">
        <v>0</v>
      </c>
      <c r="S942" s="1">
        <v>83.2</v>
      </c>
      <c r="T942" s="8">
        <v>0.13089999999999999</v>
      </c>
      <c r="U942" s="7">
        <v>1E-3</v>
      </c>
    </row>
    <row r="943" spans="1:21" customFormat="1">
      <c r="A943">
        <v>1</v>
      </c>
      <c r="B943">
        <v>34</v>
      </c>
      <c r="C943">
        <v>27</v>
      </c>
      <c r="D943">
        <v>7</v>
      </c>
      <c r="E943">
        <v>2020</v>
      </c>
      <c r="F943">
        <v>7403</v>
      </c>
      <c r="G943" t="str">
        <f>VLOOKUP(F943,'[1]Sheet 1'!$B$2:$E$347,2,FALSE)</f>
        <v>Maule</v>
      </c>
      <c r="H943" t="str">
        <f>VLOOKUP(F943,'[1]Sheet 1'!$B$2:$E$347,3,FALSE)</f>
        <v>Linares</v>
      </c>
      <c r="I943" t="str">
        <f>VLOOKUP(F943,'[1]Sheet 1'!$B$2:$E$347,4,FALSE)</f>
        <v>Longaví</v>
      </c>
      <c r="J943" t="s">
        <v>136</v>
      </c>
      <c r="K943" s="3" t="s">
        <v>4</v>
      </c>
      <c r="L943" s="12" t="str">
        <f>VLOOKUP(K943,[2]Hoja4!$A$2:$C$443,2,FALSE)</f>
        <v>Intentional self-harm by hanging, strangulation and suffocation</v>
      </c>
      <c r="M943" s="12" t="str">
        <f>VLOOKUP(K943,[2]Hoja4!$A$2:$C$443,3,FALSE)</f>
        <v>At home</v>
      </c>
      <c r="N943" s="1">
        <v>2</v>
      </c>
      <c r="O943" s="1">
        <v>12.7</v>
      </c>
      <c r="P943" s="1">
        <v>7.6</v>
      </c>
      <c r="Q943" s="1">
        <v>1006.2</v>
      </c>
      <c r="R943" s="1">
        <v>0</v>
      </c>
      <c r="S943" s="1">
        <v>80.3</v>
      </c>
      <c r="T943" s="8">
        <v>0.13089999999999999</v>
      </c>
      <c r="U943" s="7">
        <v>1E-3</v>
      </c>
    </row>
    <row r="944" spans="1:21" customFormat="1">
      <c r="A944">
        <v>2</v>
      </c>
      <c r="B944">
        <v>33</v>
      </c>
      <c r="C944">
        <v>27</v>
      </c>
      <c r="D944">
        <v>7</v>
      </c>
      <c r="E944">
        <v>2020</v>
      </c>
      <c r="F944">
        <v>7301</v>
      </c>
      <c r="G944" t="str">
        <f>VLOOKUP(F944,'[1]Sheet 1'!$B$2:$E$347,2,FALSE)</f>
        <v>Maule</v>
      </c>
      <c r="H944" t="str">
        <f>VLOOKUP(F944,'[1]Sheet 1'!$B$2:$E$347,3,FALSE)</f>
        <v>Curicó</v>
      </c>
      <c r="I944" t="str">
        <f>VLOOKUP(F944,'[1]Sheet 1'!$B$2:$E$347,4,FALSE)</f>
        <v>Curicó</v>
      </c>
      <c r="J944" t="s">
        <v>136</v>
      </c>
      <c r="K944" s="3" t="s">
        <v>4</v>
      </c>
      <c r="L944" s="12" t="str">
        <f>VLOOKUP(K944,[2]Hoja4!$A$2:$C$443,2,FALSE)</f>
        <v>Intentional self-harm by hanging, strangulation and suffocation</v>
      </c>
      <c r="M944" s="12" t="str">
        <f>VLOOKUP(K944,[2]Hoja4!$A$2:$C$443,3,FALSE)</f>
        <v>At home</v>
      </c>
      <c r="N944" s="1">
        <v>7.2</v>
      </c>
      <c r="O944" s="1">
        <v>13.5</v>
      </c>
      <c r="P944" s="1">
        <v>9.8000000000000007</v>
      </c>
      <c r="Q944" s="1">
        <v>998.6</v>
      </c>
      <c r="R944" s="1">
        <v>0</v>
      </c>
      <c r="S944" s="1">
        <v>83.2</v>
      </c>
      <c r="T944" s="8">
        <v>0.13089999999999999</v>
      </c>
      <c r="U944" s="7">
        <v>1E-3</v>
      </c>
    </row>
    <row r="945" spans="1:21" customFormat="1">
      <c r="A945">
        <v>1</v>
      </c>
      <c r="B945">
        <v>26</v>
      </c>
      <c r="C945">
        <v>27</v>
      </c>
      <c r="D945">
        <v>7</v>
      </c>
      <c r="E945">
        <v>2020</v>
      </c>
      <c r="F945">
        <v>13115</v>
      </c>
      <c r="G945" t="str">
        <f>VLOOKUP(F945,'[1]Sheet 1'!$B$2:$E$347,2,FALSE)</f>
        <v>Metropolitana de Santiago</v>
      </c>
      <c r="H945" t="str">
        <f>VLOOKUP(F945,'[1]Sheet 1'!$B$2:$E$347,3,FALSE)</f>
        <v>Santiago</v>
      </c>
      <c r="I945" t="str">
        <f>VLOOKUP(F945,'[1]Sheet 1'!$B$2:$E$347,4,FALSE)</f>
        <v>Lo Barnechea</v>
      </c>
      <c r="J945" t="s">
        <v>136</v>
      </c>
      <c r="K945" s="3" t="s">
        <v>0</v>
      </c>
      <c r="L945" s="12" t="str">
        <f>VLOOKUP(K945,[2]Hoja4!$A$2:$C$443,2,FALSE)</f>
        <v>Intentional self-harm by hanging, strangulation and suffocation</v>
      </c>
      <c r="M945" s="12" t="str">
        <f>VLOOKUP(K945,[2]Hoja4!$A$2:$C$443,3,FALSE)</f>
        <v>Unspecified place</v>
      </c>
      <c r="N945" s="1">
        <v>6.1</v>
      </c>
      <c r="O945" s="1">
        <v>14</v>
      </c>
      <c r="P945" s="1">
        <v>8.5</v>
      </c>
      <c r="Q945" s="1">
        <v>962.4</v>
      </c>
      <c r="R945" s="1"/>
      <c r="S945" s="1">
        <v>75.5</v>
      </c>
      <c r="T945" s="8">
        <v>0.13089999999999999</v>
      </c>
      <c r="U945" s="7">
        <v>1E-3</v>
      </c>
    </row>
    <row r="946" spans="1:21" customFormat="1">
      <c r="A946">
        <v>1</v>
      </c>
      <c r="B946">
        <v>91</v>
      </c>
      <c r="C946">
        <v>28</v>
      </c>
      <c r="D946">
        <v>7</v>
      </c>
      <c r="E946">
        <v>2020</v>
      </c>
      <c r="F946">
        <v>5701</v>
      </c>
      <c r="G946" t="str">
        <f>VLOOKUP(F946,'[1]Sheet 1'!$B$2:$E$347,2,FALSE)</f>
        <v>Valparaíso</v>
      </c>
      <c r="H946" t="str">
        <f>VLOOKUP(F946,'[1]Sheet 1'!$B$2:$E$347,3,FALSE)</f>
        <v>San Felipe de Aconcagua</v>
      </c>
      <c r="I946" t="str">
        <f>VLOOKUP(F946,'[1]Sheet 1'!$B$2:$E$347,4,FALSE)</f>
        <v>San Felipe</v>
      </c>
      <c r="J946" t="s">
        <v>136</v>
      </c>
      <c r="K946" s="3" t="s">
        <v>4</v>
      </c>
      <c r="L946" s="12" t="str">
        <f>VLOOKUP(K946,[2]Hoja4!$A$2:$C$443,2,FALSE)</f>
        <v>Intentional self-harm by hanging, strangulation and suffocation</v>
      </c>
      <c r="M946" s="12" t="str">
        <f>VLOOKUP(K946,[2]Hoja4!$A$2:$C$443,3,FALSE)</f>
        <v>At home</v>
      </c>
      <c r="N946" s="1">
        <v>-0.1</v>
      </c>
      <c r="O946" s="1">
        <v>21.3</v>
      </c>
      <c r="P946" s="1">
        <v>8.8000000000000007</v>
      </c>
      <c r="Q946" s="1">
        <v>943.4</v>
      </c>
      <c r="R946" s="1">
        <v>0</v>
      </c>
      <c r="S946" s="1">
        <v>66.8</v>
      </c>
      <c r="T946" s="8">
        <v>0.13089999999999999</v>
      </c>
      <c r="U946" s="7">
        <v>1E-3</v>
      </c>
    </row>
    <row r="947" spans="1:21" customFormat="1">
      <c r="A947">
        <v>1</v>
      </c>
      <c r="B947">
        <v>35</v>
      </c>
      <c r="C947">
        <v>28</v>
      </c>
      <c r="D947">
        <v>7</v>
      </c>
      <c r="E947">
        <v>2020</v>
      </c>
      <c r="F947">
        <v>8101</v>
      </c>
      <c r="G947" t="str">
        <f>VLOOKUP(F947,'[1]Sheet 1'!$B$2:$E$347,2,FALSE)</f>
        <v>Biobío</v>
      </c>
      <c r="H947" t="str">
        <f>VLOOKUP(F947,'[1]Sheet 1'!$B$2:$E$347,3,FALSE)</f>
        <v>Concepción</v>
      </c>
      <c r="I947" t="str">
        <f>VLOOKUP(F947,'[1]Sheet 1'!$B$2:$E$347,4,FALSE)</f>
        <v>Concepción</v>
      </c>
      <c r="J947" t="s">
        <v>136</v>
      </c>
      <c r="K947" s="3" t="s">
        <v>4</v>
      </c>
      <c r="L947" s="12" t="str">
        <f>VLOOKUP(K947,[2]Hoja4!$A$2:$C$443,2,FALSE)</f>
        <v>Intentional self-harm by hanging, strangulation and suffocation</v>
      </c>
      <c r="M947" s="12" t="str">
        <f>VLOOKUP(K947,[2]Hoja4!$A$2:$C$443,3,FALSE)</f>
        <v>At home</v>
      </c>
      <c r="N947" s="1">
        <v>0.7</v>
      </c>
      <c r="O947" s="1">
        <v>12</v>
      </c>
      <c r="P947" s="1">
        <v>6.7</v>
      </c>
      <c r="Q947" s="1">
        <v>1023.8</v>
      </c>
      <c r="R947" s="1">
        <v>0</v>
      </c>
      <c r="S947" s="1">
        <v>79.5</v>
      </c>
      <c r="T947" s="8">
        <v>0.13089999999999999</v>
      </c>
      <c r="U947" s="7">
        <v>1E-3</v>
      </c>
    </row>
    <row r="948" spans="1:21" customFormat="1">
      <c r="A948">
        <v>1</v>
      </c>
      <c r="B948">
        <v>29</v>
      </c>
      <c r="C948">
        <v>28</v>
      </c>
      <c r="D948">
        <v>7</v>
      </c>
      <c r="E948">
        <v>2020</v>
      </c>
      <c r="F948">
        <v>7304</v>
      </c>
      <c r="G948" t="str">
        <f>VLOOKUP(F948,'[1]Sheet 1'!$B$2:$E$347,2,FALSE)</f>
        <v>Maule</v>
      </c>
      <c r="H948" t="str">
        <f>VLOOKUP(F948,'[1]Sheet 1'!$B$2:$E$347,3,FALSE)</f>
        <v>Curicó</v>
      </c>
      <c r="I948" t="str">
        <f>VLOOKUP(F948,'[1]Sheet 1'!$B$2:$E$347,4,FALSE)</f>
        <v>Molina</v>
      </c>
      <c r="J948" t="s">
        <v>136</v>
      </c>
      <c r="K948" s="3" t="s">
        <v>4</v>
      </c>
      <c r="L948" s="12" t="str">
        <f>VLOOKUP(K948,[2]Hoja4!$A$2:$C$443,2,FALSE)</f>
        <v>Intentional self-harm by hanging, strangulation and suffocation</v>
      </c>
      <c r="M948" s="12" t="str">
        <f>VLOOKUP(K948,[2]Hoja4!$A$2:$C$443,3,FALSE)</f>
        <v>At home</v>
      </c>
      <c r="N948" s="1">
        <v>0.3</v>
      </c>
      <c r="O948" s="1" t="s">
        <v>91</v>
      </c>
      <c r="P948" s="1">
        <v>4.4000000000000004</v>
      </c>
      <c r="Q948" s="1">
        <v>996.8</v>
      </c>
      <c r="R948" s="1">
        <v>0</v>
      </c>
      <c r="S948" s="1">
        <v>88.2</v>
      </c>
      <c r="T948" s="8">
        <v>0.13089999999999999</v>
      </c>
      <c r="U948" s="7">
        <v>1E-3</v>
      </c>
    </row>
    <row r="949" spans="1:21" customFormat="1">
      <c r="A949">
        <v>1</v>
      </c>
      <c r="B949">
        <v>30</v>
      </c>
      <c r="C949">
        <v>28</v>
      </c>
      <c r="D949">
        <v>7</v>
      </c>
      <c r="E949">
        <v>2020</v>
      </c>
      <c r="F949">
        <v>13119</v>
      </c>
      <c r="G949" t="str">
        <f>VLOOKUP(F949,'[1]Sheet 1'!$B$2:$E$347,2,FALSE)</f>
        <v>Metropolitana de Santiago</v>
      </c>
      <c r="H949" t="str">
        <f>VLOOKUP(F949,'[1]Sheet 1'!$B$2:$E$347,3,FALSE)</f>
        <v>Santiago</v>
      </c>
      <c r="I949" t="str">
        <f>VLOOKUP(F949,'[1]Sheet 1'!$B$2:$E$347,4,FALSE)</f>
        <v>Maipú</v>
      </c>
      <c r="J949" t="s">
        <v>136</v>
      </c>
      <c r="K949" s="3" t="s">
        <v>0</v>
      </c>
      <c r="L949" s="12" t="str">
        <f>VLOOKUP(K949,[2]Hoja4!$A$2:$C$443,2,FALSE)</f>
        <v>Intentional self-harm by hanging, strangulation and suffocation</v>
      </c>
      <c r="M949" s="12" t="str">
        <f>VLOOKUP(K949,[2]Hoja4!$A$2:$C$443,3,FALSE)</f>
        <v>Unspecified place</v>
      </c>
      <c r="N949" s="1">
        <v>-0.1</v>
      </c>
      <c r="O949" s="1">
        <v>18.399999999999999</v>
      </c>
      <c r="P949" s="1">
        <v>6.9</v>
      </c>
      <c r="Q949" s="1">
        <v>960.5</v>
      </c>
      <c r="R949" s="1"/>
      <c r="S949" s="1">
        <v>79</v>
      </c>
      <c r="T949" s="8">
        <v>0.13089999999999999</v>
      </c>
      <c r="U949" s="7">
        <v>1E-3</v>
      </c>
    </row>
    <row r="950" spans="1:21" customFormat="1">
      <c r="A950">
        <v>2</v>
      </c>
      <c r="B950">
        <v>22</v>
      </c>
      <c r="C950">
        <v>28</v>
      </c>
      <c r="D950">
        <v>7</v>
      </c>
      <c r="E950">
        <v>2020</v>
      </c>
      <c r="F950">
        <v>4106</v>
      </c>
      <c r="G950" t="str">
        <f>VLOOKUP(F950,'[1]Sheet 1'!$B$2:$E$347,2,FALSE)</f>
        <v>Coquimbo</v>
      </c>
      <c r="H950" t="str">
        <f>VLOOKUP(F950,'[1]Sheet 1'!$B$2:$E$347,3,FALSE)</f>
        <v>Elqui</v>
      </c>
      <c r="I950" t="str">
        <f>VLOOKUP(F950,'[1]Sheet 1'!$B$2:$E$347,4,FALSE)</f>
        <v>Vicuña</v>
      </c>
      <c r="J950" t="s">
        <v>136</v>
      </c>
      <c r="K950" s="3" t="s">
        <v>4</v>
      </c>
      <c r="L950" s="12" t="str">
        <f>VLOOKUP(K950,[2]Hoja4!$A$2:$C$443,2,FALSE)</f>
        <v>Intentional self-harm by hanging, strangulation and suffocation</v>
      </c>
      <c r="M950" s="12" t="str">
        <f>VLOOKUP(K950,[2]Hoja4!$A$2:$C$443,3,FALSE)</f>
        <v>At home</v>
      </c>
      <c r="N950" s="1">
        <v>7</v>
      </c>
      <c r="O950" s="1">
        <v>18.100000000000001</v>
      </c>
      <c r="P950" s="1">
        <v>12</v>
      </c>
      <c r="Q950" s="1">
        <v>1001</v>
      </c>
      <c r="R950" s="1">
        <v>0</v>
      </c>
      <c r="S950" s="1">
        <v>78</v>
      </c>
      <c r="T950" s="8">
        <v>0.13089999999999999</v>
      </c>
      <c r="U950" s="7">
        <v>1E-3</v>
      </c>
    </row>
    <row r="951" spans="1:21" customFormat="1">
      <c r="A951">
        <v>1</v>
      </c>
      <c r="B951">
        <v>74</v>
      </c>
      <c r="C951">
        <v>29</v>
      </c>
      <c r="D951">
        <v>7</v>
      </c>
      <c r="E951">
        <v>2020</v>
      </c>
      <c r="F951">
        <v>13109</v>
      </c>
      <c r="G951" t="str">
        <f>VLOOKUP(F951,'[1]Sheet 1'!$B$2:$E$347,2,FALSE)</f>
        <v>Metropolitana de Santiago</v>
      </c>
      <c r="H951" t="str">
        <f>VLOOKUP(F951,'[1]Sheet 1'!$B$2:$E$347,3,FALSE)</f>
        <v>Santiago</v>
      </c>
      <c r="I951" t="str">
        <f>VLOOKUP(F951,'[1]Sheet 1'!$B$2:$E$347,4,FALSE)</f>
        <v>La Cisterna</v>
      </c>
      <c r="J951" t="s">
        <v>136</v>
      </c>
      <c r="K951" s="3" t="s">
        <v>0</v>
      </c>
      <c r="L951" s="12" t="str">
        <f>VLOOKUP(K951,[2]Hoja4!$A$2:$C$443,2,FALSE)</f>
        <v>Intentional self-harm by hanging, strangulation and suffocation</v>
      </c>
      <c r="M951" s="12" t="str">
        <f>VLOOKUP(K951,[2]Hoja4!$A$2:$C$443,3,FALSE)</f>
        <v>Unspecified place</v>
      </c>
      <c r="N951" s="1">
        <v>0.9</v>
      </c>
      <c r="O951" s="1">
        <v>23</v>
      </c>
      <c r="P951" s="1">
        <v>9.1999999999999993</v>
      </c>
      <c r="Q951" s="1">
        <v>955.6</v>
      </c>
      <c r="R951" s="1"/>
      <c r="S951" s="1">
        <v>69.2</v>
      </c>
      <c r="T951" s="8">
        <v>0.13089999999999999</v>
      </c>
      <c r="U951" s="7">
        <v>1E-3</v>
      </c>
    </row>
    <row r="952" spans="1:21" customFormat="1">
      <c r="A952">
        <v>1</v>
      </c>
      <c r="B952">
        <v>46</v>
      </c>
      <c r="C952">
        <v>29</v>
      </c>
      <c r="D952">
        <v>7</v>
      </c>
      <c r="E952">
        <v>2020</v>
      </c>
      <c r="F952">
        <v>8305</v>
      </c>
      <c r="G952" t="str">
        <f>VLOOKUP(F952,'[1]Sheet 1'!$B$2:$E$347,2,FALSE)</f>
        <v>Biobío</v>
      </c>
      <c r="H952" t="str">
        <f>VLOOKUP(F952,'[1]Sheet 1'!$B$2:$E$347,3,FALSE)</f>
        <v>Biobío</v>
      </c>
      <c r="I952" t="str">
        <f>VLOOKUP(F952,'[1]Sheet 1'!$B$2:$E$347,4,FALSE)</f>
        <v>Mulchén</v>
      </c>
      <c r="J952" t="s">
        <v>136</v>
      </c>
      <c r="K952" s="3" t="s">
        <v>0</v>
      </c>
      <c r="L952" s="12" t="str">
        <f>VLOOKUP(K952,[2]Hoja4!$A$2:$C$443,2,FALSE)</f>
        <v>Intentional self-harm by hanging, strangulation and suffocation</v>
      </c>
      <c r="M952" s="12" t="str">
        <f>VLOOKUP(K952,[2]Hoja4!$A$2:$C$443,3,FALSE)</f>
        <v>Unspecified place</v>
      </c>
      <c r="N952" s="1">
        <v>-3</v>
      </c>
      <c r="O952" s="1">
        <v>13.8</v>
      </c>
      <c r="P952" s="1">
        <v>5.4</v>
      </c>
      <c r="Q952" s="1">
        <v>1004.6</v>
      </c>
      <c r="R952" s="1">
        <v>0</v>
      </c>
      <c r="S952" s="1">
        <v>88</v>
      </c>
      <c r="T952" s="8">
        <v>0.13089999999999999</v>
      </c>
      <c r="U952" s="7">
        <v>1E-3</v>
      </c>
    </row>
    <row r="953" spans="1:21" customFormat="1">
      <c r="A953">
        <v>1</v>
      </c>
      <c r="B953">
        <v>41</v>
      </c>
      <c r="C953">
        <v>29</v>
      </c>
      <c r="D953">
        <v>7</v>
      </c>
      <c r="E953">
        <v>2020</v>
      </c>
      <c r="F953">
        <v>2101</v>
      </c>
      <c r="G953" t="str">
        <f>VLOOKUP(F953,'[1]Sheet 1'!$B$2:$E$347,2,FALSE)</f>
        <v>Antofagasta</v>
      </c>
      <c r="H953" t="str">
        <f>VLOOKUP(F953,'[1]Sheet 1'!$B$2:$E$347,3,FALSE)</f>
        <v>Antofagasta</v>
      </c>
      <c r="I953" t="str">
        <f>VLOOKUP(F953,'[1]Sheet 1'!$B$2:$E$347,4,FALSE)</f>
        <v>Antofagasta</v>
      </c>
      <c r="J953" t="s">
        <v>136</v>
      </c>
      <c r="K953" s="3" t="s">
        <v>4</v>
      </c>
      <c r="L953" s="12" t="str">
        <f>VLOOKUP(K953,[2]Hoja4!$A$2:$C$443,2,FALSE)</f>
        <v>Intentional self-harm by hanging, strangulation and suffocation</v>
      </c>
      <c r="M953" s="12" t="str">
        <f>VLOOKUP(K953,[2]Hoja4!$A$2:$C$443,3,FALSE)</f>
        <v>At home</v>
      </c>
      <c r="N953" s="1">
        <v>10.6</v>
      </c>
      <c r="O953" s="1">
        <v>17.600000000000001</v>
      </c>
      <c r="P953" s="1">
        <v>13.4</v>
      </c>
      <c r="Q953" s="1">
        <v>998.8</v>
      </c>
      <c r="R953" s="1">
        <v>0</v>
      </c>
      <c r="S953" s="1">
        <v>72.2</v>
      </c>
      <c r="T953" s="8">
        <v>0.13089999999999999</v>
      </c>
      <c r="U953" s="7">
        <v>1E-3</v>
      </c>
    </row>
    <row r="954" spans="1:21" customFormat="1">
      <c r="A954">
        <v>1</v>
      </c>
      <c r="B954">
        <v>30</v>
      </c>
      <c r="C954">
        <v>29</v>
      </c>
      <c r="D954">
        <v>7</v>
      </c>
      <c r="E954">
        <v>2020</v>
      </c>
      <c r="F954">
        <v>3101</v>
      </c>
      <c r="G954" t="str">
        <f>VLOOKUP(F954,'[1]Sheet 1'!$B$2:$E$347,2,FALSE)</f>
        <v>Atacama</v>
      </c>
      <c r="H954" t="str">
        <f>VLOOKUP(F954,'[1]Sheet 1'!$B$2:$E$347,3,FALSE)</f>
        <v>Copiapó</v>
      </c>
      <c r="I954" t="str">
        <f>VLOOKUP(F954,'[1]Sheet 1'!$B$2:$E$347,4,FALSE)</f>
        <v>Copiapó</v>
      </c>
      <c r="J954" t="s">
        <v>136</v>
      </c>
      <c r="K954" s="3" t="s">
        <v>0</v>
      </c>
      <c r="L954" s="12" t="str">
        <f>VLOOKUP(K954,[2]Hoja4!$A$2:$C$443,2,FALSE)</f>
        <v>Intentional self-harm by hanging, strangulation and suffocation</v>
      </c>
      <c r="M954" s="12" t="str">
        <f>VLOOKUP(K954,[2]Hoja4!$A$2:$C$443,3,FALSE)</f>
        <v>Unspecified place</v>
      </c>
      <c r="N954" s="1">
        <v>7</v>
      </c>
      <c r="O954" s="1">
        <v>16.2</v>
      </c>
      <c r="P954" s="1">
        <v>11</v>
      </c>
      <c r="Q954" s="1">
        <v>992.2</v>
      </c>
      <c r="R954" s="1">
        <v>0</v>
      </c>
      <c r="S954" s="1">
        <v>85.2</v>
      </c>
      <c r="T954" s="8">
        <v>0.13089999999999999</v>
      </c>
      <c r="U954" s="7">
        <v>1E-3</v>
      </c>
    </row>
    <row r="955" spans="1:21" customFormat="1">
      <c r="A955">
        <v>1</v>
      </c>
      <c r="B955">
        <v>72</v>
      </c>
      <c r="C955">
        <v>31</v>
      </c>
      <c r="D955">
        <v>7</v>
      </c>
      <c r="E955">
        <v>2020</v>
      </c>
      <c r="F955">
        <v>9211</v>
      </c>
      <c r="G955" t="str">
        <f>VLOOKUP(F955,'[1]Sheet 1'!$B$2:$E$347,2,FALSE)</f>
        <v>La Araucanía</v>
      </c>
      <c r="H955" t="str">
        <f>VLOOKUP(F955,'[1]Sheet 1'!$B$2:$E$347,3,FALSE)</f>
        <v>Malleco</v>
      </c>
      <c r="I955" t="str">
        <f>VLOOKUP(F955,'[1]Sheet 1'!$B$2:$E$347,4,FALSE)</f>
        <v>Victoria</v>
      </c>
      <c r="J955" t="s">
        <v>136</v>
      </c>
      <c r="K955" s="3" t="s">
        <v>4</v>
      </c>
      <c r="L955" s="12" t="str">
        <f>VLOOKUP(K955,[2]Hoja4!$A$2:$C$443,2,FALSE)</f>
        <v>Intentional self-harm by hanging, strangulation and suffocation</v>
      </c>
      <c r="M955" s="12" t="str">
        <f>VLOOKUP(K955,[2]Hoja4!$A$2:$C$443,3,FALSE)</f>
        <v>At home</v>
      </c>
      <c r="N955" s="1">
        <v>5.4</v>
      </c>
      <c r="O955" s="1">
        <v>11.8</v>
      </c>
      <c r="P955" s="1">
        <v>7.6</v>
      </c>
      <c r="Q955" s="1">
        <v>501.6</v>
      </c>
      <c r="R955" s="1">
        <v>0</v>
      </c>
      <c r="S955" s="1">
        <v>87.8</v>
      </c>
      <c r="T955" s="8">
        <v>0.13089999999999999</v>
      </c>
      <c r="U955" s="7">
        <v>1E-3</v>
      </c>
    </row>
    <row r="956" spans="1:21" customFormat="1">
      <c r="A956">
        <v>1</v>
      </c>
      <c r="B956">
        <v>56</v>
      </c>
      <c r="C956">
        <v>31</v>
      </c>
      <c r="D956">
        <v>7</v>
      </c>
      <c r="E956">
        <v>2020</v>
      </c>
      <c r="F956">
        <v>8102</v>
      </c>
      <c r="G956" t="str">
        <f>VLOOKUP(F956,'[1]Sheet 1'!$B$2:$E$347,2,FALSE)</f>
        <v>Biobío</v>
      </c>
      <c r="H956" t="str">
        <f>VLOOKUP(F956,'[1]Sheet 1'!$B$2:$E$347,3,FALSE)</f>
        <v>Concepción</v>
      </c>
      <c r="I956" t="str">
        <f>VLOOKUP(F956,'[1]Sheet 1'!$B$2:$E$347,4,FALSE)</f>
        <v>Coronel</v>
      </c>
      <c r="J956" t="s">
        <v>142</v>
      </c>
      <c r="K956" s="3" t="s">
        <v>5</v>
      </c>
      <c r="L956" s="12" t="str">
        <f>VLOOKUP(K956,[2]Hoja4!$A$2:$C$443,2,FALSE)</f>
        <v>Intentional self-harm by other and unspecified firearm discharge</v>
      </c>
      <c r="M956" s="12" t="str">
        <f>VLOOKUP(K956,[2]Hoja4!$A$2:$C$443,3,FALSE)</f>
        <v>At home</v>
      </c>
      <c r="N956" s="1">
        <v>5.8</v>
      </c>
      <c r="O956" s="1">
        <v>14.4</v>
      </c>
      <c r="P956" s="1">
        <v>9.5</v>
      </c>
      <c r="Q956" s="1">
        <v>1014.8</v>
      </c>
      <c r="R956" s="1">
        <v>1</v>
      </c>
      <c r="S956" s="1">
        <v>88.8</v>
      </c>
      <c r="T956" s="8">
        <v>0.13089999999999999</v>
      </c>
      <c r="U956" s="7">
        <v>1E-3</v>
      </c>
    </row>
    <row r="957" spans="1:21" customFormat="1">
      <c r="A957">
        <v>1</v>
      </c>
      <c r="B957">
        <v>39</v>
      </c>
      <c r="C957">
        <v>31</v>
      </c>
      <c r="D957">
        <v>7</v>
      </c>
      <c r="E957">
        <v>2020</v>
      </c>
      <c r="F957">
        <v>16101</v>
      </c>
      <c r="G957" t="str">
        <f>VLOOKUP(F957,'[1]Sheet 1'!$B$2:$E$347,2,FALSE)</f>
        <v>Ñuble</v>
      </c>
      <c r="H957" t="str">
        <f>VLOOKUP(F957,'[1]Sheet 1'!$B$2:$E$347,3,FALSE)</f>
        <v>Diguillín</v>
      </c>
      <c r="I957" t="str">
        <f>VLOOKUP(F957,'[1]Sheet 1'!$B$2:$E$347,4,FALSE)</f>
        <v>Chillán</v>
      </c>
      <c r="J957" t="s">
        <v>136</v>
      </c>
      <c r="K957" s="3" t="s">
        <v>2</v>
      </c>
      <c r="L957" s="12" t="str">
        <f>VLOOKUP(K957,[2]Hoja4!$A$2:$C$443,2,FALSE)</f>
        <v>Intentional self-harm by hanging, strangulation and suffocation</v>
      </c>
      <c r="M957" s="12" t="str">
        <f>VLOOKUP(K957,[2]Hoja4!$A$2:$C$443,3,FALSE)</f>
        <v>Street and highway</v>
      </c>
      <c r="N957" s="1">
        <v>-0.2</v>
      </c>
      <c r="O957" s="1">
        <v>12.1</v>
      </c>
      <c r="P957" s="1">
        <v>5.4</v>
      </c>
      <c r="Q957" s="1">
        <v>998</v>
      </c>
      <c r="R957" s="1">
        <v>0</v>
      </c>
      <c r="S957" s="1">
        <v>94.5</v>
      </c>
      <c r="T957" s="8">
        <v>0.13089999999999999</v>
      </c>
      <c r="U957" s="7">
        <v>1E-3</v>
      </c>
    </row>
    <row r="958" spans="1:21" customFormat="1">
      <c r="A958">
        <v>2</v>
      </c>
      <c r="B958">
        <v>33</v>
      </c>
      <c r="C958">
        <v>31</v>
      </c>
      <c r="D958">
        <v>7</v>
      </c>
      <c r="E958">
        <v>2020</v>
      </c>
      <c r="F958">
        <v>13123</v>
      </c>
      <c r="G958" t="str">
        <f>VLOOKUP(F958,'[1]Sheet 1'!$B$2:$E$347,2,FALSE)</f>
        <v>Metropolitana de Santiago</v>
      </c>
      <c r="H958" t="str">
        <f>VLOOKUP(F958,'[1]Sheet 1'!$B$2:$E$347,3,FALSE)</f>
        <v>Santiago</v>
      </c>
      <c r="I958" t="str">
        <f>VLOOKUP(F958,'[1]Sheet 1'!$B$2:$E$347,4,FALSE)</f>
        <v>Providencia</v>
      </c>
      <c r="J958" t="s">
        <v>136</v>
      </c>
      <c r="K958" s="3" t="s">
        <v>0</v>
      </c>
      <c r="L958" s="12" t="str">
        <f>VLOOKUP(K958,[2]Hoja4!$A$2:$C$443,2,FALSE)</f>
        <v>Intentional self-harm by hanging, strangulation and suffocation</v>
      </c>
      <c r="M958" s="12" t="str">
        <f>VLOOKUP(K958,[2]Hoja4!$A$2:$C$443,3,FALSE)</f>
        <v>Unspecified place</v>
      </c>
      <c r="N958" s="1">
        <v>2.7</v>
      </c>
      <c r="O958" s="1">
        <v>18.2</v>
      </c>
      <c r="P958" s="1">
        <v>10.199999999999999</v>
      </c>
      <c r="Q958" s="1">
        <v>955.7</v>
      </c>
      <c r="R958" s="1"/>
      <c r="S958" s="1">
        <v>74.8</v>
      </c>
      <c r="T958" s="8">
        <v>0.13089999999999999</v>
      </c>
      <c r="U958" s="7">
        <v>1E-3</v>
      </c>
    </row>
    <row r="959" spans="1:21" customFormat="1">
      <c r="A959">
        <v>1</v>
      </c>
      <c r="B959">
        <v>30</v>
      </c>
      <c r="C959">
        <v>31</v>
      </c>
      <c r="D959">
        <v>7</v>
      </c>
      <c r="E959">
        <v>2020</v>
      </c>
      <c r="F959">
        <v>13302</v>
      </c>
      <c r="G959" t="str">
        <f>VLOOKUP(F959,'[1]Sheet 1'!$B$2:$E$347,2,FALSE)</f>
        <v>Metropolitana de Santiago</v>
      </c>
      <c r="H959" t="str">
        <f>VLOOKUP(F959,'[1]Sheet 1'!$B$2:$E$347,3,FALSE)</f>
        <v>Chacabuco</v>
      </c>
      <c r="I959" t="str">
        <f>VLOOKUP(F959,'[1]Sheet 1'!$B$2:$E$347,4,FALSE)</f>
        <v>Lampa</v>
      </c>
      <c r="J959" t="s">
        <v>136</v>
      </c>
      <c r="K959" s="3" t="s">
        <v>0</v>
      </c>
      <c r="L959" s="12" t="str">
        <f>VLOOKUP(K959,[2]Hoja4!$A$2:$C$443,2,FALSE)</f>
        <v>Intentional self-harm by hanging, strangulation and suffocation</v>
      </c>
      <c r="M959" s="12" t="str">
        <f>VLOOKUP(K959,[2]Hoja4!$A$2:$C$443,3,FALSE)</f>
        <v>Unspecified place</v>
      </c>
      <c r="N959" s="1">
        <v>2</v>
      </c>
      <c r="O959" s="1">
        <v>18.8</v>
      </c>
      <c r="P959" s="1">
        <v>10.5</v>
      </c>
      <c r="Q959" s="1">
        <v>937.5</v>
      </c>
      <c r="R959" s="1"/>
      <c r="S959" s="1">
        <v>68.5</v>
      </c>
      <c r="T959" s="8">
        <v>0.13089999999999999</v>
      </c>
      <c r="U959" s="7">
        <v>1E-3</v>
      </c>
    </row>
    <row r="960" spans="1:21" customFormat="1">
      <c r="A960">
        <v>1</v>
      </c>
      <c r="B960">
        <v>60</v>
      </c>
      <c r="C960">
        <v>1</v>
      </c>
      <c r="D960">
        <v>8</v>
      </c>
      <c r="E960">
        <v>2020</v>
      </c>
      <c r="F960">
        <v>13122</v>
      </c>
      <c r="G960" t="str">
        <f>VLOOKUP(F960,'[1]Sheet 1'!$B$2:$E$347,2,FALSE)</f>
        <v>Metropolitana de Santiago</v>
      </c>
      <c r="H960" t="str">
        <f>VLOOKUP(F960,'[1]Sheet 1'!$B$2:$E$347,3,FALSE)</f>
        <v>Santiago</v>
      </c>
      <c r="I960" t="str">
        <f>VLOOKUP(F960,'[1]Sheet 1'!$B$2:$E$347,4,FALSE)</f>
        <v>Peñalolén</v>
      </c>
      <c r="J960" t="s">
        <v>136</v>
      </c>
      <c r="K960" s="3" t="s">
        <v>0</v>
      </c>
      <c r="L960" s="12" t="str">
        <f>VLOOKUP(K960,[2]Hoja4!$A$2:$C$443,2,FALSE)</f>
        <v>Intentional self-harm by hanging, strangulation and suffocation</v>
      </c>
      <c r="M960" s="12" t="str">
        <f>VLOOKUP(K960,[2]Hoja4!$A$2:$C$443,3,FALSE)</f>
        <v>Unspecified place</v>
      </c>
      <c r="N960" s="1">
        <v>8.3000000000000007</v>
      </c>
      <c r="O960" s="1">
        <v>14.8</v>
      </c>
      <c r="P960" s="1">
        <v>11.1</v>
      </c>
      <c r="Q960" s="1">
        <v>958.5</v>
      </c>
      <c r="R960" s="1"/>
      <c r="S960" s="1">
        <v>69.8</v>
      </c>
      <c r="T960" s="8">
        <v>0.12909999999999999</v>
      </c>
      <c r="U960" s="7">
        <v>1E-3</v>
      </c>
    </row>
    <row r="961" spans="1:21" customFormat="1">
      <c r="A961">
        <v>1</v>
      </c>
      <c r="B961">
        <v>79</v>
      </c>
      <c r="C961">
        <v>1</v>
      </c>
      <c r="D961">
        <v>8</v>
      </c>
      <c r="E961">
        <v>2020</v>
      </c>
      <c r="F961">
        <v>16108</v>
      </c>
      <c r="G961" t="str">
        <f>VLOOKUP(F961,'[1]Sheet 1'!$B$2:$E$347,2,FALSE)</f>
        <v>Ñuble</v>
      </c>
      <c r="H961" t="str">
        <f>VLOOKUP(F961,'[1]Sheet 1'!$B$2:$E$347,3,FALSE)</f>
        <v>Diguillín</v>
      </c>
      <c r="I961" t="str">
        <f>VLOOKUP(F961,'[1]Sheet 1'!$B$2:$E$347,4,FALSE)</f>
        <v>San Ignacio</v>
      </c>
      <c r="J961" t="s">
        <v>136</v>
      </c>
      <c r="K961" s="3" t="s">
        <v>4</v>
      </c>
      <c r="L961" s="12" t="str">
        <f>VLOOKUP(K961,[2]Hoja4!$A$2:$C$443,2,FALSE)</f>
        <v>Intentional self-harm by hanging, strangulation and suffocation</v>
      </c>
      <c r="M961" s="12" t="str">
        <f>VLOOKUP(K961,[2]Hoja4!$A$2:$C$443,3,FALSE)</f>
        <v>At home</v>
      </c>
      <c r="N961" s="1">
        <v>6.6</v>
      </c>
      <c r="O961" s="1">
        <v>10.8</v>
      </c>
      <c r="P961" s="1">
        <v>8.6999999999999993</v>
      </c>
      <c r="Q961" s="1">
        <v>998.4</v>
      </c>
      <c r="R961" s="1">
        <v>9.1999999999999993</v>
      </c>
      <c r="S961" s="1">
        <v>92.5</v>
      </c>
      <c r="T961" s="8">
        <v>0.12909999999999999</v>
      </c>
      <c r="U961" s="7">
        <v>1E-3</v>
      </c>
    </row>
    <row r="962" spans="1:21" customFormat="1">
      <c r="A962">
        <v>1</v>
      </c>
      <c r="B962">
        <v>55</v>
      </c>
      <c r="C962">
        <v>1</v>
      </c>
      <c r="D962">
        <v>8</v>
      </c>
      <c r="E962">
        <v>2020</v>
      </c>
      <c r="F962">
        <v>5605</v>
      </c>
      <c r="G962" t="str">
        <f>VLOOKUP(F962,'[1]Sheet 1'!$B$2:$E$347,2,FALSE)</f>
        <v>Valparaíso</v>
      </c>
      <c r="H962" t="str">
        <f>VLOOKUP(F962,'[1]Sheet 1'!$B$2:$E$347,3,FALSE)</f>
        <v>San Antonio</v>
      </c>
      <c r="I962" t="str">
        <f>VLOOKUP(F962,'[1]Sheet 1'!$B$2:$E$347,4,FALSE)</f>
        <v>El Tabo</v>
      </c>
      <c r="J962" t="s">
        <v>136</v>
      </c>
      <c r="K962" s="3" t="s">
        <v>0</v>
      </c>
      <c r="L962" s="12" t="str">
        <f>VLOOKUP(K962,[2]Hoja4!$A$2:$C$443,2,FALSE)</f>
        <v>Intentional self-harm by hanging, strangulation and suffocation</v>
      </c>
      <c r="M962" s="12" t="str">
        <f>VLOOKUP(K962,[2]Hoja4!$A$2:$C$443,3,FALSE)</f>
        <v>Unspecified place</v>
      </c>
      <c r="N962" s="1">
        <v>9.5</v>
      </c>
      <c r="O962" s="1">
        <v>17</v>
      </c>
      <c r="P962" s="1">
        <v>13.3</v>
      </c>
      <c r="Q962" s="1">
        <v>1011.2</v>
      </c>
      <c r="R962" s="1">
        <v>0</v>
      </c>
      <c r="S962" s="1">
        <v>86.8</v>
      </c>
      <c r="T962" s="8">
        <v>0.12909999999999999</v>
      </c>
      <c r="U962" s="7">
        <v>1E-3</v>
      </c>
    </row>
    <row r="963" spans="1:21" customFormat="1">
      <c r="A963">
        <v>1</v>
      </c>
      <c r="B963">
        <v>45</v>
      </c>
      <c r="C963">
        <v>1</v>
      </c>
      <c r="D963">
        <v>8</v>
      </c>
      <c r="E963">
        <v>2020</v>
      </c>
      <c r="F963">
        <v>13111</v>
      </c>
      <c r="G963" t="str">
        <f>VLOOKUP(F963,'[1]Sheet 1'!$B$2:$E$347,2,FALSE)</f>
        <v>Metropolitana de Santiago</v>
      </c>
      <c r="H963" t="str">
        <f>VLOOKUP(F963,'[1]Sheet 1'!$B$2:$E$347,3,FALSE)</f>
        <v>Santiago</v>
      </c>
      <c r="I963" t="str">
        <f>VLOOKUP(F963,'[1]Sheet 1'!$B$2:$E$347,4,FALSE)</f>
        <v>La Granja</v>
      </c>
      <c r="J963" t="s">
        <v>136</v>
      </c>
      <c r="K963" s="3" t="s">
        <v>0</v>
      </c>
      <c r="L963" s="12" t="str">
        <f>VLOOKUP(K963,[2]Hoja4!$A$2:$C$443,2,FALSE)</f>
        <v>Intentional self-harm by hanging, strangulation and suffocation</v>
      </c>
      <c r="M963" s="12" t="str">
        <f>VLOOKUP(K963,[2]Hoja4!$A$2:$C$443,3,FALSE)</f>
        <v>Unspecified place</v>
      </c>
      <c r="N963" s="1">
        <v>8.3000000000000007</v>
      </c>
      <c r="O963" s="1">
        <v>14.8</v>
      </c>
      <c r="P963" s="1">
        <v>11.1</v>
      </c>
      <c r="Q963" s="1">
        <v>958.5</v>
      </c>
      <c r="R963" s="1"/>
      <c r="S963" s="1">
        <v>69.8</v>
      </c>
      <c r="T963" s="8">
        <v>0.12909999999999999</v>
      </c>
      <c r="U963" s="7">
        <v>1E-3</v>
      </c>
    </row>
    <row r="964" spans="1:21" customFormat="1">
      <c r="A964">
        <v>1</v>
      </c>
      <c r="B964">
        <v>44</v>
      </c>
      <c r="C964">
        <v>1</v>
      </c>
      <c r="D964">
        <v>8</v>
      </c>
      <c r="E964">
        <v>2020</v>
      </c>
      <c r="F964">
        <v>9118</v>
      </c>
      <c r="G964" t="str">
        <f>VLOOKUP(F964,'[1]Sheet 1'!$B$2:$E$347,2,FALSE)</f>
        <v>La Araucanía</v>
      </c>
      <c r="H964" t="str">
        <f>VLOOKUP(F964,'[1]Sheet 1'!$B$2:$E$347,3,FALSE)</f>
        <v>Cautín</v>
      </c>
      <c r="I964" t="str">
        <f>VLOOKUP(F964,'[1]Sheet 1'!$B$2:$E$347,4,FALSE)</f>
        <v>Toltén</v>
      </c>
      <c r="J964" t="s">
        <v>136</v>
      </c>
      <c r="K964" s="3" t="s">
        <v>4</v>
      </c>
      <c r="L964" s="12" t="str">
        <f>VLOOKUP(K964,[2]Hoja4!$A$2:$C$443,2,FALSE)</f>
        <v>Intentional self-harm by hanging, strangulation and suffocation</v>
      </c>
      <c r="M964" s="12" t="str">
        <f>VLOOKUP(K964,[2]Hoja4!$A$2:$C$443,3,FALSE)</f>
        <v>At home</v>
      </c>
      <c r="N964" s="1">
        <v>6</v>
      </c>
      <c r="O964" s="1">
        <v>13.1</v>
      </c>
      <c r="P964" s="1">
        <v>9.5</v>
      </c>
      <c r="Q964" s="1">
        <v>1000.6</v>
      </c>
      <c r="R964" s="1">
        <v>19.8</v>
      </c>
      <c r="S964" s="1">
        <v>85.2</v>
      </c>
      <c r="T964" s="8">
        <v>0.12909999999999999</v>
      </c>
      <c r="U964" s="7">
        <v>1E-3</v>
      </c>
    </row>
    <row r="965" spans="1:21" customFormat="1">
      <c r="A965">
        <v>1</v>
      </c>
      <c r="B965">
        <v>30</v>
      </c>
      <c r="C965">
        <v>1</v>
      </c>
      <c r="D965">
        <v>8</v>
      </c>
      <c r="E965">
        <v>2020</v>
      </c>
      <c r="F965">
        <v>8314</v>
      </c>
      <c r="G965" t="str">
        <f>VLOOKUP(F965,'[1]Sheet 1'!$B$2:$E$347,2,FALSE)</f>
        <v>Biobío</v>
      </c>
      <c r="H965" t="str">
        <f>VLOOKUP(F965,'[1]Sheet 1'!$B$2:$E$347,3,FALSE)</f>
        <v>Biobío</v>
      </c>
      <c r="I965" t="str">
        <f>VLOOKUP(F965,'[1]Sheet 1'!$B$2:$E$347,4,FALSE)</f>
        <v>Alto Biobío</v>
      </c>
      <c r="J965" t="s">
        <v>136</v>
      </c>
      <c r="K965" s="3" t="s">
        <v>2</v>
      </c>
      <c r="L965" s="12" t="str">
        <f>VLOOKUP(K965,[2]Hoja4!$A$2:$C$443,2,FALSE)</f>
        <v>Intentional self-harm by hanging, strangulation and suffocation</v>
      </c>
      <c r="M965" s="12" t="str">
        <f>VLOOKUP(K965,[2]Hoja4!$A$2:$C$443,3,FALSE)</f>
        <v>Street and highway</v>
      </c>
      <c r="N965" s="1">
        <v>6.9</v>
      </c>
      <c r="O965" s="1">
        <v>13</v>
      </c>
      <c r="P965" s="1">
        <v>10</v>
      </c>
      <c r="Q965" s="1">
        <v>1000.6</v>
      </c>
      <c r="R965" s="1">
        <v>29.8</v>
      </c>
      <c r="S965" s="1">
        <v>86.2</v>
      </c>
      <c r="T965" s="8">
        <v>0.12909999999999999</v>
      </c>
      <c r="U965" s="7">
        <v>1E-3</v>
      </c>
    </row>
    <row r="966" spans="1:21" customFormat="1">
      <c r="A966">
        <v>2</v>
      </c>
      <c r="B966">
        <v>22</v>
      </c>
      <c r="C966">
        <v>1</v>
      </c>
      <c r="D966">
        <v>8</v>
      </c>
      <c r="E966">
        <v>2020</v>
      </c>
      <c r="F966">
        <v>13119</v>
      </c>
      <c r="G966" t="str">
        <f>VLOOKUP(F966,'[1]Sheet 1'!$B$2:$E$347,2,FALSE)</f>
        <v>Metropolitana de Santiago</v>
      </c>
      <c r="H966" t="str">
        <f>VLOOKUP(F966,'[1]Sheet 1'!$B$2:$E$347,3,FALSE)</f>
        <v>Santiago</v>
      </c>
      <c r="I966" t="str">
        <f>VLOOKUP(F966,'[1]Sheet 1'!$B$2:$E$347,4,FALSE)</f>
        <v>Maipú</v>
      </c>
      <c r="J966" t="s">
        <v>136</v>
      </c>
      <c r="K966" s="3" t="s">
        <v>0</v>
      </c>
      <c r="L966" s="12" t="str">
        <f>VLOOKUP(K966,[2]Hoja4!$A$2:$C$443,2,FALSE)</f>
        <v>Intentional self-harm by hanging, strangulation and suffocation</v>
      </c>
      <c r="M966" s="12" t="str">
        <f>VLOOKUP(K966,[2]Hoja4!$A$2:$C$443,3,FALSE)</f>
        <v>Unspecified place</v>
      </c>
      <c r="N966" s="1">
        <v>8.3000000000000007</v>
      </c>
      <c r="O966" s="1">
        <v>14.8</v>
      </c>
      <c r="P966" s="1">
        <v>11.1</v>
      </c>
      <c r="Q966" s="1">
        <v>958.5</v>
      </c>
      <c r="R966" s="1"/>
      <c r="S966" s="1">
        <v>69.8</v>
      </c>
      <c r="T966" s="8">
        <v>0.12909999999999999</v>
      </c>
      <c r="U966" s="7">
        <v>1E-3</v>
      </c>
    </row>
    <row r="967" spans="1:21" customFormat="1">
      <c r="A967">
        <v>1</v>
      </c>
      <c r="B967">
        <v>37</v>
      </c>
      <c r="C967">
        <v>2</v>
      </c>
      <c r="D967">
        <v>8</v>
      </c>
      <c r="E967">
        <v>2020</v>
      </c>
      <c r="F967">
        <v>13125</v>
      </c>
      <c r="G967" t="str">
        <f>VLOOKUP(F967,'[1]Sheet 1'!$B$2:$E$347,2,FALSE)</f>
        <v>Metropolitana de Santiago</v>
      </c>
      <c r="H967" t="str">
        <f>VLOOKUP(F967,'[1]Sheet 1'!$B$2:$E$347,3,FALSE)</f>
        <v>Santiago</v>
      </c>
      <c r="I967" t="str">
        <f>VLOOKUP(F967,'[1]Sheet 1'!$B$2:$E$347,4,FALSE)</f>
        <v>Quilicura</v>
      </c>
      <c r="J967" t="s">
        <v>136</v>
      </c>
      <c r="K967" s="3" t="s">
        <v>0</v>
      </c>
      <c r="L967" s="12" t="str">
        <f>VLOOKUP(K967,[2]Hoja4!$A$2:$C$443,2,FALSE)</f>
        <v>Intentional self-harm by hanging, strangulation and suffocation</v>
      </c>
      <c r="M967" s="12" t="str">
        <f>VLOOKUP(K967,[2]Hoja4!$A$2:$C$443,3,FALSE)</f>
        <v>Unspecified place</v>
      </c>
      <c r="N967" s="1">
        <v>1.5</v>
      </c>
      <c r="O967" s="1">
        <v>21.1</v>
      </c>
      <c r="P967" s="1">
        <v>9</v>
      </c>
      <c r="Q967" s="1">
        <v>958.2</v>
      </c>
      <c r="R967" s="1"/>
      <c r="S967" s="1">
        <v>77.8</v>
      </c>
      <c r="T967" s="8">
        <v>0.12909999999999999</v>
      </c>
      <c r="U967" s="7">
        <v>1E-3</v>
      </c>
    </row>
    <row r="968" spans="1:21" customFormat="1">
      <c r="A968">
        <v>1</v>
      </c>
      <c r="B968">
        <v>34</v>
      </c>
      <c r="C968">
        <v>2</v>
      </c>
      <c r="D968">
        <v>8</v>
      </c>
      <c r="E968">
        <v>2020</v>
      </c>
      <c r="F968">
        <v>12301</v>
      </c>
      <c r="G968" t="str">
        <f>VLOOKUP(F968,'[1]Sheet 1'!$B$2:$E$347,2,FALSE)</f>
        <v>Magallanes y de la Antártica Chilena</v>
      </c>
      <c r="H968" t="str">
        <f>VLOOKUP(F968,'[1]Sheet 1'!$B$2:$E$347,3,FALSE)</f>
        <v>Tierra del Fuego</v>
      </c>
      <c r="I968" t="str">
        <f>VLOOKUP(F968,'[1]Sheet 1'!$B$2:$E$347,4,FALSE)</f>
        <v>Porvenir</v>
      </c>
      <c r="J968" t="s">
        <v>136</v>
      </c>
      <c r="K968" s="3" t="s">
        <v>4</v>
      </c>
      <c r="L968" s="12" t="str">
        <f>VLOOKUP(K968,[2]Hoja4!$A$2:$C$443,2,FALSE)</f>
        <v>Intentional self-harm by hanging, strangulation and suffocation</v>
      </c>
      <c r="M968" s="12" t="str">
        <f>VLOOKUP(K968,[2]Hoja4!$A$2:$C$443,3,FALSE)</f>
        <v>At home</v>
      </c>
      <c r="N968" s="1">
        <v>1.1000000000000001</v>
      </c>
      <c r="O968" s="1">
        <v>7.7</v>
      </c>
      <c r="P968" s="1">
        <v>3.5</v>
      </c>
      <c r="Q968" s="1">
        <v>998.2</v>
      </c>
      <c r="R968" s="1">
        <v>0</v>
      </c>
      <c r="S968" s="1">
        <v>80.400000000000006</v>
      </c>
      <c r="T968" s="8">
        <v>0.12909999999999999</v>
      </c>
      <c r="U968" s="7">
        <v>1E-3</v>
      </c>
    </row>
    <row r="969" spans="1:21" customFormat="1">
      <c r="A969">
        <v>1</v>
      </c>
      <c r="B969">
        <v>33</v>
      </c>
      <c r="C969">
        <v>2</v>
      </c>
      <c r="D969">
        <v>8</v>
      </c>
      <c r="E969">
        <v>2020</v>
      </c>
      <c r="F969">
        <v>3101</v>
      </c>
      <c r="G969" t="str">
        <f>VLOOKUP(F969,'[1]Sheet 1'!$B$2:$E$347,2,FALSE)</f>
        <v>Atacama</v>
      </c>
      <c r="H969" t="str">
        <f>VLOOKUP(F969,'[1]Sheet 1'!$B$2:$E$347,3,FALSE)</f>
        <v>Copiapó</v>
      </c>
      <c r="I969" t="str">
        <f>VLOOKUP(F969,'[1]Sheet 1'!$B$2:$E$347,4,FALSE)</f>
        <v>Copiapó</v>
      </c>
      <c r="J969" t="s">
        <v>136</v>
      </c>
      <c r="K969" s="3" t="s">
        <v>4</v>
      </c>
      <c r="L969" s="12" t="str">
        <f>VLOOKUP(K969,[2]Hoja4!$A$2:$C$443,2,FALSE)</f>
        <v>Intentional self-harm by hanging, strangulation and suffocation</v>
      </c>
      <c r="M969" s="12" t="str">
        <f>VLOOKUP(K969,[2]Hoja4!$A$2:$C$443,3,FALSE)</f>
        <v>At home</v>
      </c>
      <c r="N969" s="1">
        <v>5.4</v>
      </c>
      <c r="O969" s="1">
        <v>17.399999999999999</v>
      </c>
      <c r="P969" s="1">
        <v>11.6</v>
      </c>
      <c r="Q969" s="1">
        <v>993.1</v>
      </c>
      <c r="R969" s="1">
        <v>0</v>
      </c>
      <c r="S969" s="1">
        <v>84.8</v>
      </c>
      <c r="T969" s="8">
        <v>0.12909999999999999</v>
      </c>
      <c r="U969" s="7">
        <v>1E-3</v>
      </c>
    </row>
    <row r="970" spans="1:21">
      <c r="A970" s="4">
        <v>2</v>
      </c>
      <c r="B970" s="4">
        <v>20</v>
      </c>
      <c r="C970" s="4">
        <v>2</v>
      </c>
      <c r="D970" s="4">
        <v>8</v>
      </c>
      <c r="E970" s="4">
        <v>2020</v>
      </c>
      <c r="F970" s="4">
        <v>10403</v>
      </c>
      <c r="G970" s="4" t="str">
        <f>VLOOKUP(F970,'[1]Sheet 1'!$B$2:$E$347,2,FALSE)</f>
        <v>Los Lagos</v>
      </c>
      <c r="H970" s="4" t="str">
        <f>VLOOKUP(F970,'[1]Sheet 1'!$B$2:$E$347,3,FALSE)</f>
        <v>Palena</v>
      </c>
      <c r="I970" s="4" t="str">
        <f>VLOOKUP(F970,'[1]Sheet 1'!$B$2:$E$347,4,FALSE)</f>
        <v>Hualaihué</v>
      </c>
      <c r="J970" s="4" t="s">
        <v>136</v>
      </c>
      <c r="K970" s="3" t="s">
        <v>4</v>
      </c>
      <c r="L970" s="12" t="str">
        <f>VLOOKUP(K970,[2]Hoja4!$A$2:$C$443,2,FALSE)</f>
        <v>Intentional self-harm by hanging, strangulation and suffocation</v>
      </c>
      <c r="M970" s="12" t="str">
        <f>VLOOKUP(K970,[2]Hoja4!$A$2:$C$443,3,FALSE)</f>
        <v>At home</v>
      </c>
      <c r="N970" s="1">
        <v>4.0999999999999996</v>
      </c>
      <c r="O970" s="1">
        <v>10.3</v>
      </c>
      <c r="P970" s="1">
        <v>7.2</v>
      </c>
      <c r="Q970" s="1">
        <v>987.6</v>
      </c>
      <c r="R970" s="1">
        <v>0</v>
      </c>
      <c r="S970" s="1">
        <v>85.2</v>
      </c>
      <c r="T970" s="8">
        <v>0.12909999999999999</v>
      </c>
      <c r="U970" s="7">
        <v>1E-3</v>
      </c>
    </row>
    <row r="971" spans="1:21" customFormat="1">
      <c r="A971">
        <v>1</v>
      </c>
      <c r="B971">
        <v>20</v>
      </c>
      <c r="C971">
        <v>2</v>
      </c>
      <c r="D971">
        <v>8</v>
      </c>
      <c r="E971">
        <v>2020</v>
      </c>
      <c r="F971">
        <v>9207</v>
      </c>
      <c r="G971" t="str">
        <f>VLOOKUP(F971,'[1]Sheet 1'!$B$2:$E$347,2,FALSE)</f>
        <v>La Araucanía</v>
      </c>
      <c r="H971" t="str">
        <f>VLOOKUP(F971,'[1]Sheet 1'!$B$2:$E$347,3,FALSE)</f>
        <v>Malleco</v>
      </c>
      <c r="I971" t="str">
        <f>VLOOKUP(F971,'[1]Sheet 1'!$B$2:$E$347,4,FALSE)</f>
        <v>Lumaco</v>
      </c>
      <c r="J971" t="s">
        <v>136</v>
      </c>
      <c r="K971" s="3" t="s">
        <v>4</v>
      </c>
      <c r="L971" s="12" t="str">
        <f>VLOOKUP(K971,[2]Hoja4!$A$2:$C$443,2,FALSE)</f>
        <v>Intentional self-harm by hanging, strangulation and suffocation</v>
      </c>
      <c r="M971" s="12" t="str">
        <f>VLOOKUP(K971,[2]Hoja4!$A$2:$C$443,3,FALSE)</f>
        <v>At home</v>
      </c>
      <c r="N971" s="1"/>
      <c r="O971" s="1">
        <v>17</v>
      </c>
      <c r="P971" s="1">
        <v>11.7</v>
      </c>
      <c r="Q971" s="1">
        <v>501.9</v>
      </c>
      <c r="R971" s="1">
        <v>0</v>
      </c>
      <c r="S971" s="1">
        <v>86.8</v>
      </c>
      <c r="T971" s="8">
        <v>0.12909999999999999</v>
      </c>
      <c r="U971" s="7">
        <v>1E-3</v>
      </c>
    </row>
    <row r="972" spans="1:21" customFormat="1">
      <c r="A972">
        <v>1</v>
      </c>
      <c r="B972">
        <v>77</v>
      </c>
      <c r="C972">
        <v>3</v>
      </c>
      <c r="D972">
        <v>8</v>
      </c>
      <c r="E972">
        <v>2020</v>
      </c>
      <c r="F972">
        <v>10304</v>
      </c>
      <c r="G972" t="str">
        <f>VLOOKUP(F972,'[1]Sheet 1'!$B$2:$E$347,2,FALSE)</f>
        <v>Los Lagos</v>
      </c>
      <c r="H972" t="str">
        <f>VLOOKUP(F972,'[1]Sheet 1'!$B$2:$E$347,3,FALSE)</f>
        <v>Osorno</v>
      </c>
      <c r="I972" t="str">
        <f>VLOOKUP(F972,'[1]Sheet 1'!$B$2:$E$347,4,FALSE)</f>
        <v>Puyehue</v>
      </c>
      <c r="J972" t="s">
        <v>136</v>
      </c>
      <c r="K972" s="3" t="s">
        <v>4</v>
      </c>
      <c r="L972" s="12" t="str">
        <f>VLOOKUP(K972,[2]Hoja4!$A$2:$C$443,2,FALSE)</f>
        <v>Intentional self-harm by hanging, strangulation and suffocation</v>
      </c>
      <c r="M972" s="12" t="str">
        <f>VLOOKUP(K972,[2]Hoja4!$A$2:$C$443,3,FALSE)</f>
        <v>At home</v>
      </c>
      <c r="N972" s="1">
        <v>8.4</v>
      </c>
      <c r="O972" s="1">
        <v>12.4</v>
      </c>
      <c r="P972" s="1">
        <v>10.5</v>
      </c>
      <c r="Q972" s="1">
        <v>1009.5</v>
      </c>
      <c r="R972" s="1">
        <v>6.2</v>
      </c>
      <c r="S972" s="1">
        <v>87.2</v>
      </c>
      <c r="T972" s="8">
        <v>0.12909999999999999</v>
      </c>
      <c r="U972" s="7">
        <v>1E-3</v>
      </c>
    </row>
    <row r="973" spans="1:21" customFormat="1">
      <c r="A973">
        <v>1</v>
      </c>
      <c r="B973">
        <v>47</v>
      </c>
      <c r="C973">
        <v>3</v>
      </c>
      <c r="D973">
        <v>8</v>
      </c>
      <c r="E973">
        <v>2020</v>
      </c>
      <c r="F973">
        <v>8112</v>
      </c>
      <c r="G973" t="str">
        <f>VLOOKUP(F973,'[1]Sheet 1'!$B$2:$E$347,2,FALSE)</f>
        <v>Biobío</v>
      </c>
      <c r="H973" t="str">
        <f>VLOOKUP(F973,'[1]Sheet 1'!$B$2:$E$347,3,FALSE)</f>
        <v>Concepción</v>
      </c>
      <c r="I973" t="str">
        <f>VLOOKUP(F973,'[1]Sheet 1'!$B$2:$E$347,4,FALSE)</f>
        <v>Hualpén</v>
      </c>
      <c r="J973" t="s">
        <v>136</v>
      </c>
      <c r="K973" s="3" t="s">
        <v>4</v>
      </c>
      <c r="L973" s="12" t="str">
        <f>VLOOKUP(K973,[2]Hoja4!$A$2:$C$443,2,FALSE)</f>
        <v>Intentional self-harm by hanging, strangulation and suffocation</v>
      </c>
      <c r="M973" s="12" t="str">
        <f>VLOOKUP(K973,[2]Hoja4!$A$2:$C$443,3,FALSE)</f>
        <v>At home</v>
      </c>
      <c r="N973" s="1">
        <v>9.5</v>
      </c>
      <c r="O973" s="1">
        <v>14.8</v>
      </c>
      <c r="P973" s="1">
        <v>11.5</v>
      </c>
      <c r="Q973" s="1">
        <v>1019.6</v>
      </c>
      <c r="R973" s="1">
        <v>1.4</v>
      </c>
      <c r="S973" s="1">
        <v>91.5</v>
      </c>
      <c r="T973" s="8">
        <v>0.12909999999999999</v>
      </c>
      <c r="U973" s="7">
        <v>1E-3</v>
      </c>
    </row>
    <row r="974" spans="1:21" customFormat="1">
      <c r="A974">
        <v>1</v>
      </c>
      <c r="B974">
        <v>27</v>
      </c>
      <c r="C974">
        <v>3</v>
      </c>
      <c r="D974">
        <v>8</v>
      </c>
      <c r="E974">
        <v>2020</v>
      </c>
      <c r="F974">
        <v>9114</v>
      </c>
      <c r="G974" t="str">
        <f>VLOOKUP(F974,'[1]Sheet 1'!$B$2:$E$347,2,FALSE)</f>
        <v>La Araucanía</v>
      </c>
      <c r="H974" t="str">
        <f>VLOOKUP(F974,'[1]Sheet 1'!$B$2:$E$347,3,FALSE)</f>
        <v>Cautín</v>
      </c>
      <c r="I974" t="str">
        <f>VLOOKUP(F974,'[1]Sheet 1'!$B$2:$E$347,4,FALSE)</f>
        <v>Pitrufquén</v>
      </c>
      <c r="J974" t="s">
        <v>136</v>
      </c>
      <c r="K974" s="3" t="s">
        <v>4</v>
      </c>
      <c r="L974" s="12" t="str">
        <f>VLOOKUP(K974,[2]Hoja4!$A$2:$C$443,2,FALSE)</f>
        <v>Intentional self-harm by hanging, strangulation and suffocation</v>
      </c>
      <c r="M974" s="12" t="str">
        <f>VLOOKUP(K974,[2]Hoja4!$A$2:$C$443,3,FALSE)</f>
        <v>At home</v>
      </c>
      <c r="N974" s="1">
        <v>6.4</v>
      </c>
      <c r="O974" s="1">
        <v>13.1</v>
      </c>
      <c r="P974" s="1">
        <v>9.5</v>
      </c>
      <c r="Q974" s="1">
        <v>1007</v>
      </c>
      <c r="R974" s="1">
        <v>3.4</v>
      </c>
      <c r="S974" s="1">
        <v>95.8</v>
      </c>
      <c r="T974" s="8">
        <v>0.12909999999999999</v>
      </c>
      <c r="U974" s="7">
        <v>1E-3</v>
      </c>
    </row>
    <row r="975" spans="1:21" customFormat="1">
      <c r="A975">
        <v>2</v>
      </c>
      <c r="B975">
        <v>57</v>
      </c>
      <c r="C975">
        <v>4</v>
      </c>
      <c r="D975">
        <v>8</v>
      </c>
      <c r="E975">
        <v>2020</v>
      </c>
      <c r="F975">
        <v>13124</v>
      </c>
      <c r="G975" t="str">
        <f>VLOOKUP(F975,'[1]Sheet 1'!$B$2:$E$347,2,FALSE)</f>
        <v>Metropolitana de Santiago</v>
      </c>
      <c r="H975" t="str">
        <f>VLOOKUP(F975,'[1]Sheet 1'!$B$2:$E$347,3,FALSE)</f>
        <v>Santiago</v>
      </c>
      <c r="I975" t="str">
        <f>VLOOKUP(F975,'[1]Sheet 1'!$B$2:$E$347,4,FALSE)</f>
        <v>Pudahuel</v>
      </c>
      <c r="J975" t="s">
        <v>136</v>
      </c>
      <c r="K975" s="3" t="s">
        <v>0</v>
      </c>
      <c r="L975" s="12" t="str">
        <f>VLOOKUP(K975,[2]Hoja4!$A$2:$C$443,2,FALSE)</f>
        <v>Intentional self-harm by hanging, strangulation and suffocation</v>
      </c>
      <c r="M975" s="12" t="str">
        <f>VLOOKUP(K975,[2]Hoja4!$A$2:$C$443,3,FALSE)</f>
        <v>Unspecified place</v>
      </c>
      <c r="N975" s="1">
        <v>4.2</v>
      </c>
      <c r="O975" s="1">
        <v>22.1</v>
      </c>
      <c r="P975" s="1">
        <v>11.3</v>
      </c>
      <c r="Q975" s="1">
        <v>958.2</v>
      </c>
      <c r="R975" s="1"/>
      <c r="S975" s="1">
        <v>77.2</v>
      </c>
      <c r="T975" s="8">
        <v>0.12909999999999999</v>
      </c>
      <c r="U975" s="7">
        <v>1E-3</v>
      </c>
    </row>
    <row r="976" spans="1:21" customFormat="1">
      <c r="A976">
        <v>1</v>
      </c>
      <c r="B976">
        <v>54</v>
      </c>
      <c r="C976">
        <v>4</v>
      </c>
      <c r="D976">
        <v>8</v>
      </c>
      <c r="E976">
        <v>2020</v>
      </c>
      <c r="F976">
        <v>10201</v>
      </c>
      <c r="G976" t="str">
        <f>VLOOKUP(F976,'[1]Sheet 1'!$B$2:$E$347,2,FALSE)</f>
        <v>Los Lagos</v>
      </c>
      <c r="H976" t="str">
        <f>VLOOKUP(F976,'[1]Sheet 1'!$B$2:$E$347,3,FALSE)</f>
        <v>Chiloé</v>
      </c>
      <c r="I976" t="str">
        <f>VLOOKUP(F976,'[1]Sheet 1'!$B$2:$E$347,4,FALSE)</f>
        <v>Castro</v>
      </c>
      <c r="J976" t="s">
        <v>136</v>
      </c>
      <c r="K976" s="3" t="s">
        <v>4</v>
      </c>
      <c r="L976" s="12" t="str">
        <f>VLOOKUP(K976,[2]Hoja4!$A$2:$C$443,2,FALSE)</f>
        <v>Intentional self-harm by hanging, strangulation and suffocation</v>
      </c>
      <c r="M976" s="12" t="str">
        <f>VLOOKUP(K976,[2]Hoja4!$A$2:$C$443,3,FALSE)</f>
        <v>At home</v>
      </c>
      <c r="N976" s="1">
        <v>0.1</v>
      </c>
      <c r="O976" s="1">
        <v>10.4</v>
      </c>
      <c r="P976" s="1">
        <v>4.8</v>
      </c>
      <c r="Q976" s="1">
        <v>997.5</v>
      </c>
      <c r="R976" s="1">
        <v>7.8</v>
      </c>
      <c r="S976" s="1">
        <v>96</v>
      </c>
      <c r="T976" s="8">
        <v>0.12909999999999999</v>
      </c>
      <c r="U976" s="7">
        <v>1E-3</v>
      </c>
    </row>
    <row r="977" spans="1:21" customFormat="1">
      <c r="A977">
        <v>1</v>
      </c>
      <c r="B977">
        <v>50</v>
      </c>
      <c r="C977">
        <v>4</v>
      </c>
      <c r="D977">
        <v>8</v>
      </c>
      <c r="E977">
        <v>2020</v>
      </c>
      <c r="F977">
        <v>8301</v>
      </c>
      <c r="G977" t="str">
        <f>VLOOKUP(F977,'[1]Sheet 1'!$B$2:$E$347,2,FALSE)</f>
        <v>Biobío</v>
      </c>
      <c r="H977" t="str">
        <f>VLOOKUP(F977,'[1]Sheet 1'!$B$2:$E$347,3,FALSE)</f>
        <v>Biobío</v>
      </c>
      <c r="I977" t="str">
        <f>VLOOKUP(F977,'[1]Sheet 1'!$B$2:$E$347,4,FALSE)</f>
        <v>Los Angeles</v>
      </c>
      <c r="J977" t="s">
        <v>136</v>
      </c>
      <c r="K977" s="3" t="s">
        <v>2</v>
      </c>
      <c r="L977" s="12" t="str">
        <f>VLOOKUP(K977,[2]Hoja4!$A$2:$C$443,2,FALSE)</f>
        <v>Intentional self-harm by hanging, strangulation and suffocation</v>
      </c>
      <c r="M977" s="12" t="str">
        <f>VLOOKUP(K977,[2]Hoja4!$A$2:$C$443,3,FALSE)</f>
        <v>Street and highway</v>
      </c>
      <c r="N977" s="1">
        <v>10</v>
      </c>
      <c r="O977" s="1">
        <v>15</v>
      </c>
      <c r="P977" s="1">
        <v>12.5</v>
      </c>
      <c r="Q977" s="1">
        <v>1005.4</v>
      </c>
      <c r="R977" s="1">
        <v>4.0999999999999996</v>
      </c>
      <c r="S977" s="1">
        <v>94.5</v>
      </c>
      <c r="T977" s="8">
        <v>0.12909999999999999</v>
      </c>
      <c r="U977" s="7">
        <v>1E-3</v>
      </c>
    </row>
    <row r="978" spans="1:21" customFormat="1">
      <c r="A978">
        <v>1</v>
      </c>
      <c r="B978">
        <v>29</v>
      </c>
      <c r="C978">
        <v>5</v>
      </c>
      <c r="D978">
        <v>8</v>
      </c>
      <c r="E978">
        <v>2020</v>
      </c>
      <c r="F978">
        <v>13110</v>
      </c>
      <c r="G978" t="str">
        <f>VLOOKUP(F978,'[1]Sheet 1'!$B$2:$E$347,2,FALSE)</f>
        <v>Metropolitana de Santiago</v>
      </c>
      <c r="H978" t="str">
        <f>VLOOKUP(F978,'[1]Sheet 1'!$B$2:$E$347,3,FALSE)</f>
        <v>Santiago</v>
      </c>
      <c r="I978" t="str">
        <f>VLOOKUP(F978,'[1]Sheet 1'!$B$2:$E$347,4,FALSE)</f>
        <v>La Florida</v>
      </c>
      <c r="J978" t="s">
        <v>136</v>
      </c>
      <c r="K978" s="3" t="s">
        <v>0</v>
      </c>
      <c r="L978" s="12" t="str">
        <f>VLOOKUP(K978,[2]Hoja4!$A$2:$C$443,2,FALSE)</f>
        <v>Intentional self-harm by hanging, strangulation and suffocation</v>
      </c>
      <c r="M978" s="12" t="str">
        <f>VLOOKUP(K978,[2]Hoja4!$A$2:$C$443,3,FALSE)</f>
        <v>Unspecified place</v>
      </c>
      <c r="N978" s="1">
        <v>6.2</v>
      </c>
      <c r="O978" s="1">
        <v>16.8</v>
      </c>
      <c r="P978" s="1">
        <v>11.4</v>
      </c>
      <c r="Q978" s="1">
        <v>963.1</v>
      </c>
      <c r="R978" s="1"/>
      <c r="S978" s="1">
        <v>85.5</v>
      </c>
      <c r="T978" s="8">
        <v>0.12909999999999999</v>
      </c>
      <c r="U978" s="7">
        <v>1E-3</v>
      </c>
    </row>
    <row r="979" spans="1:21" customFormat="1">
      <c r="A979">
        <v>1</v>
      </c>
      <c r="B979">
        <v>18</v>
      </c>
      <c r="C979">
        <v>5</v>
      </c>
      <c r="D979">
        <v>8</v>
      </c>
      <c r="E979">
        <v>2020</v>
      </c>
      <c r="F979">
        <v>9105</v>
      </c>
      <c r="G979" t="str">
        <f>VLOOKUP(F979,'[1]Sheet 1'!$B$2:$E$347,2,FALSE)</f>
        <v>La Araucanía</v>
      </c>
      <c r="H979" t="str">
        <f>VLOOKUP(F979,'[1]Sheet 1'!$B$2:$E$347,3,FALSE)</f>
        <v>Cautín</v>
      </c>
      <c r="I979" t="str">
        <f>VLOOKUP(F979,'[1]Sheet 1'!$B$2:$E$347,4,FALSE)</f>
        <v>Freire</v>
      </c>
      <c r="J979" t="s">
        <v>137</v>
      </c>
      <c r="K979" s="3" t="s">
        <v>3</v>
      </c>
      <c r="L979" s="12" t="str">
        <f>VLOOKUP(K979,[2]Hoja4!$A$2:$C$443,2,FALSE)</f>
        <v>Intentional self-poisoning by and exposure to pesticides</v>
      </c>
      <c r="M979" s="12" t="str">
        <f>VLOOKUP(K979,[2]Hoja4!$A$2:$C$443,3,FALSE)</f>
        <v>Unspecified place</v>
      </c>
      <c r="N979" s="1">
        <v>6.6</v>
      </c>
      <c r="O979" s="1">
        <v>12</v>
      </c>
      <c r="P979" s="1">
        <v>9.3000000000000007</v>
      </c>
      <c r="Q979" s="1">
        <v>1011.6</v>
      </c>
      <c r="R979" s="1">
        <v>5.4</v>
      </c>
      <c r="S979" s="1">
        <v>91</v>
      </c>
      <c r="T979" s="8">
        <v>0.12909999999999999</v>
      </c>
      <c r="U979" s="7">
        <v>1E-3</v>
      </c>
    </row>
    <row r="980" spans="1:21" customFormat="1">
      <c r="A980">
        <v>2</v>
      </c>
      <c r="B980">
        <v>79</v>
      </c>
      <c r="C980">
        <v>6</v>
      </c>
      <c r="D980">
        <v>8</v>
      </c>
      <c r="E980">
        <v>2020</v>
      </c>
      <c r="F980">
        <v>13110</v>
      </c>
      <c r="G980" t="str">
        <f>VLOOKUP(F980,'[1]Sheet 1'!$B$2:$E$347,2,FALSE)</f>
        <v>Metropolitana de Santiago</v>
      </c>
      <c r="H980" t="str">
        <f>VLOOKUP(F980,'[1]Sheet 1'!$B$2:$E$347,3,FALSE)</f>
        <v>Santiago</v>
      </c>
      <c r="I980" t="str">
        <f>VLOOKUP(F980,'[1]Sheet 1'!$B$2:$E$347,4,FALSE)</f>
        <v>La Florida</v>
      </c>
      <c r="J980" t="s">
        <v>136</v>
      </c>
      <c r="K980" s="3" t="s">
        <v>0</v>
      </c>
      <c r="L980" s="12" t="str">
        <f>VLOOKUP(K980,[2]Hoja4!$A$2:$C$443,2,FALSE)</f>
        <v>Intentional self-harm by hanging, strangulation and suffocation</v>
      </c>
      <c r="M980" s="12" t="str">
        <f>VLOOKUP(K980,[2]Hoja4!$A$2:$C$443,3,FALSE)</f>
        <v>Unspecified place</v>
      </c>
      <c r="N980" s="1">
        <v>8.3000000000000007</v>
      </c>
      <c r="O980" s="1">
        <v>19.100000000000001</v>
      </c>
      <c r="P980" s="1">
        <v>12.5</v>
      </c>
      <c r="Q980" s="1">
        <v>958.4</v>
      </c>
      <c r="R980" s="1"/>
      <c r="S980" s="1">
        <v>75</v>
      </c>
      <c r="T980" s="8">
        <v>0.12909999999999999</v>
      </c>
      <c r="U980" s="7">
        <v>1E-3</v>
      </c>
    </row>
    <row r="981" spans="1:21" customFormat="1">
      <c r="A981">
        <v>1</v>
      </c>
      <c r="B981">
        <v>67</v>
      </c>
      <c r="C981">
        <v>6</v>
      </c>
      <c r="D981">
        <v>8</v>
      </c>
      <c r="E981">
        <v>2020</v>
      </c>
      <c r="F981">
        <v>9201</v>
      </c>
      <c r="G981" t="str">
        <f>VLOOKUP(F981,'[1]Sheet 1'!$B$2:$E$347,2,FALSE)</f>
        <v>La Araucanía</v>
      </c>
      <c r="H981" t="str">
        <f>VLOOKUP(F981,'[1]Sheet 1'!$B$2:$E$347,3,FALSE)</f>
        <v>Malleco</v>
      </c>
      <c r="I981" t="str">
        <f>VLOOKUP(F981,'[1]Sheet 1'!$B$2:$E$347,4,FALSE)</f>
        <v>Angol</v>
      </c>
      <c r="J981" t="s">
        <v>142</v>
      </c>
      <c r="K981" s="3" t="s">
        <v>5</v>
      </c>
      <c r="L981" s="12" t="str">
        <f>VLOOKUP(K981,[2]Hoja4!$A$2:$C$443,2,FALSE)</f>
        <v>Intentional self-harm by other and unspecified firearm discharge</v>
      </c>
      <c r="M981" s="12" t="str">
        <f>VLOOKUP(K981,[2]Hoja4!$A$2:$C$443,3,FALSE)</f>
        <v>At home</v>
      </c>
      <c r="N981" s="1">
        <v>-1.1000000000000001</v>
      </c>
      <c r="O981" s="1">
        <v>12.9</v>
      </c>
      <c r="P981" s="1">
        <v>5.8</v>
      </c>
      <c r="Q981" s="1">
        <v>502</v>
      </c>
      <c r="R981" s="1">
        <v>0.1</v>
      </c>
      <c r="S981" s="1">
        <v>75.900000000000006</v>
      </c>
      <c r="T981" s="8">
        <v>0.12909999999999999</v>
      </c>
      <c r="U981" s="7">
        <v>1E-3</v>
      </c>
    </row>
    <row r="982" spans="1:21" customFormat="1">
      <c r="A982">
        <v>1</v>
      </c>
      <c r="B982">
        <v>55</v>
      </c>
      <c r="C982">
        <v>6</v>
      </c>
      <c r="D982">
        <v>8</v>
      </c>
      <c r="E982">
        <v>2020</v>
      </c>
      <c r="F982">
        <v>13201</v>
      </c>
      <c r="G982" t="str">
        <f>VLOOKUP(F982,'[1]Sheet 1'!$B$2:$E$347,2,FALSE)</f>
        <v>Metropolitana de Santiago</v>
      </c>
      <c r="H982" t="str">
        <f>VLOOKUP(F982,'[1]Sheet 1'!$B$2:$E$347,3,FALSE)</f>
        <v>Cordillera</v>
      </c>
      <c r="I982" t="str">
        <f>VLOOKUP(F982,'[1]Sheet 1'!$B$2:$E$347,4,FALSE)</f>
        <v>Puente Alto</v>
      </c>
      <c r="J982" t="s">
        <v>136</v>
      </c>
      <c r="K982" s="3" t="s">
        <v>0</v>
      </c>
      <c r="L982" s="12" t="str">
        <f>VLOOKUP(K982,[2]Hoja4!$A$2:$C$443,2,FALSE)</f>
        <v>Intentional self-harm by hanging, strangulation and suffocation</v>
      </c>
      <c r="M982" s="12" t="str">
        <f>VLOOKUP(K982,[2]Hoja4!$A$2:$C$443,3,FALSE)</f>
        <v>Unspecified place</v>
      </c>
      <c r="N982" s="1">
        <v>6.7</v>
      </c>
      <c r="O982" s="1">
        <v>19.2</v>
      </c>
      <c r="P982" s="1">
        <v>11.5</v>
      </c>
      <c r="Q982" s="1">
        <v>941.8</v>
      </c>
      <c r="R982" s="1">
        <v>0</v>
      </c>
      <c r="S982" s="1">
        <v>83.4</v>
      </c>
      <c r="T982" s="8">
        <v>0.12909999999999999</v>
      </c>
      <c r="U982" s="7">
        <v>1E-3</v>
      </c>
    </row>
    <row r="983" spans="1:21" customFormat="1">
      <c r="A983">
        <v>2</v>
      </c>
      <c r="B983">
        <v>51</v>
      </c>
      <c r="C983">
        <v>6</v>
      </c>
      <c r="D983">
        <v>8</v>
      </c>
      <c r="E983">
        <v>2020</v>
      </c>
      <c r="F983">
        <v>8110</v>
      </c>
      <c r="G983" t="str">
        <f>VLOOKUP(F983,'[1]Sheet 1'!$B$2:$E$347,2,FALSE)</f>
        <v>Biobío</v>
      </c>
      <c r="H983" t="str">
        <f>VLOOKUP(F983,'[1]Sheet 1'!$B$2:$E$347,3,FALSE)</f>
        <v>Concepción</v>
      </c>
      <c r="I983" t="str">
        <f>VLOOKUP(F983,'[1]Sheet 1'!$B$2:$E$347,4,FALSE)</f>
        <v>Talcahuano</v>
      </c>
      <c r="J983" t="s">
        <v>136</v>
      </c>
      <c r="K983" s="3" t="s">
        <v>4</v>
      </c>
      <c r="L983" s="12" t="str">
        <f>VLOOKUP(K983,[2]Hoja4!$A$2:$C$443,2,FALSE)</f>
        <v>Intentional self-harm by hanging, strangulation and suffocation</v>
      </c>
      <c r="M983" s="12" t="str">
        <f>VLOOKUP(K983,[2]Hoja4!$A$2:$C$443,3,FALSE)</f>
        <v>At home</v>
      </c>
      <c r="N983" s="1">
        <v>3.8</v>
      </c>
      <c r="O983" s="1">
        <v>14.3</v>
      </c>
      <c r="P983" s="1">
        <v>8.3000000000000007</v>
      </c>
      <c r="Q983" s="1">
        <v>1023.4</v>
      </c>
      <c r="R983" s="1">
        <v>0</v>
      </c>
      <c r="S983" s="1">
        <v>76.5</v>
      </c>
      <c r="T983" s="8">
        <v>0.12909999999999999</v>
      </c>
      <c r="U983" s="7">
        <v>1E-3</v>
      </c>
    </row>
    <row r="984" spans="1:21" customFormat="1">
      <c r="A984">
        <v>1</v>
      </c>
      <c r="B984">
        <v>53</v>
      </c>
      <c r="C984">
        <v>6</v>
      </c>
      <c r="D984">
        <v>8</v>
      </c>
      <c r="E984">
        <v>2020</v>
      </c>
      <c r="F984">
        <v>2101</v>
      </c>
      <c r="G984" t="str">
        <f>VLOOKUP(F984,'[1]Sheet 1'!$B$2:$E$347,2,FALSE)</f>
        <v>Antofagasta</v>
      </c>
      <c r="H984" t="str">
        <f>VLOOKUP(F984,'[1]Sheet 1'!$B$2:$E$347,3,FALSE)</f>
        <v>Antofagasta</v>
      </c>
      <c r="I984" t="str">
        <f>VLOOKUP(F984,'[1]Sheet 1'!$B$2:$E$347,4,FALSE)</f>
        <v>Antofagasta</v>
      </c>
      <c r="J984" t="s">
        <v>136</v>
      </c>
      <c r="K984" s="3" t="s">
        <v>4</v>
      </c>
      <c r="L984" s="12" t="str">
        <f>VLOOKUP(K984,[2]Hoja4!$A$2:$C$443,2,FALSE)</f>
        <v>Intentional self-harm by hanging, strangulation and suffocation</v>
      </c>
      <c r="M984" s="12" t="str">
        <f>VLOOKUP(K984,[2]Hoja4!$A$2:$C$443,3,FALSE)</f>
        <v>At home</v>
      </c>
      <c r="N984" s="1">
        <v>13.4</v>
      </c>
      <c r="O984" s="1">
        <v>18.2</v>
      </c>
      <c r="P984" s="1">
        <v>14.9</v>
      </c>
      <c r="Q984" s="1">
        <v>999.2</v>
      </c>
      <c r="R984" s="1">
        <v>0</v>
      </c>
      <c r="S984" s="1">
        <v>72.8</v>
      </c>
      <c r="T984" s="8">
        <v>0.12909999999999999</v>
      </c>
      <c r="U984" s="7">
        <v>1E-3</v>
      </c>
    </row>
    <row r="985" spans="1:21" customFormat="1">
      <c r="A985">
        <v>1</v>
      </c>
      <c r="B985">
        <v>48</v>
      </c>
      <c r="C985">
        <v>6</v>
      </c>
      <c r="D985">
        <v>8</v>
      </c>
      <c r="E985">
        <v>2020</v>
      </c>
      <c r="F985">
        <v>5701</v>
      </c>
      <c r="G985" t="str">
        <f>VLOOKUP(F985,'[1]Sheet 1'!$B$2:$E$347,2,FALSE)</f>
        <v>Valparaíso</v>
      </c>
      <c r="H985" t="str">
        <f>VLOOKUP(F985,'[1]Sheet 1'!$B$2:$E$347,3,FALSE)</f>
        <v>San Felipe de Aconcagua</v>
      </c>
      <c r="I985" t="str">
        <f>VLOOKUP(F985,'[1]Sheet 1'!$B$2:$E$347,4,FALSE)</f>
        <v>San Felipe</v>
      </c>
      <c r="J985" t="s">
        <v>136</v>
      </c>
      <c r="K985" s="3" t="s">
        <v>0</v>
      </c>
      <c r="L985" s="12" t="str">
        <f>VLOOKUP(K985,[2]Hoja4!$A$2:$C$443,2,FALSE)</f>
        <v>Intentional self-harm by hanging, strangulation and suffocation</v>
      </c>
      <c r="M985" s="12" t="str">
        <f>VLOOKUP(K985,[2]Hoja4!$A$2:$C$443,3,FALSE)</f>
        <v>Unspecified place</v>
      </c>
      <c r="N985" s="1">
        <v>4.7</v>
      </c>
      <c r="O985" s="1">
        <v>23.2</v>
      </c>
      <c r="P985" s="1">
        <v>12.8</v>
      </c>
      <c r="Q985" s="1">
        <v>941</v>
      </c>
      <c r="R985" s="1">
        <v>0</v>
      </c>
      <c r="S985" s="1">
        <v>75.2</v>
      </c>
      <c r="T985" s="8">
        <v>0.12909999999999999</v>
      </c>
      <c r="U985" s="7">
        <v>1E-3</v>
      </c>
    </row>
    <row r="986" spans="1:21" customFormat="1">
      <c r="A986">
        <v>1</v>
      </c>
      <c r="B986">
        <v>28</v>
      </c>
      <c r="C986">
        <v>6</v>
      </c>
      <c r="D986">
        <v>8</v>
      </c>
      <c r="E986">
        <v>2020</v>
      </c>
      <c r="F986">
        <v>13201</v>
      </c>
      <c r="G986" t="str">
        <f>VLOOKUP(F986,'[1]Sheet 1'!$B$2:$E$347,2,FALSE)</f>
        <v>Metropolitana de Santiago</v>
      </c>
      <c r="H986" t="str">
        <f>VLOOKUP(F986,'[1]Sheet 1'!$B$2:$E$347,3,FALSE)</f>
        <v>Cordillera</v>
      </c>
      <c r="I986" t="str">
        <f>VLOOKUP(F986,'[1]Sheet 1'!$B$2:$E$347,4,FALSE)</f>
        <v>Puente Alto</v>
      </c>
      <c r="J986" t="s">
        <v>136</v>
      </c>
      <c r="K986" s="3" t="s">
        <v>0</v>
      </c>
      <c r="L986" s="12" t="str">
        <f>VLOOKUP(K986,[2]Hoja4!$A$2:$C$443,2,FALSE)</f>
        <v>Intentional self-harm by hanging, strangulation and suffocation</v>
      </c>
      <c r="M986" s="12" t="str">
        <f>VLOOKUP(K986,[2]Hoja4!$A$2:$C$443,3,FALSE)</f>
        <v>Unspecified place</v>
      </c>
      <c r="N986" s="1">
        <v>6.7</v>
      </c>
      <c r="O986" s="1">
        <v>19.2</v>
      </c>
      <c r="P986" s="1">
        <v>11.5</v>
      </c>
      <c r="Q986" s="1">
        <v>941.8</v>
      </c>
      <c r="R986" s="1">
        <v>0</v>
      </c>
      <c r="S986" s="1">
        <v>83.4</v>
      </c>
      <c r="T986" s="8">
        <v>0.12909999999999999</v>
      </c>
      <c r="U986" s="7">
        <v>1E-3</v>
      </c>
    </row>
    <row r="987" spans="1:21" customFormat="1">
      <c r="A987">
        <v>1</v>
      </c>
      <c r="B987">
        <v>18</v>
      </c>
      <c r="C987">
        <v>6</v>
      </c>
      <c r="D987">
        <v>8</v>
      </c>
      <c r="E987">
        <v>2020</v>
      </c>
      <c r="F987">
        <v>14101</v>
      </c>
      <c r="G987" t="str">
        <f>VLOOKUP(F987,'[1]Sheet 1'!$B$2:$E$347,2,FALSE)</f>
        <v>Los Ríos</v>
      </c>
      <c r="H987" t="str">
        <f>VLOOKUP(F987,'[1]Sheet 1'!$B$2:$E$347,3,FALSE)</f>
        <v>Valdivia</v>
      </c>
      <c r="I987" t="str">
        <f>VLOOKUP(F987,'[1]Sheet 1'!$B$2:$E$347,4,FALSE)</f>
        <v>Valdivia</v>
      </c>
      <c r="J987" t="s">
        <v>136</v>
      </c>
      <c r="K987" s="3" t="s">
        <v>0</v>
      </c>
      <c r="L987" s="12" t="str">
        <f>VLOOKUP(K987,[2]Hoja4!$A$2:$C$443,2,FALSE)</f>
        <v>Intentional self-harm by hanging, strangulation and suffocation</v>
      </c>
      <c r="M987" s="12" t="str">
        <f>VLOOKUP(K987,[2]Hoja4!$A$2:$C$443,3,FALSE)</f>
        <v>Unspecified place</v>
      </c>
      <c r="N987" s="1">
        <v>0.1</v>
      </c>
      <c r="O987" s="1">
        <v>10.6</v>
      </c>
      <c r="P987" s="1">
        <v>4.7</v>
      </c>
      <c r="Q987" s="1">
        <v>1026.2</v>
      </c>
      <c r="R987" s="1">
        <v>0.2</v>
      </c>
      <c r="S987" s="1">
        <v>100</v>
      </c>
      <c r="T987" s="8">
        <v>0.12909999999999999</v>
      </c>
      <c r="U987" s="7">
        <v>1E-3</v>
      </c>
    </row>
    <row r="988" spans="1:21" customFormat="1">
      <c r="A988">
        <v>2</v>
      </c>
      <c r="B988">
        <v>53</v>
      </c>
      <c r="C988">
        <v>7</v>
      </c>
      <c r="D988">
        <v>8</v>
      </c>
      <c r="E988">
        <v>2020</v>
      </c>
      <c r="F988">
        <v>9204</v>
      </c>
      <c r="G988" t="str">
        <f>VLOOKUP(F988,'[1]Sheet 1'!$B$2:$E$347,2,FALSE)</f>
        <v>La Araucanía</v>
      </c>
      <c r="H988" t="str">
        <f>VLOOKUP(F988,'[1]Sheet 1'!$B$2:$E$347,3,FALSE)</f>
        <v>Malleco</v>
      </c>
      <c r="I988" t="str">
        <f>VLOOKUP(F988,'[1]Sheet 1'!$B$2:$E$347,4,FALSE)</f>
        <v>Ercilla</v>
      </c>
      <c r="J988" t="s">
        <v>136</v>
      </c>
      <c r="K988" s="3" t="s">
        <v>4</v>
      </c>
      <c r="L988" s="12" t="str">
        <f>VLOOKUP(K988,[2]Hoja4!$A$2:$C$443,2,FALSE)</f>
        <v>Intentional self-harm by hanging, strangulation and suffocation</v>
      </c>
      <c r="M988" s="12" t="str">
        <f>VLOOKUP(K988,[2]Hoja4!$A$2:$C$443,3,FALSE)</f>
        <v>At home</v>
      </c>
      <c r="N988" s="1">
        <v>5.8</v>
      </c>
      <c r="O988" s="1">
        <v>14.8</v>
      </c>
      <c r="P988" s="1">
        <v>10</v>
      </c>
      <c r="Q988" s="1">
        <v>501.9</v>
      </c>
      <c r="R988" s="1">
        <v>0</v>
      </c>
      <c r="S988" s="1">
        <v>64.8</v>
      </c>
      <c r="T988" s="8">
        <v>0.12909999999999999</v>
      </c>
      <c r="U988" s="7">
        <v>1E-3</v>
      </c>
    </row>
    <row r="989" spans="1:21" customFormat="1">
      <c r="A989">
        <v>1</v>
      </c>
      <c r="B989">
        <v>38</v>
      </c>
      <c r="C989">
        <v>7</v>
      </c>
      <c r="D989">
        <v>8</v>
      </c>
      <c r="E989">
        <v>2020</v>
      </c>
      <c r="F989">
        <v>3301</v>
      </c>
      <c r="G989" t="str">
        <f>VLOOKUP(F989,'[1]Sheet 1'!$B$2:$E$347,2,FALSE)</f>
        <v>Atacama</v>
      </c>
      <c r="H989" t="str">
        <f>VLOOKUP(F989,'[1]Sheet 1'!$B$2:$E$347,3,FALSE)</f>
        <v>Huasco</v>
      </c>
      <c r="I989" t="str">
        <f>VLOOKUP(F989,'[1]Sheet 1'!$B$2:$E$347,4,FALSE)</f>
        <v>Vallenar</v>
      </c>
      <c r="J989" t="s">
        <v>136</v>
      </c>
      <c r="K989" s="3" t="s">
        <v>2</v>
      </c>
      <c r="L989" s="12" t="str">
        <f>VLOOKUP(K989,[2]Hoja4!$A$2:$C$443,2,FALSE)</f>
        <v>Intentional self-harm by hanging, strangulation and suffocation</v>
      </c>
      <c r="M989" s="12" t="str">
        <f>VLOOKUP(K989,[2]Hoja4!$A$2:$C$443,3,FALSE)</f>
        <v>Street and highway</v>
      </c>
      <c r="N989" s="1">
        <v>6.8</v>
      </c>
      <c r="O989" s="1">
        <v>16.3</v>
      </c>
      <c r="P989" s="1">
        <v>11.5</v>
      </c>
      <c r="Q989" s="1">
        <v>962</v>
      </c>
      <c r="R989" s="1">
        <v>0.3</v>
      </c>
      <c r="S989" s="1">
        <v>93.3</v>
      </c>
      <c r="T989" s="8">
        <v>0.12909999999999999</v>
      </c>
      <c r="U989" s="7">
        <v>1E-3</v>
      </c>
    </row>
    <row r="990" spans="1:21" customFormat="1">
      <c r="A990">
        <v>1</v>
      </c>
      <c r="B990">
        <v>28</v>
      </c>
      <c r="C990">
        <v>7</v>
      </c>
      <c r="D990">
        <v>8</v>
      </c>
      <c r="E990">
        <v>2020</v>
      </c>
      <c r="F990">
        <v>7404</v>
      </c>
      <c r="G990" t="str">
        <f>VLOOKUP(F990,'[1]Sheet 1'!$B$2:$E$347,2,FALSE)</f>
        <v>Maule</v>
      </c>
      <c r="H990" t="str">
        <f>VLOOKUP(F990,'[1]Sheet 1'!$B$2:$E$347,3,FALSE)</f>
        <v>Linares</v>
      </c>
      <c r="I990" t="str">
        <f>VLOOKUP(F990,'[1]Sheet 1'!$B$2:$E$347,4,FALSE)</f>
        <v>Parral</v>
      </c>
      <c r="J990" t="s">
        <v>136</v>
      </c>
      <c r="K990" s="3" t="s">
        <v>4</v>
      </c>
      <c r="L990" s="12" t="str">
        <f>VLOOKUP(K990,[2]Hoja4!$A$2:$C$443,2,FALSE)</f>
        <v>Intentional self-harm by hanging, strangulation and suffocation</v>
      </c>
      <c r="M990" s="12" t="str">
        <f>VLOOKUP(K990,[2]Hoja4!$A$2:$C$443,3,FALSE)</f>
        <v>At home</v>
      </c>
      <c r="N990" s="1">
        <v>1.6</v>
      </c>
      <c r="O990" s="1">
        <v>13.6</v>
      </c>
      <c r="P990" s="1">
        <v>7.4</v>
      </c>
      <c r="Q990" s="1">
        <v>1000.6</v>
      </c>
      <c r="R990" s="1">
        <v>0</v>
      </c>
      <c r="S990" s="1">
        <v>87.5</v>
      </c>
      <c r="T990" s="8">
        <v>0.12909999999999999</v>
      </c>
      <c r="U990" s="7">
        <v>1E-3</v>
      </c>
    </row>
    <row r="991" spans="1:21" customFormat="1">
      <c r="A991">
        <v>2</v>
      </c>
      <c r="B991">
        <v>17</v>
      </c>
      <c r="C991">
        <v>7</v>
      </c>
      <c r="D991">
        <v>8</v>
      </c>
      <c r="E991">
        <v>2020</v>
      </c>
      <c r="F991">
        <v>9204</v>
      </c>
      <c r="G991" t="str">
        <f>VLOOKUP(F991,'[1]Sheet 1'!$B$2:$E$347,2,FALSE)</f>
        <v>La Araucanía</v>
      </c>
      <c r="H991" t="str">
        <f>VLOOKUP(F991,'[1]Sheet 1'!$B$2:$E$347,3,FALSE)</f>
        <v>Malleco</v>
      </c>
      <c r="I991" t="str">
        <f>VLOOKUP(F991,'[1]Sheet 1'!$B$2:$E$347,4,FALSE)</f>
        <v>Ercilla</v>
      </c>
      <c r="J991" t="s">
        <v>136</v>
      </c>
      <c r="K991" s="3" t="s">
        <v>4</v>
      </c>
      <c r="L991" s="12" t="str">
        <f>VLOOKUP(K991,[2]Hoja4!$A$2:$C$443,2,FALSE)</f>
        <v>Intentional self-harm by hanging, strangulation and suffocation</v>
      </c>
      <c r="M991" s="12" t="str">
        <f>VLOOKUP(K991,[2]Hoja4!$A$2:$C$443,3,FALSE)</f>
        <v>At home</v>
      </c>
      <c r="N991" s="1">
        <v>5.8</v>
      </c>
      <c r="O991" s="1">
        <v>14.8</v>
      </c>
      <c r="P991" s="1">
        <v>10</v>
      </c>
      <c r="Q991" s="1">
        <v>501.9</v>
      </c>
      <c r="R991" s="1">
        <v>0</v>
      </c>
      <c r="S991" s="1">
        <v>64.8</v>
      </c>
      <c r="T991" s="8">
        <v>0.12909999999999999</v>
      </c>
      <c r="U991" s="7">
        <v>1E-3</v>
      </c>
    </row>
    <row r="992" spans="1:21" customFormat="1">
      <c r="A992">
        <v>2</v>
      </c>
      <c r="B992">
        <v>39</v>
      </c>
      <c r="C992">
        <v>8</v>
      </c>
      <c r="D992">
        <v>8</v>
      </c>
      <c r="E992">
        <v>2020</v>
      </c>
      <c r="F992">
        <v>13404</v>
      </c>
      <c r="G992" t="str">
        <f>VLOOKUP(F992,'[1]Sheet 1'!$B$2:$E$347,2,FALSE)</f>
        <v>Metropolitana de Santiago</v>
      </c>
      <c r="H992" t="str">
        <f>VLOOKUP(F992,'[1]Sheet 1'!$B$2:$E$347,3,FALSE)</f>
        <v>Maipo</v>
      </c>
      <c r="I992" t="str">
        <f>VLOOKUP(F992,'[1]Sheet 1'!$B$2:$E$347,4,FALSE)</f>
        <v>Paine</v>
      </c>
      <c r="J992" t="s">
        <v>136</v>
      </c>
      <c r="K992" s="3" t="s">
        <v>0</v>
      </c>
      <c r="L992" s="12" t="str">
        <f>VLOOKUP(K992,[2]Hoja4!$A$2:$C$443,2,FALSE)</f>
        <v>Intentional self-harm by hanging, strangulation and suffocation</v>
      </c>
      <c r="M992" s="12" t="str">
        <f>VLOOKUP(K992,[2]Hoja4!$A$2:$C$443,3,FALSE)</f>
        <v>Unspecified place</v>
      </c>
      <c r="N992" s="1">
        <v>3.9</v>
      </c>
      <c r="O992" s="1">
        <v>24.2</v>
      </c>
      <c r="P992" s="1">
        <v>12</v>
      </c>
      <c r="Q992" s="1">
        <v>967.9</v>
      </c>
      <c r="R992" s="1">
        <v>0</v>
      </c>
      <c r="S992" s="1">
        <v>68</v>
      </c>
      <c r="T992" s="8">
        <v>0.12909999999999999</v>
      </c>
      <c r="U992" s="7">
        <v>1E-3</v>
      </c>
    </row>
    <row r="993" spans="1:21" customFormat="1">
      <c r="A993">
        <v>1</v>
      </c>
      <c r="B993">
        <v>32</v>
      </c>
      <c r="C993">
        <v>8</v>
      </c>
      <c r="D993">
        <v>8</v>
      </c>
      <c r="E993">
        <v>2020</v>
      </c>
      <c r="F993">
        <v>5101</v>
      </c>
      <c r="G993" t="str">
        <f>VLOOKUP(F993,'[1]Sheet 1'!$B$2:$E$347,2,FALSE)</f>
        <v>Valparaíso</v>
      </c>
      <c r="H993" t="str">
        <f>VLOOKUP(F993,'[1]Sheet 1'!$B$2:$E$347,3,FALSE)</f>
        <v>Valparaíso</v>
      </c>
      <c r="I993" t="str">
        <f>VLOOKUP(F993,'[1]Sheet 1'!$B$2:$E$347,4,FALSE)</f>
        <v>Valparaíso</v>
      </c>
      <c r="J993" t="s">
        <v>136</v>
      </c>
      <c r="K993" s="3" t="s">
        <v>4</v>
      </c>
      <c r="L993" s="12" t="str">
        <f>VLOOKUP(K993,[2]Hoja4!$A$2:$C$443,2,FALSE)</f>
        <v>Intentional self-harm by hanging, strangulation and suffocation</v>
      </c>
      <c r="M993" s="12" t="str">
        <f>VLOOKUP(K993,[2]Hoja4!$A$2:$C$443,3,FALSE)</f>
        <v>At home</v>
      </c>
      <c r="N993" s="1">
        <v>8.3000000000000007</v>
      </c>
      <c r="O993" s="1">
        <v>24.4</v>
      </c>
      <c r="P993" s="1">
        <v>14.7</v>
      </c>
      <c r="Q993" s="1">
        <v>978.1</v>
      </c>
      <c r="R993" s="1">
        <v>0</v>
      </c>
      <c r="S993" s="1">
        <v>52.8</v>
      </c>
      <c r="T993" s="8">
        <v>0.12909999999999999</v>
      </c>
      <c r="U993" s="7">
        <v>1E-3</v>
      </c>
    </row>
    <row r="994" spans="1:21" customFormat="1">
      <c r="A994">
        <v>2</v>
      </c>
      <c r="B994">
        <v>22</v>
      </c>
      <c r="C994">
        <v>8</v>
      </c>
      <c r="D994">
        <v>8</v>
      </c>
      <c r="E994">
        <v>2020</v>
      </c>
      <c r="F994">
        <v>13112</v>
      </c>
      <c r="G994" t="str">
        <f>VLOOKUP(F994,'[1]Sheet 1'!$B$2:$E$347,2,FALSE)</f>
        <v>Metropolitana de Santiago</v>
      </c>
      <c r="H994" t="str">
        <f>VLOOKUP(F994,'[1]Sheet 1'!$B$2:$E$347,3,FALSE)</f>
        <v>Santiago</v>
      </c>
      <c r="I994" t="str">
        <f>VLOOKUP(F994,'[1]Sheet 1'!$B$2:$E$347,4,FALSE)</f>
        <v>La Pintana</v>
      </c>
      <c r="J994" t="s">
        <v>136</v>
      </c>
      <c r="K994" s="3" t="s">
        <v>0</v>
      </c>
      <c r="L994" s="12" t="str">
        <f>VLOOKUP(K994,[2]Hoja4!$A$2:$C$443,2,FALSE)</f>
        <v>Intentional self-harm by hanging, strangulation and suffocation</v>
      </c>
      <c r="M994" s="12" t="str">
        <f>VLOOKUP(K994,[2]Hoja4!$A$2:$C$443,3,FALSE)</f>
        <v>Unspecified place</v>
      </c>
      <c r="N994" s="1">
        <v>5.0999999999999996</v>
      </c>
      <c r="O994" s="1">
        <v>24</v>
      </c>
      <c r="P994" s="1">
        <v>12.4</v>
      </c>
      <c r="Q994" s="1">
        <v>958.5</v>
      </c>
      <c r="R994" s="1"/>
      <c r="S994" s="1">
        <v>71.5</v>
      </c>
      <c r="T994" s="8">
        <v>0.12909999999999999</v>
      </c>
      <c r="U994" s="7">
        <v>1E-3</v>
      </c>
    </row>
    <row r="995" spans="1:21" customFormat="1">
      <c r="A995">
        <v>1</v>
      </c>
      <c r="B995">
        <v>78</v>
      </c>
      <c r="C995">
        <v>9</v>
      </c>
      <c r="D995">
        <v>8</v>
      </c>
      <c r="E995">
        <v>2020</v>
      </c>
      <c r="F995">
        <v>8309</v>
      </c>
      <c r="G995" t="str">
        <f>VLOOKUP(F995,'[1]Sheet 1'!$B$2:$E$347,2,FALSE)</f>
        <v>Biobío</v>
      </c>
      <c r="H995" t="str">
        <f>VLOOKUP(F995,'[1]Sheet 1'!$B$2:$E$347,3,FALSE)</f>
        <v>Biobío</v>
      </c>
      <c r="I995" t="str">
        <f>VLOOKUP(F995,'[1]Sheet 1'!$B$2:$E$347,4,FALSE)</f>
        <v>Quilleco</v>
      </c>
      <c r="J995" t="s">
        <v>136</v>
      </c>
      <c r="K995" s="3" t="s">
        <v>4</v>
      </c>
      <c r="L995" s="12" t="str">
        <f>VLOOKUP(K995,[2]Hoja4!$A$2:$C$443,2,FALSE)</f>
        <v>Intentional self-harm by hanging, strangulation and suffocation</v>
      </c>
      <c r="M995" s="12" t="str">
        <f>VLOOKUP(K995,[2]Hoja4!$A$2:$C$443,3,FALSE)</f>
        <v>At home</v>
      </c>
      <c r="N995" s="1">
        <v>3</v>
      </c>
      <c r="O995" s="1">
        <v>13</v>
      </c>
      <c r="P995" s="1">
        <v>8</v>
      </c>
      <c r="Q995" s="1">
        <v>1003.5</v>
      </c>
      <c r="R995" s="1">
        <v>0.9</v>
      </c>
      <c r="S995" s="1">
        <v>92</v>
      </c>
      <c r="T995" s="8">
        <v>0.12909999999999999</v>
      </c>
      <c r="U995" s="7">
        <v>1E-3</v>
      </c>
    </row>
    <row r="996" spans="1:21" customFormat="1">
      <c r="A996">
        <v>2</v>
      </c>
      <c r="B996">
        <v>44</v>
      </c>
      <c r="C996">
        <v>9</v>
      </c>
      <c r="D996">
        <v>8</v>
      </c>
      <c r="E996">
        <v>2020</v>
      </c>
      <c r="F996">
        <v>14101</v>
      </c>
      <c r="G996" t="str">
        <f>VLOOKUP(F996,'[1]Sheet 1'!$B$2:$E$347,2,FALSE)</f>
        <v>Los Ríos</v>
      </c>
      <c r="H996" t="str">
        <f>VLOOKUP(F996,'[1]Sheet 1'!$B$2:$E$347,3,FALSE)</f>
        <v>Valdivia</v>
      </c>
      <c r="I996" t="str">
        <f>VLOOKUP(F996,'[1]Sheet 1'!$B$2:$E$347,4,FALSE)</f>
        <v>Valdivia</v>
      </c>
      <c r="J996" t="s">
        <v>155</v>
      </c>
      <c r="K996" s="3" t="s">
        <v>31</v>
      </c>
      <c r="L996" s="12" t="str">
        <f>VLOOKUP(K996,[2]Hoja4!$A$2:$C$443,2,FALSE)</f>
        <v>Intentional self-harm by drowning and submersion</v>
      </c>
      <c r="M996" s="12" t="str">
        <f>VLOOKUP(K996,[2]Hoja4!$A$2:$C$443,3,FALSE)</f>
        <v>Unspecified place</v>
      </c>
      <c r="N996" s="1">
        <v>9.1999999999999993</v>
      </c>
      <c r="O996" s="1">
        <v>11.4</v>
      </c>
      <c r="P996" s="1">
        <v>9.6</v>
      </c>
      <c r="Q996" s="1">
        <v>1013.4</v>
      </c>
      <c r="R996" s="1">
        <v>14.4</v>
      </c>
      <c r="S996" s="1">
        <v>94</v>
      </c>
      <c r="T996" s="8">
        <v>0.12909999999999999</v>
      </c>
      <c r="U996" s="7">
        <v>1E-3</v>
      </c>
    </row>
    <row r="997" spans="1:21" customFormat="1">
      <c r="A997">
        <v>1</v>
      </c>
      <c r="B997">
        <v>44</v>
      </c>
      <c r="C997">
        <v>9</v>
      </c>
      <c r="D997">
        <v>8</v>
      </c>
      <c r="E997">
        <v>2020</v>
      </c>
      <c r="F997">
        <v>6301</v>
      </c>
      <c r="G997" t="str">
        <f>VLOOKUP(F997,'[1]Sheet 1'!$B$2:$E$347,2,FALSE)</f>
        <v>Libertador General Bernardo O'Higgins</v>
      </c>
      <c r="H997" t="str">
        <f>VLOOKUP(F997,'[1]Sheet 1'!$B$2:$E$347,3,FALSE)</f>
        <v>Colchagua</v>
      </c>
      <c r="I997" t="str">
        <f>VLOOKUP(F997,'[1]Sheet 1'!$B$2:$E$347,4,FALSE)</f>
        <v>San Fernando</v>
      </c>
      <c r="J997" t="s">
        <v>136</v>
      </c>
      <c r="K997" s="3" t="s">
        <v>0</v>
      </c>
      <c r="L997" s="12" t="str">
        <f>VLOOKUP(K997,[2]Hoja4!$A$2:$C$443,2,FALSE)</f>
        <v>Intentional self-harm by hanging, strangulation and suffocation</v>
      </c>
      <c r="M997" s="12" t="str">
        <f>VLOOKUP(K997,[2]Hoja4!$A$2:$C$443,3,FALSE)</f>
        <v>Unspecified place</v>
      </c>
      <c r="N997" s="1">
        <v>7</v>
      </c>
      <c r="O997" s="1">
        <v>15.5</v>
      </c>
      <c r="P997" s="1">
        <v>10.199999999999999</v>
      </c>
      <c r="Q997" s="1">
        <v>985.8</v>
      </c>
      <c r="R997" s="1">
        <v>0</v>
      </c>
      <c r="S997" s="1">
        <v>86.5</v>
      </c>
      <c r="T997" s="8">
        <v>0.12909999999999999</v>
      </c>
      <c r="U997" s="7">
        <v>1E-3</v>
      </c>
    </row>
    <row r="998" spans="1:21" customFormat="1">
      <c r="A998">
        <v>1</v>
      </c>
      <c r="B998">
        <v>36</v>
      </c>
      <c r="C998">
        <v>9</v>
      </c>
      <c r="D998">
        <v>8</v>
      </c>
      <c r="E998">
        <v>2020</v>
      </c>
      <c r="F998">
        <v>5109</v>
      </c>
      <c r="G998" t="str">
        <f>VLOOKUP(F998,'[1]Sheet 1'!$B$2:$E$347,2,FALSE)</f>
        <v>Valparaíso</v>
      </c>
      <c r="H998" t="str">
        <f>VLOOKUP(F998,'[1]Sheet 1'!$B$2:$E$347,3,FALSE)</f>
        <v>Valparaíso</v>
      </c>
      <c r="I998" t="str">
        <f>VLOOKUP(F998,'[1]Sheet 1'!$B$2:$E$347,4,FALSE)</f>
        <v>Viña del Mar</v>
      </c>
      <c r="J998" t="s">
        <v>136</v>
      </c>
      <c r="K998" s="3" t="s">
        <v>4</v>
      </c>
      <c r="L998" s="12" t="str">
        <f>VLOOKUP(K998,[2]Hoja4!$A$2:$C$443,2,FALSE)</f>
        <v>Intentional self-harm by hanging, strangulation and suffocation</v>
      </c>
      <c r="M998" s="12" t="str">
        <f>VLOOKUP(K998,[2]Hoja4!$A$2:$C$443,3,FALSE)</f>
        <v>At home</v>
      </c>
      <c r="N998" s="1">
        <v>9</v>
      </c>
      <c r="O998" s="1">
        <v>17.600000000000001</v>
      </c>
      <c r="P998" s="1">
        <v>12.4</v>
      </c>
      <c r="Q998" s="1">
        <v>981.2</v>
      </c>
      <c r="R998" s="1">
        <v>0.1</v>
      </c>
      <c r="S998" s="1">
        <v>86</v>
      </c>
      <c r="T998" s="8">
        <v>0.12909999999999999</v>
      </c>
      <c r="U998" s="7">
        <v>1E-3</v>
      </c>
    </row>
    <row r="999" spans="1:21" customFormat="1">
      <c r="A999">
        <v>2</v>
      </c>
      <c r="B999">
        <v>29</v>
      </c>
      <c r="C999">
        <v>9</v>
      </c>
      <c r="D999">
        <v>8</v>
      </c>
      <c r="E999">
        <v>2020</v>
      </c>
      <c r="F999">
        <v>16204</v>
      </c>
      <c r="G999" t="str">
        <f>VLOOKUP(F999,'[1]Sheet 1'!$B$2:$E$347,2,FALSE)</f>
        <v>Ñuble</v>
      </c>
      <c r="H999" t="str">
        <f>VLOOKUP(F999,'[1]Sheet 1'!$B$2:$E$347,3,FALSE)</f>
        <v>Itata</v>
      </c>
      <c r="I999" t="str">
        <f>VLOOKUP(F999,'[1]Sheet 1'!$B$2:$E$347,4,FALSE)</f>
        <v>Ninhue</v>
      </c>
      <c r="J999" t="s">
        <v>136</v>
      </c>
      <c r="K999" s="3" t="s">
        <v>4</v>
      </c>
      <c r="L999" s="12" t="str">
        <f>VLOOKUP(K999,[2]Hoja4!$A$2:$C$443,2,FALSE)</f>
        <v>Intentional self-harm by hanging, strangulation and suffocation</v>
      </c>
      <c r="M999" s="12" t="str">
        <f>VLOOKUP(K999,[2]Hoja4!$A$2:$C$443,3,FALSE)</f>
        <v>At home</v>
      </c>
      <c r="N999" s="1">
        <v>5.9</v>
      </c>
      <c r="O999" s="1">
        <v>13.6</v>
      </c>
      <c r="P999" s="1">
        <v>9.8000000000000007</v>
      </c>
      <c r="Q999" s="1">
        <v>1008.7</v>
      </c>
      <c r="R999" s="1">
        <v>1.3</v>
      </c>
      <c r="S999" s="1">
        <v>94.6</v>
      </c>
      <c r="T999" s="8">
        <v>0.12909999999999999</v>
      </c>
      <c r="U999" s="7">
        <v>1E-3</v>
      </c>
    </row>
    <row r="1000" spans="1:21" customFormat="1">
      <c r="A1000">
        <v>1</v>
      </c>
      <c r="B1000">
        <v>50</v>
      </c>
      <c r="C1000">
        <v>10</v>
      </c>
      <c r="D1000">
        <v>8</v>
      </c>
      <c r="E1000">
        <v>2020</v>
      </c>
      <c r="F1000">
        <v>10105</v>
      </c>
      <c r="G1000" t="str">
        <f>VLOOKUP(F1000,'[1]Sheet 1'!$B$2:$E$347,2,FALSE)</f>
        <v>Los Lagos</v>
      </c>
      <c r="H1000" t="str">
        <f>VLOOKUP(F1000,'[1]Sheet 1'!$B$2:$E$347,3,FALSE)</f>
        <v>Llanquihue</v>
      </c>
      <c r="I1000" t="str">
        <f>VLOOKUP(F1000,'[1]Sheet 1'!$B$2:$E$347,4,FALSE)</f>
        <v>Frutillar</v>
      </c>
      <c r="J1000" t="s">
        <v>136</v>
      </c>
      <c r="K1000" s="3" t="s">
        <v>4</v>
      </c>
      <c r="L1000" s="12" t="str">
        <f>VLOOKUP(K1000,[2]Hoja4!$A$2:$C$443,2,FALSE)</f>
        <v>Intentional self-harm by hanging, strangulation and suffocation</v>
      </c>
      <c r="M1000" s="12" t="str">
        <f>VLOOKUP(K1000,[2]Hoja4!$A$2:$C$443,3,FALSE)</f>
        <v>At home</v>
      </c>
      <c r="N1000" s="1">
        <v>2.2999999999999998</v>
      </c>
      <c r="O1000" s="1">
        <v>9.1999999999999993</v>
      </c>
      <c r="P1000" s="1">
        <v>5</v>
      </c>
      <c r="Q1000" s="1">
        <v>1015.3</v>
      </c>
      <c r="R1000" s="1">
        <v>2.4</v>
      </c>
      <c r="S1000" s="1">
        <v>85.5</v>
      </c>
      <c r="T1000" s="8">
        <v>0.12909999999999999</v>
      </c>
      <c r="U1000" s="7">
        <v>1E-3</v>
      </c>
    </row>
    <row r="1001" spans="1:21" customFormat="1">
      <c r="A1001">
        <v>1</v>
      </c>
      <c r="B1001">
        <v>21</v>
      </c>
      <c r="C1001">
        <v>10</v>
      </c>
      <c r="D1001">
        <v>8</v>
      </c>
      <c r="E1001">
        <v>2020</v>
      </c>
      <c r="F1001">
        <v>8112</v>
      </c>
      <c r="G1001" t="str">
        <f>VLOOKUP(F1001,'[1]Sheet 1'!$B$2:$E$347,2,FALSE)</f>
        <v>Biobío</v>
      </c>
      <c r="H1001" t="str">
        <f>VLOOKUP(F1001,'[1]Sheet 1'!$B$2:$E$347,3,FALSE)</f>
        <v>Concepción</v>
      </c>
      <c r="I1001" t="str">
        <f>VLOOKUP(F1001,'[1]Sheet 1'!$B$2:$E$347,4,FALSE)</f>
        <v>Hualpén</v>
      </c>
      <c r="J1001" t="s">
        <v>136</v>
      </c>
      <c r="K1001" s="3" t="s">
        <v>4</v>
      </c>
      <c r="L1001" s="12" t="str">
        <f>VLOOKUP(K1001,[2]Hoja4!$A$2:$C$443,2,FALSE)</f>
        <v>Intentional self-harm by hanging, strangulation and suffocation</v>
      </c>
      <c r="M1001" s="12" t="str">
        <f>VLOOKUP(K1001,[2]Hoja4!$A$2:$C$443,3,FALSE)</f>
        <v>At home</v>
      </c>
      <c r="N1001" s="1">
        <v>2.9</v>
      </c>
      <c r="O1001" s="1" t="s">
        <v>50</v>
      </c>
      <c r="P1001" s="1">
        <v>8.4</v>
      </c>
      <c r="Q1001" s="1">
        <v>1027.7</v>
      </c>
      <c r="R1001" s="1">
        <v>0</v>
      </c>
      <c r="S1001" s="1">
        <v>79.8</v>
      </c>
      <c r="T1001" s="8">
        <v>0.12909999999999999</v>
      </c>
      <c r="U1001" s="7">
        <v>1E-3</v>
      </c>
    </row>
    <row r="1002" spans="1:21" customFormat="1">
      <c r="A1002">
        <v>1</v>
      </c>
      <c r="B1002">
        <v>25</v>
      </c>
      <c r="C1002">
        <v>10</v>
      </c>
      <c r="D1002">
        <v>8</v>
      </c>
      <c r="E1002">
        <v>2020</v>
      </c>
      <c r="F1002">
        <v>13128</v>
      </c>
      <c r="G1002" t="str">
        <f>VLOOKUP(F1002,'[1]Sheet 1'!$B$2:$E$347,2,FALSE)</f>
        <v>Metropolitana de Santiago</v>
      </c>
      <c r="H1002" t="str">
        <f>VLOOKUP(F1002,'[1]Sheet 1'!$B$2:$E$347,3,FALSE)</f>
        <v>Santiago</v>
      </c>
      <c r="I1002" t="str">
        <f>VLOOKUP(F1002,'[1]Sheet 1'!$B$2:$E$347,4,FALSE)</f>
        <v>Renca</v>
      </c>
      <c r="J1002" t="s">
        <v>136</v>
      </c>
      <c r="K1002" s="3" t="s">
        <v>0</v>
      </c>
      <c r="L1002" s="12" t="str">
        <f>VLOOKUP(K1002,[2]Hoja4!$A$2:$C$443,2,FALSE)</f>
        <v>Intentional self-harm by hanging, strangulation and suffocation</v>
      </c>
      <c r="M1002" s="12" t="str">
        <f>VLOOKUP(K1002,[2]Hoja4!$A$2:$C$443,3,FALSE)</f>
        <v>Unspecified place</v>
      </c>
      <c r="N1002" s="1">
        <v>2.5</v>
      </c>
      <c r="O1002" s="1">
        <v>17.2</v>
      </c>
      <c r="P1002" s="1">
        <v>8.5</v>
      </c>
      <c r="Q1002" s="1">
        <v>961.7</v>
      </c>
      <c r="R1002" s="1"/>
      <c r="S1002" s="1">
        <v>76.5</v>
      </c>
      <c r="T1002" s="8">
        <v>0.12909999999999999</v>
      </c>
      <c r="U1002" s="7">
        <v>1E-3</v>
      </c>
    </row>
    <row r="1003" spans="1:21" customFormat="1">
      <c r="A1003">
        <v>2</v>
      </c>
      <c r="B1003">
        <v>26</v>
      </c>
      <c r="C1003">
        <v>11</v>
      </c>
      <c r="D1003">
        <v>8</v>
      </c>
      <c r="E1003">
        <v>2020</v>
      </c>
      <c r="F1003">
        <v>14101</v>
      </c>
      <c r="G1003" t="str">
        <f>VLOOKUP(F1003,'[1]Sheet 1'!$B$2:$E$347,2,FALSE)</f>
        <v>Los Ríos</v>
      </c>
      <c r="H1003" t="str">
        <f>VLOOKUP(F1003,'[1]Sheet 1'!$B$2:$E$347,3,FALSE)</f>
        <v>Valdivia</v>
      </c>
      <c r="I1003" t="str">
        <f>VLOOKUP(F1003,'[1]Sheet 1'!$B$2:$E$347,4,FALSE)</f>
        <v>Valdivia</v>
      </c>
      <c r="J1003" t="s">
        <v>136</v>
      </c>
      <c r="K1003" s="3" t="s">
        <v>4</v>
      </c>
      <c r="L1003" s="12" t="str">
        <f>VLOOKUP(K1003,[2]Hoja4!$A$2:$C$443,2,FALSE)</f>
        <v>Intentional self-harm by hanging, strangulation and suffocation</v>
      </c>
      <c r="M1003" s="12" t="str">
        <f>VLOOKUP(K1003,[2]Hoja4!$A$2:$C$443,3,FALSE)</f>
        <v>At home</v>
      </c>
      <c r="N1003" s="1">
        <v>-0.2</v>
      </c>
      <c r="O1003" s="1">
        <v>11.2</v>
      </c>
      <c r="P1003" s="1">
        <v>3.4</v>
      </c>
      <c r="Q1003" s="1">
        <v>1023</v>
      </c>
      <c r="R1003" s="1">
        <v>0.4</v>
      </c>
      <c r="S1003" s="1">
        <v>97.5</v>
      </c>
      <c r="T1003" s="8">
        <v>0.12909999999999999</v>
      </c>
      <c r="U1003" s="7">
        <v>1E-3</v>
      </c>
    </row>
    <row r="1004" spans="1:21" customFormat="1">
      <c r="A1004">
        <v>1</v>
      </c>
      <c r="B1004">
        <v>87</v>
      </c>
      <c r="C1004">
        <v>12</v>
      </c>
      <c r="D1004">
        <v>8</v>
      </c>
      <c r="E1004">
        <v>2020</v>
      </c>
      <c r="F1004">
        <v>8203</v>
      </c>
      <c r="G1004" t="str">
        <f>VLOOKUP(F1004,'[1]Sheet 1'!$B$2:$E$347,2,FALSE)</f>
        <v>Biobío</v>
      </c>
      <c r="H1004" t="str">
        <f>VLOOKUP(F1004,'[1]Sheet 1'!$B$2:$E$347,3,FALSE)</f>
        <v>Arauco</v>
      </c>
      <c r="I1004" t="str">
        <f>VLOOKUP(F1004,'[1]Sheet 1'!$B$2:$E$347,4,FALSE)</f>
        <v>Cañete</v>
      </c>
      <c r="J1004" t="s">
        <v>136</v>
      </c>
      <c r="K1004" s="3" t="s">
        <v>4</v>
      </c>
      <c r="L1004" s="12" t="str">
        <f>VLOOKUP(K1004,[2]Hoja4!$A$2:$C$443,2,FALSE)</f>
        <v>Intentional self-harm by hanging, strangulation and suffocation</v>
      </c>
      <c r="M1004" s="12" t="str">
        <f>VLOOKUP(K1004,[2]Hoja4!$A$2:$C$443,3,FALSE)</f>
        <v>At home</v>
      </c>
      <c r="N1004" s="1">
        <v>0.3</v>
      </c>
      <c r="O1004" s="1" t="s">
        <v>55</v>
      </c>
      <c r="P1004" s="1">
        <v>7.1</v>
      </c>
      <c r="Q1004" s="1">
        <v>1020.1</v>
      </c>
      <c r="R1004" s="1">
        <v>0.8</v>
      </c>
      <c r="S1004" s="1">
        <v>88.2</v>
      </c>
      <c r="T1004" s="8">
        <v>0.12909999999999999</v>
      </c>
      <c r="U1004" s="7">
        <v>1E-3</v>
      </c>
    </row>
    <row r="1005" spans="1:21" customFormat="1">
      <c r="A1005">
        <v>2</v>
      </c>
      <c r="B1005">
        <v>61</v>
      </c>
      <c r="C1005">
        <v>12</v>
      </c>
      <c r="D1005">
        <v>8</v>
      </c>
      <c r="E1005">
        <v>2020</v>
      </c>
      <c r="F1005">
        <v>8112</v>
      </c>
      <c r="G1005" t="str">
        <f>VLOOKUP(F1005,'[1]Sheet 1'!$B$2:$E$347,2,FALSE)</f>
        <v>Biobío</v>
      </c>
      <c r="H1005" t="str">
        <f>VLOOKUP(F1005,'[1]Sheet 1'!$B$2:$E$347,3,FALSE)</f>
        <v>Concepción</v>
      </c>
      <c r="I1005" t="str">
        <f>VLOOKUP(F1005,'[1]Sheet 1'!$B$2:$E$347,4,FALSE)</f>
        <v>Hualpén</v>
      </c>
      <c r="J1005" t="s">
        <v>136</v>
      </c>
      <c r="K1005" s="3" t="s">
        <v>4</v>
      </c>
      <c r="L1005" s="12" t="str">
        <f>VLOOKUP(K1005,[2]Hoja4!$A$2:$C$443,2,FALSE)</f>
        <v>Intentional self-harm by hanging, strangulation and suffocation</v>
      </c>
      <c r="M1005" s="12" t="str">
        <f>VLOOKUP(K1005,[2]Hoja4!$A$2:$C$443,3,FALSE)</f>
        <v>At home</v>
      </c>
      <c r="N1005" s="1">
        <v>0.3</v>
      </c>
      <c r="O1005" s="1">
        <v>13.2</v>
      </c>
      <c r="P1005" s="1">
        <v>7.1</v>
      </c>
      <c r="Q1005" s="1">
        <v>1020.1</v>
      </c>
      <c r="R1005" s="1">
        <v>0.8</v>
      </c>
      <c r="S1005" s="1">
        <v>88.2</v>
      </c>
      <c r="T1005" s="8">
        <v>0.12909999999999999</v>
      </c>
      <c r="U1005" s="7">
        <v>1E-3</v>
      </c>
    </row>
    <row r="1006" spans="1:21" customFormat="1">
      <c r="A1006">
        <v>1</v>
      </c>
      <c r="B1006">
        <v>57</v>
      </c>
      <c r="C1006">
        <v>12</v>
      </c>
      <c r="D1006">
        <v>8</v>
      </c>
      <c r="E1006">
        <v>2020</v>
      </c>
      <c r="F1006">
        <v>8203</v>
      </c>
      <c r="G1006" t="str">
        <f>VLOOKUP(F1006,'[1]Sheet 1'!$B$2:$E$347,2,FALSE)</f>
        <v>Biobío</v>
      </c>
      <c r="H1006" t="str">
        <f>VLOOKUP(F1006,'[1]Sheet 1'!$B$2:$E$347,3,FALSE)</f>
        <v>Arauco</v>
      </c>
      <c r="I1006" t="str">
        <f>VLOOKUP(F1006,'[1]Sheet 1'!$B$2:$E$347,4,FALSE)</f>
        <v>Cañete</v>
      </c>
      <c r="J1006" t="s">
        <v>136</v>
      </c>
      <c r="K1006" s="3" t="s">
        <v>0</v>
      </c>
      <c r="L1006" s="12" t="str">
        <f>VLOOKUP(K1006,[2]Hoja4!$A$2:$C$443,2,FALSE)</f>
        <v>Intentional self-harm by hanging, strangulation and suffocation</v>
      </c>
      <c r="M1006" s="12" t="str">
        <f>VLOOKUP(K1006,[2]Hoja4!$A$2:$C$443,3,FALSE)</f>
        <v>Unspecified place</v>
      </c>
      <c r="N1006" s="1">
        <v>0.3</v>
      </c>
      <c r="O1006" s="1" t="s">
        <v>55</v>
      </c>
      <c r="P1006" s="1">
        <v>7.1</v>
      </c>
      <c r="Q1006" s="1">
        <v>1020.1</v>
      </c>
      <c r="R1006" s="1">
        <v>0.8</v>
      </c>
      <c r="S1006" s="1">
        <v>88.2</v>
      </c>
      <c r="T1006" s="8">
        <v>0.12909999999999999</v>
      </c>
      <c r="U1006" s="7">
        <v>1E-3</v>
      </c>
    </row>
    <row r="1007" spans="1:21" customFormat="1">
      <c r="A1007">
        <v>1</v>
      </c>
      <c r="B1007">
        <v>51</v>
      </c>
      <c r="C1007">
        <v>12</v>
      </c>
      <c r="D1007">
        <v>8</v>
      </c>
      <c r="E1007">
        <v>2020</v>
      </c>
      <c r="F1007">
        <v>3301</v>
      </c>
      <c r="G1007" t="str">
        <f>VLOOKUP(F1007,'[1]Sheet 1'!$B$2:$E$347,2,FALSE)</f>
        <v>Atacama</v>
      </c>
      <c r="H1007" t="str">
        <f>VLOOKUP(F1007,'[1]Sheet 1'!$B$2:$E$347,3,FALSE)</f>
        <v>Huasco</v>
      </c>
      <c r="I1007" t="str">
        <f>VLOOKUP(F1007,'[1]Sheet 1'!$B$2:$E$347,4,FALSE)</f>
        <v>Vallenar</v>
      </c>
      <c r="J1007" t="s">
        <v>136</v>
      </c>
      <c r="K1007" s="3" t="s">
        <v>4</v>
      </c>
      <c r="L1007" s="12" t="str">
        <f>VLOOKUP(K1007,[2]Hoja4!$A$2:$C$443,2,FALSE)</f>
        <v>Intentional self-harm by hanging, strangulation and suffocation</v>
      </c>
      <c r="M1007" s="12" t="str">
        <f>VLOOKUP(K1007,[2]Hoja4!$A$2:$C$443,3,FALSE)</f>
        <v>At home</v>
      </c>
      <c r="N1007" s="1">
        <v>6.5</v>
      </c>
      <c r="O1007" s="1">
        <v>14.7</v>
      </c>
      <c r="P1007" s="1">
        <v>10.6</v>
      </c>
      <c r="Q1007" s="1">
        <v>962.3</v>
      </c>
      <c r="R1007" s="1">
        <v>0.2</v>
      </c>
      <c r="S1007" s="1">
        <v>89.4</v>
      </c>
      <c r="T1007" s="8">
        <v>0.12909999999999999</v>
      </c>
      <c r="U1007" s="7">
        <v>1E-3</v>
      </c>
    </row>
    <row r="1008" spans="1:21" customFormat="1">
      <c r="A1008">
        <v>1</v>
      </c>
      <c r="B1008">
        <v>34</v>
      </c>
      <c r="C1008">
        <v>12</v>
      </c>
      <c r="D1008">
        <v>8</v>
      </c>
      <c r="E1008">
        <v>2020</v>
      </c>
      <c r="F1008">
        <v>7401</v>
      </c>
      <c r="G1008" t="str">
        <f>VLOOKUP(F1008,'[1]Sheet 1'!$B$2:$E$347,2,FALSE)</f>
        <v>Maule</v>
      </c>
      <c r="H1008" t="str">
        <f>VLOOKUP(F1008,'[1]Sheet 1'!$B$2:$E$347,3,FALSE)</f>
        <v>Linares</v>
      </c>
      <c r="I1008" t="str">
        <f>VLOOKUP(F1008,'[1]Sheet 1'!$B$2:$E$347,4,FALSE)</f>
        <v>Linares</v>
      </c>
      <c r="J1008" t="s">
        <v>136</v>
      </c>
      <c r="K1008" s="3" t="s">
        <v>4</v>
      </c>
      <c r="L1008" s="12" t="str">
        <f>VLOOKUP(K1008,[2]Hoja4!$A$2:$C$443,2,FALSE)</f>
        <v>Intentional self-harm by hanging, strangulation and suffocation</v>
      </c>
      <c r="M1008" s="12" t="str">
        <f>VLOOKUP(K1008,[2]Hoja4!$A$2:$C$443,3,FALSE)</f>
        <v>At home</v>
      </c>
      <c r="N1008" s="1">
        <v>-1.9</v>
      </c>
      <c r="O1008" s="1">
        <v>14.5</v>
      </c>
      <c r="P1008" s="1">
        <v>5.8</v>
      </c>
      <c r="Q1008" s="1">
        <v>999.6</v>
      </c>
      <c r="R1008" s="1">
        <v>0</v>
      </c>
      <c r="S1008" s="1">
        <v>82.9</v>
      </c>
      <c r="T1008" s="8">
        <v>0.12909999999999999</v>
      </c>
      <c r="U1008" s="7">
        <v>1E-3</v>
      </c>
    </row>
    <row r="1009" spans="1:21" customFormat="1">
      <c r="A1009">
        <v>1</v>
      </c>
      <c r="B1009">
        <v>27</v>
      </c>
      <c r="C1009">
        <v>12</v>
      </c>
      <c r="D1009">
        <v>8</v>
      </c>
      <c r="E1009">
        <v>2020</v>
      </c>
      <c r="F1009">
        <v>13101</v>
      </c>
      <c r="G1009" t="str">
        <f>VLOOKUP(F1009,'[1]Sheet 1'!$B$2:$E$347,2,FALSE)</f>
        <v>Metropolitana de Santiago</v>
      </c>
      <c r="H1009" t="str">
        <f>VLOOKUP(F1009,'[1]Sheet 1'!$B$2:$E$347,3,FALSE)</f>
        <v>Santiago</v>
      </c>
      <c r="I1009" t="str">
        <f>VLOOKUP(F1009,'[1]Sheet 1'!$B$2:$E$347,4,FALSE)</f>
        <v>Santiago</v>
      </c>
      <c r="J1009" t="s">
        <v>136</v>
      </c>
      <c r="K1009" s="3" t="s">
        <v>0</v>
      </c>
      <c r="L1009" s="12" t="str">
        <f>VLOOKUP(K1009,[2]Hoja4!$A$2:$C$443,2,FALSE)</f>
        <v>Intentional self-harm by hanging, strangulation and suffocation</v>
      </c>
      <c r="M1009" s="12" t="str">
        <f>VLOOKUP(K1009,[2]Hoja4!$A$2:$C$443,3,FALSE)</f>
        <v>Unspecified place</v>
      </c>
      <c r="N1009" s="1">
        <v>-0.9</v>
      </c>
      <c r="O1009" s="1">
        <v>16.2</v>
      </c>
      <c r="P1009" s="1">
        <v>6.5</v>
      </c>
      <c r="Q1009" s="1">
        <v>957.1</v>
      </c>
      <c r="R1009" s="1"/>
      <c r="S1009" s="1">
        <v>70.8</v>
      </c>
      <c r="T1009" s="8">
        <v>0.12909999999999999</v>
      </c>
      <c r="U1009" s="7">
        <v>1E-3</v>
      </c>
    </row>
    <row r="1010" spans="1:21" customFormat="1">
      <c r="A1010">
        <v>1</v>
      </c>
      <c r="B1010">
        <v>74</v>
      </c>
      <c r="C1010">
        <v>13</v>
      </c>
      <c r="D1010">
        <v>8</v>
      </c>
      <c r="E1010">
        <v>2020</v>
      </c>
      <c r="F1010">
        <v>15101</v>
      </c>
      <c r="G1010" t="str">
        <f>VLOOKUP(F1010,'[1]Sheet 1'!$B$2:$E$347,2,FALSE)</f>
        <v>Arica y Parinacota</v>
      </c>
      <c r="H1010" t="str">
        <f>VLOOKUP(F1010,'[1]Sheet 1'!$B$2:$E$347,3,FALSE)</f>
        <v>Arica</v>
      </c>
      <c r="I1010" t="str">
        <f>VLOOKUP(F1010,'[1]Sheet 1'!$B$2:$E$347,4,FALSE)</f>
        <v>Arica</v>
      </c>
      <c r="J1010" t="s">
        <v>142</v>
      </c>
      <c r="K1010" s="3" t="s">
        <v>5</v>
      </c>
      <c r="L1010" s="12" t="str">
        <f>VLOOKUP(K1010,[2]Hoja4!$A$2:$C$443,2,FALSE)</f>
        <v>Intentional self-harm by other and unspecified firearm discharge</v>
      </c>
      <c r="M1010" s="12" t="str">
        <f>VLOOKUP(K1010,[2]Hoja4!$A$2:$C$443,3,FALSE)</f>
        <v>At home</v>
      </c>
      <c r="N1010" s="1">
        <v>15.7</v>
      </c>
      <c r="O1010" s="1">
        <v>18.600000000000001</v>
      </c>
      <c r="P1010" s="1">
        <v>17.2</v>
      </c>
      <c r="Q1010" s="1">
        <v>1010.1</v>
      </c>
      <c r="R1010" s="1">
        <v>0</v>
      </c>
      <c r="S1010" s="1">
        <v>67.8</v>
      </c>
      <c r="T1010" s="8">
        <v>0.12909999999999999</v>
      </c>
      <c r="U1010" s="7">
        <v>1E-3</v>
      </c>
    </row>
    <row r="1011" spans="1:21" customFormat="1">
      <c r="A1011">
        <v>1</v>
      </c>
      <c r="B1011">
        <v>77</v>
      </c>
      <c r="C1011">
        <v>13</v>
      </c>
      <c r="D1011">
        <v>8</v>
      </c>
      <c r="E1011">
        <v>2020</v>
      </c>
      <c r="F1011">
        <v>6115</v>
      </c>
      <c r="G1011" t="str">
        <f>VLOOKUP(F1011,'[1]Sheet 1'!$B$2:$E$347,2,FALSE)</f>
        <v>Libertador General Bernardo O'Higgins</v>
      </c>
      <c r="H1011" t="str">
        <f>VLOOKUP(F1011,'[1]Sheet 1'!$B$2:$E$347,3,FALSE)</f>
        <v>Cachapoal</v>
      </c>
      <c r="I1011" t="str">
        <f>VLOOKUP(F1011,'[1]Sheet 1'!$B$2:$E$347,4,FALSE)</f>
        <v>Rengo</v>
      </c>
      <c r="J1011" t="s">
        <v>136</v>
      </c>
      <c r="K1011" s="3" t="s">
        <v>0</v>
      </c>
      <c r="L1011" s="12" t="str">
        <f>VLOOKUP(K1011,[2]Hoja4!$A$2:$C$443,2,FALSE)</f>
        <v>Intentional self-harm by hanging, strangulation and suffocation</v>
      </c>
      <c r="M1011" s="12" t="str">
        <f>VLOOKUP(K1011,[2]Hoja4!$A$2:$C$443,3,FALSE)</f>
        <v>Unspecified place</v>
      </c>
      <c r="N1011" s="1">
        <v>-1.5</v>
      </c>
      <c r="O1011" s="1">
        <v>15.2</v>
      </c>
      <c r="P1011" s="1">
        <v>6.1</v>
      </c>
      <c r="Q1011" s="1">
        <v>960.1</v>
      </c>
      <c r="R1011" s="1">
        <v>0</v>
      </c>
      <c r="S1011" s="1">
        <v>74.8</v>
      </c>
      <c r="T1011" s="8">
        <v>0.12909999999999999</v>
      </c>
      <c r="U1011" s="7">
        <v>1E-3</v>
      </c>
    </row>
    <row r="1012" spans="1:21" customFormat="1">
      <c r="A1012">
        <v>1</v>
      </c>
      <c r="B1012">
        <v>63</v>
      </c>
      <c r="C1012">
        <v>13</v>
      </c>
      <c r="D1012">
        <v>8</v>
      </c>
      <c r="E1012">
        <v>2020</v>
      </c>
      <c r="F1012">
        <v>4102</v>
      </c>
      <c r="G1012" t="str">
        <f>VLOOKUP(F1012,'[1]Sheet 1'!$B$2:$E$347,2,FALSE)</f>
        <v>Coquimbo</v>
      </c>
      <c r="H1012" t="str">
        <f>VLOOKUP(F1012,'[1]Sheet 1'!$B$2:$E$347,3,FALSE)</f>
        <v>Elqui</v>
      </c>
      <c r="I1012" t="str">
        <f>VLOOKUP(F1012,'[1]Sheet 1'!$B$2:$E$347,4,FALSE)</f>
        <v>Coquimbo</v>
      </c>
      <c r="J1012" t="s">
        <v>136</v>
      </c>
      <c r="K1012" s="3" t="s">
        <v>4</v>
      </c>
      <c r="L1012" s="12" t="str">
        <f>VLOOKUP(K1012,[2]Hoja4!$A$2:$C$443,2,FALSE)</f>
        <v>Intentional self-harm by hanging, strangulation and suffocation</v>
      </c>
      <c r="M1012" s="12" t="str">
        <f>VLOOKUP(K1012,[2]Hoja4!$A$2:$C$443,3,FALSE)</f>
        <v>At home</v>
      </c>
      <c r="N1012" s="1">
        <v>4.4000000000000004</v>
      </c>
      <c r="O1012" s="1">
        <v>14</v>
      </c>
      <c r="P1012" s="1">
        <v>9.4</v>
      </c>
      <c r="Q1012" s="1">
        <v>999.5</v>
      </c>
      <c r="R1012" s="1">
        <v>0</v>
      </c>
      <c r="S1012" s="1">
        <v>82.8</v>
      </c>
      <c r="T1012" s="8">
        <v>0.12909999999999999</v>
      </c>
      <c r="U1012" s="7">
        <v>1E-3</v>
      </c>
    </row>
    <row r="1013" spans="1:21" customFormat="1">
      <c r="A1013">
        <v>1</v>
      </c>
      <c r="B1013">
        <v>45</v>
      </c>
      <c r="C1013">
        <v>13</v>
      </c>
      <c r="D1013">
        <v>8</v>
      </c>
      <c r="E1013">
        <v>2020</v>
      </c>
      <c r="F1013">
        <v>5403</v>
      </c>
      <c r="G1013" t="str">
        <f>VLOOKUP(F1013,'[1]Sheet 1'!$B$2:$E$347,2,FALSE)</f>
        <v>Valparaíso</v>
      </c>
      <c r="H1013" t="str">
        <f>VLOOKUP(F1013,'[1]Sheet 1'!$B$2:$E$347,3,FALSE)</f>
        <v>Petorca</v>
      </c>
      <c r="I1013" t="str">
        <f>VLOOKUP(F1013,'[1]Sheet 1'!$B$2:$E$347,4,FALSE)</f>
        <v>Papudo</v>
      </c>
      <c r="J1013" t="s">
        <v>136</v>
      </c>
      <c r="K1013" s="3" t="s">
        <v>4</v>
      </c>
      <c r="L1013" s="12" t="str">
        <f>VLOOKUP(K1013,[2]Hoja4!$A$2:$C$443,2,FALSE)</f>
        <v>Intentional self-harm by hanging, strangulation and suffocation</v>
      </c>
      <c r="M1013" s="12" t="str">
        <f>VLOOKUP(K1013,[2]Hoja4!$A$2:$C$443,3,FALSE)</f>
        <v>At home</v>
      </c>
      <c r="N1013" s="1" t="s">
        <v>111</v>
      </c>
      <c r="O1013" s="1">
        <v>16.7</v>
      </c>
      <c r="P1013" s="1">
        <v>10.6</v>
      </c>
      <c r="Q1013" s="1">
        <v>1021.9</v>
      </c>
      <c r="R1013" s="1">
        <v>0</v>
      </c>
      <c r="S1013" s="1">
        <v>79.900000000000006</v>
      </c>
      <c r="T1013" s="8">
        <v>0.12909999999999999</v>
      </c>
      <c r="U1013" s="7">
        <v>1E-3</v>
      </c>
    </row>
    <row r="1014" spans="1:21" customFormat="1">
      <c r="A1014">
        <v>2</v>
      </c>
      <c r="B1014">
        <v>38</v>
      </c>
      <c r="C1014">
        <v>13</v>
      </c>
      <c r="D1014">
        <v>8</v>
      </c>
      <c r="E1014">
        <v>2020</v>
      </c>
      <c r="F1014">
        <v>5601</v>
      </c>
      <c r="G1014" t="str">
        <f>VLOOKUP(F1014,'[1]Sheet 1'!$B$2:$E$347,2,FALSE)</f>
        <v>Valparaíso</v>
      </c>
      <c r="H1014" t="str">
        <f>VLOOKUP(F1014,'[1]Sheet 1'!$B$2:$E$347,3,FALSE)</f>
        <v>San Antonio</v>
      </c>
      <c r="I1014" t="str">
        <f>VLOOKUP(F1014,'[1]Sheet 1'!$B$2:$E$347,4,FALSE)</f>
        <v>San Antonio</v>
      </c>
      <c r="J1014" t="s">
        <v>136</v>
      </c>
      <c r="K1014" s="3" t="s">
        <v>4</v>
      </c>
      <c r="L1014" s="12" t="str">
        <f>VLOOKUP(K1014,[2]Hoja4!$A$2:$C$443,2,FALSE)</f>
        <v>Intentional self-harm by hanging, strangulation and suffocation</v>
      </c>
      <c r="M1014" s="12" t="str">
        <f>VLOOKUP(K1014,[2]Hoja4!$A$2:$C$443,3,FALSE)</f>
        <v>At home</v>
      </c>
      <c r="N1014" s="1">
        <v>5</v>
      </c>
      <c r="O1014" s="1">
        <v>14.5</v>
      </c>
      <c r="P1014" s="1">
        <v>9.8000000000000007</v>
      </c>
      <c r="Q1014" s="1">
        <v>1010.3</v>
      </c>
      <c r="R1014" s="1">
        <v>0</v>
      </c>
      <c r="S1014" s="1">
        <v>85</v>
      </c>
      <c r="T1014" s="8">
        <v>0.12909999999999999</v>
      </c>
      <c r="U1014" s="7">
        <v>1E-3</v>
      </c>
    </row>
    <row r="1015" spans="1:21" customFormat="1">
      <c r="A1015">
        <v>1</v>
      </c>
      <c r="B1015">
        <v>33</v>
      </c>
      <c r="C1015">
        <v>13</v>
      </c>
      <c r="D1015">
        <v>8</v>
      </c>
      <c r="E1015">
        <v>2020</v>
      </c>
      <c r="F1015">
        <v>5101</v>
      </c>
      <c r="G1015" t="str">
        <f>VLOOKUP(F1015,'[1]Sheet 1'!$B$2:$E$347,2,FALSE)</f>
        <v>Valparaíso</v>
      </c>
      <c r="H1015" t="str">
        <f>VLOOKUP(F1015,'[1]Sheet 1'!$B$2:$E$347,3,FALSE)</f>
        <v>Valparaíso</v>
      </c>
      <c r="I1015" t="str">
        <f>VLOOKUP(F1015,'[1]Sheet 1'!$B$2:$E$347,4,FALSE)</f>
        <v>Valparaíso</v>
      </c>
      <c r="J1015" t="s">
        <v>136</v>
      </c>
      <c r="K1015" s="3" t="s">
        <v>4</v>
      </c>
      <c r="L1015" s="12" t="str">
        <f>VLOOKUP(K1015,[2]Hoja4!$A$2:$C$443,2,FALSE)</f>
        <v>Intentional self-harm by hanging, strangulation and suffocation</v>
      </c>
      <c r="M1015" s="12" t="str">
        <f>VLOOKUP(K1015,[2]Hoja4!$A$2:$C$443,3,FALSE)</f>
        <v>At home</v>
      </c>
      <c r="N1015" s="1">
        <v>3.9</v>
      </c>
      <c r="O1015" s="1">
        <v>15.3</v>
      </c>
      <c r="P1015" s="1">
        <v>8.6999999999999993</v>
      </c>
      <c r="Q1015" s="1">
        <v>978.1</v>
      </c>
      <c r="R1015" s="1">
        <v>0</v>
      </c>
      <c r="S1015" s="1">
        <v>75.5</v>
      </c>
      <c r="T1015" s="8">
        <v>0.12909999999999999</v>
      </c>
      <c r="U1015" s="7">
        <v>1E-3</v>
      </c>
    </row>
    <row r="1016" spans="1:21" customFormat="1">
      <c r="A1016">
        <v>1</v>
      </c>
      <c r="B1016">
        <v>58</v>
      </c>
      <c r="C1016">
        <v>14</v>
      </c>
      <c r="D1016">
        <v>8</v>
      </c>
      <c r="E1016">
        <v>2020</v>
      </c>
      <c r="F1016">
        <v>8101</v>
      </c>
      <c r="G1016" t="str">
        <f>VLOOKUP(F1016,'[1]Sheet 1'!$B$2:$E$347,2,FALSE)</f>
        <v>Biobío</v>
      </c>
      <c r="H1016" t="str">
        <f>VLOOKUP(F1016,'[1]Sheet 1'!$B$2:$E$347,3,FALSE)</f>
        <v>Concepción</v>
      </c>
      <c r="I1016" t="str">
        <f>VLOOKUP(F1016,'[1]Sheet 1'!$B$2:$E$347,4,FALSE)</f>
        <v>Concepción</v>
      </c>
      <c r="J1016" t="s">
        <v>142</v>
      </c>
      <c r="K1016" s="3" t="s">
        <v>5</v>
      </c>
      <c r="L1016" s="12" t="str">
        <f>VLOOKUP(K1016,[2]Hoja4!$A$2:$C$443,2,FALSE)</f>
        <v>Intentional self-harm by other and unspecified firearm discharge</v>
      </c>
      <c r="M1016" s="12" t="str">
        <f>VLOOKUP(K1016,[2]Hoja4!$A$2:$C$443,3,FALSE)</f>
        <v>At home</v>
      </c>
      <c r="N1016" s="1">
        <v>5.2</v>
      </c>
      <c r="O1016" s="1">
        <v>12.7</v>
      </c>
      <c r="P1016" s="1">
        <v>9.4</v>
      </c>
      <c r="Q1016" s="1">
        <v>1022.6</v>
      </c>
      <c r="R1016" s="1">
        <v>2.4</v>
      </c>
      <c r="S1016" s="1">
        <v>76.8</v>
      </c>
      <c r="T1016" s="8">
        <v>0.12909999999999999</v>
      </c>
      <c r="U1016" s="7">
        <v>1E-3</v>
      </c>
    </row>
    <row r="1017" spans="1:21" customFormat="1">
      <c r="A1017">
        <v>1</v>
      </c>
      <c r="B1017">
        <v>58</v>
      </c>
      <c r="C1017">
        <v>14</v>
      </c>
      <c r="D1017">
        <v>8</v>
      </c>
      <c r="E1017">
        <v>2020</v>
      </c>
      <c r="F1017">
        <v>13116</v>
      </c>
      <c r="G1017" t="str">
        <f>VLOOKUP(F1017,'[1]Sheet 1'!$B$2:$E$347,2,FALSE)</f>
        <v>Metropolitana de Santiago</v>
      </c>
      <c r="H1017" t="str">
        <f>VLOOKUP(F1017,'[1]Sheet 1'!$B$2:$E$347,3,FALSE)</f>
        <v>Santiago</v>
      </c>
      <c r="I1017" t="str">
        <f>VLOOKUP(F1017,'[1]Sheet 1'!$B$2:$E$347,4,FALSE)</f>
        <v>Lo Espejo</v>
      </c>
      <c r="J1017" t="s">
        <v>136</v>
      </c>
      <c r="K1017" s="3" t="s">
        <v>0</v>
      </c>
      <c r="L1017" s="12" t="str">
        <f>VLOOKUP(K1017,[2]Hoja4!$A$2:$C$443,2,FALSE)</f>
        <v>Intentional self-harm by hanging, strangulation and suffocation</v>
      </c>
      <c r="M1017" s="12" t="str">
        <f>VLOOKUP(K1017,[2]Hoja4!$A$2:$C$443,3,FALSE)</f>
        <v>Unspecified place</v>
      </c>
      <c r="N1017" s="1">
        <v>2.2000000000000002</v>
      </c>
      <c r="O1017" s="1">
        <v>13.5</v>
      </c>
      <c r="P1017" s="1">
        <v>8.1999999999999993</v>
      </c>
      <c r="Q1017" s="1">
        <v>959.7</v>
      </c>
      <c r="R1017" s="1"/>
      <c r="S1017" s="1">
        <v>76.5</v>
      </c>
      <c r="T1017" s="8">
        <v>0.12909999999999999</v>
      </c>
      <c r="U1017" s="7">
        <v>1E-3</v>
      </c>
    </row>
    <row r="1018" spans="1:21" customFormat="1">
      <c r="A1018">
        <v>1</v>
      </c>
      <c r="B1018">
        <v>30</v>
      </c>
      <c r="C1018">
        <v>14</v>
      </c>
      <c r="D1018">
        <v>8</v>
      </c>
      <c r="E1018">
        <v>2020</v>
      </c>
      <c r="F1018">
        <v>9210</v>
      </c>
      <c r="G1018" t="str">
        <f>VLOOKUP(F1018,'[1]Sheet 1'!$B$2:$E$347,2,FALSE)</f>
        <v>La Araucanía</v>
      </c>
      <c r="H1018" t="str">
        <f>VLOOKUP(F1018,'[1]Sheet 1'!$B$2:$E$347,3,FALSE)</f>
        <v>Malleco</v>
      </c>
      <c r="I1018" t="str">
        <f>VLOOKUP(F1018,'[1]Sheet 1'!$B$2:$E$347,4,FALSE)</f>
        <v>Traiguén</v>
      </c>
      <c r="J1018" t="s">
        <v>136</v>
      </c>
      <c r="K1018" s="3" t="s">
        <v>4</v>
      </c>
      <c r="L1018" s="12" t="str">
        <f>VLOOKUP(K1018,[2]Hoja4!$A$2:$C$443,2,FALSE)</f>
        <v>Intentional self-harm by hanging, strangulation and suffocation</v>
      </c>
      <c r="M1018" s="12" t="str">
        <f>VLOOKUP(K1018,[2]Hoja4!$A$2:$C$443,3,FALSE)</f>
        <v>At home</v>
      </c>
      <c r="N1018" s="1">
        <v>2.8</v>
      </c>
      <c r="O1018" s="1">
        <v>12.2</v>
      </c>
      <c r="P1018" s="1">
        <v>8.3000000000000007</v>
      </c>
      <c r="Q1018" s="1">
        <v>501.9</v>
      </c>
      <c r="R1018" s="1">
        <v>0</v>
      </c>
      <c r="S1018" s="1">
        <v>81</v>
      </c>
      <c r="T1018" s="8">
        <v>0.12909999999999999</v>
      </c>
      <c r="U1018" s="7">
        <v>1E-3</v>
      </c>
    </row>
    <row r="1019" spans="1:21" customFormat="1">
      <c r="A1019">
        <v>1</v>
      </c>
      <c r="B1019">
        <v>15</v>
      </c>
      <c r="C1019">
        <v>14</v>
      </c>
      <c r="D1019">
        <v>8</v>
      </c>
      <c r="E1019">
        <v>2020</v>
      </c>
      <c r="F1019">
        <v>8301</v>
      </c>
      <c r="G1019" t="str">
        <f>VLOOKUP(F1019,'[1]Sheet 1'!$B$2:$E$347,2,FALSE)</f>
        <v>Biobío</v>
      </c>
      <c r="H1019" t="str">
        <f>VLOOKUP(F1019,'[1]Sheet 1'!$B$2:$E$347,3,FALSE)</f>
        <v>Biobío</v>
      </c>
      <c r="I1019" t="str">
        <f>VLOOKUP(F1019,'[1]Sheet 1'!$B$2:$E$347,4,FALSE)</f>
        <v>Los Angeles</v>
      </c>
      <c r="J1019" t="s">
        <v>136</v>
      </c>
      <c r="K1019" s="3" t="s">
        <v>4</v>
      </c>
      <c r="L1019" s="12" t="str">
        <f>VLOOKUP(K1019,[2]Hoja4!$A$2:$C$443,2,FALSE)</f>
        <v>Intentional self-harm by hanging, strangulation and suffocation</v>
      </c>
      <c r="M1019" s="12" t="str">
        <f>VLOOKUP(K1019,[2]Hoja4!$A$2:$C$443,3,FALSE)</f>
        <v>At home</v>
      </c>
      <c r="N1019" s="1">
        <v>1</v>
      </c>
      <c r="O1019" s="1">
        <v>12</v>
      </c>
      <c r="P1019" s="1">
        <v>6.5</v>
      </c>
      <c r="Q1019" s="1">
        <v>1010.2</v>
      </c>
      <c r="R1019" s="1">
        <v>0</v>
      </c>
      <c r="S1019" s="1">
        <v>83.5</v>
      </c>
      <c r="T1019" s="8">
        <v>0.12909999999999999</v>
      </c>
      <c r="U1019" s="7">
        <v>1E-3</v>
      </c>
    </row>
    <row r="1020" spans="1:21" customFormat="1">
      <c r="A1020">
        <v>1</v>
      </c>
      <c r="B1020">
        <v>44</v>
      </c>
      <c r="C1020">
        <v>15</v>
      </c>
      <c r="D1020">
        <v>8</v>
      </c>
      <c r="E1020">
        <v>2020</v>
      </c>
      <c r="F1020">
        <v>9101</v>
      </c>
      <c r="G1020" t="str">
        <f>VLOOKUP(F1020,'[1]Sheet 1'!$B$2:$E$347,2,FALSE)</f>
        <v>La Araucanía</v>
      </c>
      <c r="H1020" t="str">
        <f>VLOOKUP(F1020,'[1]Sheet 1'!$B$2:$E$347,3,FALSE)</f>
        <v>Cautín</v>
      </c>
      <c r="I1020" t="str">
        <f>VLOOKUP(F1020,'[1]Sheet 1'!$B$2:$E$347,4,FALSE)</f>
        <v>Temuco</v>
      </c>
      <c r="J1020" t="s">
        <v>136</v>
      </c>
      <c r="K1020" s="3" t="s">
        <v>13</v>
      </c>
      <c r="L1020" s="12" t="str">
        <f>VLOOKUP(K1020,[2]Hoja4!$A$2:$C$443,2,FALSE)</f>
        <v>Intentional self-harm by hanging, strangulation and suffocation</v>
      </c>
      <c r="M1020" s="12" t="str">
        <f>VLOOKUP(K1020,[2]Hoja4!$A$2:$C$443,3,FALSE)</f>
        <v>Other specified places</v>
      </c>
      <c r="N1020" s="1">
        <v>0.2</v>
      </c>
      <c r="O1020" s="1">
        <v>9.8000000000000007</v>
      </c>
      <c r="P1020" s="1">
        <v>5.8</v>
      </c>
      <c r="Q1020" s="1">
        <v>1013.7</v>
      </c>
      <c r="R1020" s="1">
        <v>0.6</v>
      </c>
      <c r="S1020" s="1">
        <v>87.2</v>
      </c>
      <c r="T1020" s="8">
        <v>0.12909999999999999</v>
      </c>
      <c r="U1020" s="7">
        <v>1E-3</v>
      </c>
    </row>
    <row r="1021" spans="1:21" customFormat="1">
      <c r="A1021">
        <v>1</v>
      </c>
      <c r="B1021">
        <v>19</v>
      </c>
      <c r="C1021">
        <v>15</v>
      </c>
      <c r="D1021">
        <v>8</v>
      </c>
      <c r="E1021">
        <v>2020</v>
      </c>
      <c r="F1021">
        <v>1101</v>
      </c>
      <c r="G1021" t="str">
        <f>VLOOKUP(F1021,'[1]Sheet 1'!$B$2:$E$347,2,FALSE)</f>
        <v>Tarapacá</v>
      </c>
      <c r="H1021" t="str">
        <f>VLOOKUP(F1021,'[1]Sheet 1'!$B$2:$E$347,3,FALSE)</f>
        <v>Iquique</v>
      </c>
      <c r="I1021" t="str">
        <f>VLOOKUP(F1021,'[1]Sheet 1'!$B$2:$E$347,4,FALSE)</f>
        <v>Iquique</v>
      </c>
      <c r="J1021" t="s">
        <v>136</v>
      </c>
      <c r="K1021" s="3" t="s">
        <v>4</v>
      </c>
      <c r="L1021" s="12" t="str">
        <f>VLOOKUP(K1021,[2]Hoja4!$A$2:$C$443,2,FALSE)</f>
        <v>Intentional self-harm by hanging, strangulation and suffocation</v>
      </c>
      <c r="M1021" s="12" t="str">
        <f>VLOOKUP(K1021,[2]Hoja4!$A$2:$C$443,3,FALSE)</f>
        <v>At home</v>
      </c>
      <c r="N1021" s="1">
        <v>14</v>
      </c>
      <c r="O1021" s="1">
        <v>17.100000000000001</v>
      </c>
      <c r="P1021" s="1">
        <v>15.6</v>
      </c>
      <c r="Q1021" s="1">
        <v>1012.9</v>
      </c>
      <c r="R1021" s="1">
        <v>0</v>
      </c>
      <c r="S1021" s="1">
        <v>67.5</v>
      </c>
      <c r="T1021" s="8">
        <v>0.12909999999999999</v>
      </c>
      <c r="U1021" s="7">
        <v>1E-3</v>
      </c>
    </row>
    <row r="1022" spans="1:21" customFormat="1">
      <c r="A1022">
        <v>2</v>
      </c>
      <c r="B1022">
        <v>18</v>
      </c>
      <c r="C1022">
        <v>15</v>
      </c>
      <c r="D1022">
        <v>8</v>
      </c>
      <c r="E1022">
        <v>2020</v>
      </c>
      <c r="F1022">
        <v>13203</v>
      </c>
      <c r="G1022" t="str">
        <f>VLOOKUP(F1022,'[1]Sheet 1'!$B$2:$E$347,2,FALSE)</f>
        <v>Metropolitana de Santiago</v>
      </c>
      <c r="H1022" t="str">
        <f>VLOOKUP(F1022,'[1]Sheet 1'!$B$2:$E$347,3,FALSE)</f>
        <v>Cordillera</v>
      </c>
      <c r="I1022" t="str">
        <f>VLOOKUP(F1022,'[1]Sheet 1'!$B$2:$E$347,4,FALSE)</f>
        <v>San José de Maipo</v>
      </c>
      <c r="J1022" t="s">
        <v>136</v>
      </c>
      <c r="K1022" s="3" t="s">
        <v>0</v>
      </c>
      <c r="L1022" s="12" t="str">
        <f>VLOOKUP(K1022,[2]Hoja4!$A$2:$C$443,2,FALSE)</f>
        <v>Intentional self-harm by hanging, strangulation and suffocation</v>
      </c>
      <c r="M1022" s="12" t="str">
        <f>VLOOKUP(K1022,[2]Hoja4!$A$2:$C$443,3,FALSE)</f>
        <v>Unspecified place</v>
      </c>
      <c r="N1022" s="1">
        <v>-2.8</v>
      </c>
      <c r="O1022" s="1">
        <v>16.5</v>
      </c>
      <c r="P1022" s="1">
        <v>5.5</v>
      </c>
      <c r="Q1022" s="1">
        <v>941.8</v>
      </c>
      <c r="R1022" s="1">
        <v>0</v>
      </c>
      <c r="S1022" s="1">
        <v>79.599999999999994</v>
      </c>
      <c r="T1022" s="8">
        <v>0.12909999999999999</v>
      </c>
      <c r="U1022" s="7">
        <v>1E-3</v>
      </c>
    </row>
    <row r="1023" spans="1:21" customFormat="1">
      <c r="A1023">
        <v>1</v>
      </c>
      <c r="B1023">
        <v>57</v>
      </c>
      <c r="C1023">
        <v>16</v>
      </c>
      <c r="D1023">
        <v>8</v>
      </c>
      <c r="E1023">
        <v>2020</v>
      </c>
      <c r="F1023">
        <v>13107</v>
      </c>
      <c r="G1023" t="str">
        <f>VLOOKUP(F1023,'[1]Sheet 1'!$B$2:$E$347,2,FALSE)</f>
        <v>Metropolitana de Santiago</v>
      </c>
      <c r="H1023" t="str">
        <f>VLOOKUP(F1023,'[1]Sheet 1'!$B$2:$E$347,3,FALSE)</f>
        <v>Santiago</v>
      </c>
      <c r="I1023" t="str">
        <f>VLOOKUP(F1023,'[1]Sheet 1'!$B$2:$E$347,4,FALSE)</f>
        <v>Huechuraba</v>
      </c>
      <c r="J1023" t="s">
        <v>136</v>
      </c>
      <c r="K1023" s="3" t="s">
        <v>0</v>
      </c>
      <c r="L1023" s="12" t="str">
        <f>VLOOKUP(K1023,[2]Hoja4!$A$2:$C$443,2,FALSE)</f>
        <v>Intentional self-harm by hanging, strangulation and suffocation</v>
      </c>
      <c r="M1023" s="12" t="str">
        <f>VLOOKUP(K1023,[2]Hoja4!$A$2:$C$443,3,FALSE)</f>
        <v>Unspecified place</v>
      </c>
      <c r="N1023" s="1">
        <v>-0.8</v>
      </c>
      <c r="O1023" s="1">
        <v>18.3</v>
      </c>
      <c r="P1023" s="1">
        <v>7.4</v>
      </c>
      <c r="Q1023" s="1">
        <v>957.7</v>
      </c>
      <c r="R1023" s="1"/>
      <c r="S1023" s="1">
        <v>71.8</v>
      </c>
      <c r="T1023" s="8">
        <v>0.12909999999999999</v>
      </c>
      <c r="U1023" s="7">
        <v>1E-3</v>
      </c>
    </row>
    <row r="1024" spans="1:21" customFormat="1">
      <c r="A1024">
        <v>1</v>
      </c>
      <c r="B1024">
        <v>53</v>
      </c>
      <c r="C1024">
        <v>16</v>
      </c>
      <c r="D1024">
        <v>8</v>
      </c>
      <c r="E1024">
        <v>2020</v>
      </c>
      <c r="F1024">
        <v>8106</v>
      </c>
      <c r="G1024" t="str">
        <f>VLOOKUP(F1024,'[1]Sheet 1'!$B$2:$E$347,2,FALSE)</f>
        <v>Biobío</v>
      </c>
      <c r="H1024" t="str">
        <f>VLOOKUP(F1024,'[1]Sheet 1'!$B$2:$E$347,3,FALSE)</f>
        <v>Concepción</v>
      </c>
      <c r="I1024" t="str">
        <f>VLOOKUP(F1024,'[1]Sheet 1'!$B$2:$E$347,4,FALSE)</f>
        <v>Lota</v>
      </c>
      <c r="J1024" t="s">
        <v>144</v>
      </c>
      <c r="K1024" s="3" t="s">
        <v>1</v>
      </c>
      <c r="L1024" s="12" t="str">
        <f>VLOOKUP(K1024,[2]Hoja4!$A$2:$C$443,2,FALSE)</f>
        <v>Intentional self-harm by unspecified means</v>
      </c>
      <c r="M1024" s="12" t="str">
        <f>VLOOKUP(K1024,[2]Hoja4!$A$2:$C$443,3,FALSE)</f>
        <v>Unspecified place</v>
      </c>
      <c r="N1024" s="1">
        <v>1.5</v>
      </c>
      <c r="O1024" s="1">
        <v>12.8</v>
      </c>
      <c r="P1024" s="1">
        <v>7.2</v>
      </c>
      <c r="Q1024" s="1">
        <v>1022.3</v>
      </c>
      <c r="R1024" s="1">
        <v>0</v>
      </c>
      <c r="S1024" s="1">
        <v>83.2</v>
      </c>
      <c r="T1024" s="8">
        <v>0.12909999999999999</v>
      </c>
      <c r="U1024" s="7">
        <v>1E-3</v>
      </c>
    </row>
    <row r="1025" spans="1:21" customFormat="1">
      <c r="A1025">
        <v>1</v>
      </c>
      <c r="B1025">
        <v>50</v>
      </c>
      <c r="C1025">
        <v>16</v>
      </c>
      <c r="D1025">
        <v>8</v>
      </c>
      <c r="E1025">
        <v>2020</v>
      </c>
      <c r="F1025">
        <v>8207</v>
      </c>
      <c r="G1025" t="str">
        <f>VLOOKUP(F1025,'[1]Sheet 1'!$B$2:$E$347,2,FALSE)</f>
        <v>Biobío</v>
      </c>
      <c r="H1025" t="str">
        <f>VLOOKUP(F1025,'[1]Sheet 1'!$B$2:$E$347,3,FALSE)</f>
        <v>Arauco</v>
      </c>
      <c r="I1025" t="str">
        <f>VLOOKUP(F1025,'[1]Sheet 1'!$B$2:$E$347,4,FALSE)</f>
        <v>Tirúa</v>
      </c>
      <c r="J1025" t="s">
        <v>136</v>
      </c>
      <c r="K1025" s="3" t="s">
        <v>0</v>
      </c>
      <c r="L1025" s="12" t="str">
        <f>VLOOKUP(K1025,[2]Hoja4!$A$2:$C$443,2,FALSE)</f>
        <v>Intentional self-harm by hanging, strangulation and suffocation</v>
      </c>
      <c r="M1025" s="12" t="str">
        <f>VLOOKUP(K1025,[2]Hoja4!$A$2:$C$443,3,FALSE)</f>
        <v>Unspecified place</v>
      </c>
      <c r="N1025" s="1">
        <v>1.5</v>
      </c>
      <c r="O1025" s="1">
        <v>12.8</v>
      </c>
      <c r="P1025" s="1">
        <v>7.2</v>
      </c>
      <c r="Q1025" s="1">
        <v>1022.3</v>
      </c>
      <c r="R1025" s="1">
        <v>0</v>
      </c>
      <c r="S1025" s="1">
        <v>83.2</v>
      </c>
      <c r="T1025" s="8">
        <v>0.12909999999999999</v>
      </c>
      <c r="U1025" s="7">
        <v>1E-3</v>
      </c>
    </row>
    <row r="1026" spans="1:21" customFormat="1">
      <c r="A1026">
        <v>1</v>
      </c>
      <c r="B1026">
        <v>27</v>
      </c>
      <c r="C1026">
        <v>16</v>
      </c>
      <c r="D1026">
        <v>8</v>
      </c>
      <c r="E1026">
        <v>2020</v>
      </c>
      <c r="F1026">
        <v>2201</v>
      </c>
      <c r="G1026" t="str">
        <f>VLOOKUP(F1026,'[1]Sheet 1'!$B$2:$E$347,2,FALSE)</f>
        <v>Antofagasta</v>
      </c>
      <c r="H1026" t="str">
        <f>VLOOKUP(F1026,'[1]Sheet 1'!$B$2:$E$347,3,FALSE)</f>
        <v>El Loa</v>
      </c>
      <c r="I1026" t="str">
        <f>VLOOKUP(F1026,'[1]Sheet 1'!$B$2:$E$347,4,FALSE)</f>
        <v>Calama</v>
      </c>
      <c r="J1026" t="s">
        <v>136</v>
      </c>
      <c r="K1026" s="3" t="s">
        <v>0</v>
      </c>
      <c r="L1026" s="12" t="str">
        <f>VLOOKUP(K1026,[2]Hoja4!$A$2:$C$443,2,FALSE)</f>
        <v>Intentional self-harm by hanging, strangulation and suffocation</v>
      </c>
      <c r="M1026" s="12" t="str">
        <f>VLOOKUP(K1026,[2]Hoja4!$A$2:$C$443,3,FALSE)</f>
        <v>Unspecified place</v>
      </c>
      <c r="N1026" s="1">
        <v>-2.1</v>
      </c>
      <c r="O1026" s="1">
        <v>19.600000000000001</v>
      </c>
      <c r="P1026" s="1">
        <v>9.6</v>
      </c>
      <c r="Q1026" s="1">
        <v>771.5</v>
      </c>
      <c r="R1026" s="1">
        <v>0</v>
      </c>
      <c r="S1026" s="1">
        <v>19.2</v>
      </c>
      <c r="T1026" s="8">
        <v>0.12909999999999999</v>
      </c>
      <c r="U1026" s="7">
        <v>1E-3</v>
      </c>
    </row>
    <row r="1027" spans="1:21" customFormat="1">
      <c r="A1027">
        <v>1</v>
      </c>
      <c r="B1027">
        <v>59</v>
      </c>
      <c r="C1027">
        <v>17</v>
      </c>
      <c r="D1027">
        <v>8</v>
      </c>
      <c r="E1027">
        <v>2020</v>
      </c>
      <c r="F1027">
        <v>13122</v>
      </c>
      <c r="G1027" t="str">
        <f>VLOOKUP(F1027,'[1]Sheet 1'!$B$2:$E$347,2,FALSE)</f>
        <v>Metropolitana de Santiago</v>
      </c>
      <c r="H1027" t="str">
        <f>VLOOKUP(F1027,'[1]Sheet 1'!$B$2:$E$347,3,FALSE)</f>
        <v>Santiago</v>
      </c>
      <c r="I1027" t="str">
        <f>VLOOKUP(F1027,'[1]Sheet 1'!$B$2:$E$347,4,FALSE)</f>
        <v>Peñalolén</v>
      </c>
      <c r="J1027" t="s">
        <v>136</v>
      </c>
      <c r="K1027" s="3" t="s">
        <v>0</v>
      </c>
      <c r="L1027" s="12" t="str">
        <f>VLOOKUP(K1027,[2]Hoja4!$A$2:$C$443,2,FALSE)</f>
        <v>Intentional self-harm by hanging, strangulation and suffocation</v>
      </c>
      <c r="M1027" s="12" t="str">
        <f>VLOOKUP(K1027,[2]Hoja4!$A$2:$C$443,3,FALSE)</f>
        <v>Unspecified place</v>
      </c>
      <c r="N1027" s="1">
        <v>-0.2</v>
      </c>
      <c r="O1027" s="1">
        <v>18.2</v>
      </c>
      <c r="P1027" s="1">
        <v>7.8</v>
      </c>
      <c r="Q1027" s="1">
        <v>957.2</v>
      </c>
      <c r="R1027" s="1"/>
      <c r="S1027" s="1">
        <v>70.2</v>
      </c>
      <c r="T1027" s="8">
        <v>0.12909999999999999</v>
      </c>
      <c r="U1027" s="7">
        <v>1E-3</v>
      </c>
    </row>
    <row r="1028" spans="1:21" customFormat="1">
      <c r="A1028">
        <v>1</v>
      </c>
      <c r="B1028">
        <v>44</v>
      </c>
      <c r="C1028">
        <v>17</v>
      </c>
      <c r="D1028">
        <v>8</v>
      </c>
      <c r="E1028">
        <v>2020</v>
      </c>
      <c r="F1028">
        <v>13118</v>
      </c>
      <c r="G1028" t="str">
        <f>VLOOKUP(F1028,'[1]Sheet 1'!$B$2:$E$347,2,FALSE)</f>
        <v>Metropolitana de Santiago</v>
      </c>
      <c r="H1028" t="str">
        <f>VLOOKUP(F1028,'[1]Sheet 1'!$B$2:$E$347,3,FALSE)</f>
        <v>Santiago</v>
      </c>
      <c r="I1028" t="str">
        <f>VLOOKUP(F1028,'[1]Sheet 1'!$B$2:$E$347,4,FALSE)</f>
        <v>Macul</v>
      </c>
      <c r="J1028" t="s">
        <v>136</v>
      </c>
      <c r="K1028" s="3" t="s">
        <v>0</v>
      </c>
      <c r="L1028" s="12" t="str">
        <f>VLOOKUP(K1028,[2]Hoja4!$A$2:$C$443,2,FALSE)</f>
        <v>Intentional self-harm by hanging, strangulation and suffocation</v>
      </c>
      <c r="M1028" s="12" t="str">
        <f>VLOOKUP(K1028,[2]Hoja4!$A$2:$C$443,3,FALSE)</f>
        <v>Unspecified place</v>
      </c>
      <c r="N1028" s="1">
        <v>-0.2</v>
      </c>
      <c r="O1028" s="1">
        <v>18.2</v>
      </c>
      <c r="P1028" s="1">
        <v>7.8</v>
      </c>
      <c r="Q1028" s="1">
        <v>957.2</v>
      </c>
      <c r="R1028" s="1"/>
      <c r="S1028" s="1">
        <v>70.2</v>
      </c>
      <c r="T1028" s="8">
        <v>0.12909999999999999</v>
      </c>
      <c r="U1028" s="7">
        <v>1E-3</v>
      </c>
    </row>
    <row r="1029" spans="1:21" customFormat="1">
      <c r="A1029">
        <v>1</v>
      </c>
      <c r="B1029">
        <v>39</v>
      </c>
      <c r="C1029">
        <v>17</v>
      </c>
      <c r="D1029">
        <v>8</v>
      </c>
      <c r="E1029">
        <v>2020</v>
      </c>
      <c r="F1029">
        <v>13131</v>
      </c>
      <c r="G1029" t="str">
        <f>VLOOKUP(F1029,'[1]Sheet 1'!$B$2:$E$347,2,FALSE)</f>
        <v>Metropolitana de Santiago</v>
      </c>
      <c r="H1029" t="str">
        <f>VLOOKUP(F1029,'[1]Sheet 1'!$B$2:$E$347,3,FALSE)</f>
        <v>Santiago</v>
      </c>
      <c r="I1029" t="str">
        <f>VLOOKUP(F1029,'[1]Sheet 1'!$B$2:$E$347,4,FALSE)</f>
        <v>San Ramón</v>
      </c>
      <c r="J1029" t="s">
        <v>136</v>
      </c>
      <c r="K1029" s="3" t="s">
        <v>4</v>
      </c>
      <c r="L1029" s="12" t="str">
        <f>VLOOKUP(K1029,[2]Hoja4!$A$2:$C$443,2,FALSE)</f>
        <v>Intentional self-harm by hanging, strangulation and suffocation</v>
      </c>
      <c r="M1029" s="12" t="str">
        <f>VLOOKUP(K1029,[2]Hoja4!$A$2:$C$443,3,FALSE)</f>
        <v>At home</v>
      </c>
      <c r="N1029" s="1">
        <v>-0.2</v>
      </c>
      <c r="O1029" s="1">
        <v>18.2</v>
      </c>
      <c r="P1029" s="1">
        <v>7.8</v>
      </c>
      <c r="Q1029" s="1">
        <v>957.2</v>
      </c>
      <c r="R1029" s="1"/>
      <c r="S1029" s="1">
        <v>70.2</v>
      </c>
      <c r="T1029" s="8">
        <v>0.12909999999999999</v>
      </c>
      <c r="U1029" s="7">
        <v>1E-3</v>
      </c>
    </row>
    <row r="1030" spans="1:21" customFormat="1">
      <c r="A1030">
        <v>1</v>
      </c>
      <c r="B1030">
        <v>32</v>
      </c>
      <c r="C1030">
        <v>17</v>
      </c>
      <c r="D1030">
        <v>8</v>
      </c>
      <c r="E1030">
        <v>2020</v>
      </c>
      <c r="F1030">
        <v>8301</v>
      </c>
      <c r="G1030" t="str">
        <f>VLOOKUP(F1030,'[1]Sheet 1'!$B$2:$E$347,2,FALSE)</f>
        <v>Biobío</v>
      </c>
      <c r="H1030" t="str">
        <f>VLOOKUP(F1030,'[1]Sheet 1'!$B$2:$E$347,3,FALSE)</f>
        <v>Biobío</v>
      </c>
      <c r="I1030" t="str">
        <f>VLOOKUP(F1030,'[1]Sheet 1'!$B$2:$E$347,4,FALSE)</f>
        <v>Los Angeles</v>
      </c>
      <c r="J1030" t="s">
        <v>142</v>
      </c>
      <c r="K1030" s="3" t="s">
        <v>24</v>
      </c>
      <c r="L1030" s="12" t="str">
        <f>VLOOKUP(K1030,[2]Hoja4!$A$2:$C$443,2,FALSE)</f>
        <v>Intentional self-harm by other and unspecified firearm discharge</v>
      </c>
      <c r="M1030" s="12" t="str">
        <f>VLOOKUP(K1030,[2]Hoja4!$A$2:$C$443,3,FALSE)</f>
        <v>Industrial and construction area</v>
      </c>
      <c r="N1030" s="1">
        <v>2</v>
      </c>
      <c r="O1030" s="1">
        <v>16.399999999999999</v>
      </c>
      <c r="P1030" s="1">
        <v>9.1999999999999993</v>
      </c>
      <c r="Q1030" s="1">
        <v>1007.1</v>
      </c>
      <c r="R1030" s="1">
        <v>0</v>
      </c>
      <c r="S1030" s="1">
        <v>86.5</v>
      </c>
      <c r="T1030" s="8">
        <v>0.12909999999999999</v>
      </c>
      <c r="U1030" s="7">
        <v>1E-3</v>
      </c>
    </row>
    <row r="1031" spans="1:21" customFormat="1">
      <c r="A1031">
        <v>1</v>
      </c>
      <c r="B1031">
        <v>60</v>
      </c>
      <c r="C1031">
        <v>17</v>
      </c>
      <c r="D1031">
        <v>8</v>
      </c>
      <c r="E1031">
        <v>2020</v>
      </c>
      <c r="F1031">
        <v>15101</v>
      </c>
      <c r="G1031" t="str">
        <f>VLOOKUP(F1031,'[1]Sheet 1'!$B$2:$E$347,2,FALSE)</f>
        <v>Arica y Parinacota</v>
      </c>
      <c r="H1031" t="str">
        <f>VLOOKUP(F1031,'[1]Sheet 1'!$B$2:$E$347,3,FALSE)</f>
        <v>Arica</v>
      </c>
      <c r="I1031" t="str">
        <f>VLOOKUP(F1031,'[1]Sheet 1'!$B$2:$E$347,4,FALSE)</f>
        <v>Arica</v>
      </c>
      <c r="J1031" t="s">
        <v>136</v>
      </c>
      <c r="K1031" s="3" t="s">
        <v>4</v>
      </c>
      <c r="L1031" s="12" t="str">
        <f>VLOOKUP(K1031,[2]Hoja4!$A$2:$C$443,2,FALSE)</f>
        <v>Intentional self-harm by hanging, strangulation and suffocation</v>
      </c>
      <c r="M1031" s="12" t="str">
        <f>VLOOKUP(K1031,[2]Hoja4!$A$2:$C$443,3,FALSE)</f>
        <v>At home</v>
      </c>
      <c r="N1031" s="1">
        <v>15.6</v>
      </c>
      <c r="O1031" s="1">
        <v>17.899999999999999</v>
      </c>
      <c r="P1031" s="1">
        <v>16.8</v>
      </c>
      <c r="Q1031" s="1">
        <v>1012.5</v>
      </c>
      <c r="R1031" s="1">
        <v>0</v>
      </c>
      <c r="S1031" s="1">
        <v>72.3</v>
      </c>
      <c r="T1031" s="8">
        <v>0.12909999999999999</v>
      </c>
      <c r="U1031" s="7">
        <v>1E-3</v>
      </c>
    </row>
    <row r="1032" spans="1:21" customFormat="1">
      <c r="A1032">
        <v>1</v>
      </c>
      <c r="B1032">
        <v>98</v>
      </c>
      <c r="C1032">
        <v>18</v>
      </c>
      <c r="D1032">
        <v>8</v>
      </c>
      <c r="E1032">
        <v>2020</v>
      </c>
      <c r="F1032">
        <v>5701</v>
      </c>
      <c r="G1032" t="str">
        <f>VLOOKUP(F1032,'[1]Sheet 1'!$B$2:$E$347,2,FALSE)</f>
        <v>Valparaíso</v>
      </c>
      <c r="H1032" t="str">
        <f>VLOOKUP(F1032,'[1]Sheet 1'!$B$2:$E$347,3,FALSE)</f>
        <v>San Felipe de Aconcagua</v>
      </c>
      <c r="I1032" t="str">
        <f>VLOOKUP(F1032,'[1]Sheet 1'!$B$2:$E$347,4,FALSE)</f>
        <v>San Felipe</v>
      </c>
      <c r="J1032" t="s">
        <v>136</v>
      </c>
      <c r="K1032" s="3" t="s">
        <v>4</v>
      </c>
      <c r="L1032" s="12" t="str">
        <f>VLOOKUP(K1032,[2]Hoja4!$A$2:$C$443,2,FALSE)</f>
        <v>Intentional self-harm by hanging, strangulation and suffocation</v>
      </c>
      <c r="M1032" s="12" t="str">
        <f>VLOOKUP(K1032,[2]Hoja4!$A$2:$C$443,3,FALSE)</f>
        <v>At home</v>
      </c>
      <c r="N1032" s="1">
        <v>-0.8</v>
      </c>
      <c r="O1032" s="1">
        <v>14.7</v>
      </c>
      <c r="P1032" s="1">
        <v>6.7</v>
      </c>
      <c r="Q1032" s="1">
        <v>943.8</v>
      </c>
      <c r="R1032" s="1">
        <v>0</v>
      </c>
      <c r="S1032" s="1">
        <v>81.900000000000006</v>
      </c>
      <c r="T1032" s="8">
        <v>0.12909999999999999</v>
      </c>
      <c r="U1032" s="7">
        <v>1E-3</v>
      </c>
    </row>
    <row r="1033" spans="1:21" customFormat="1">
      <c r="A1033">
        <v>1</v>
      </c>
      <c r="B1033">
        <v>66</v>
      </c>
      <c r="C1033">
        <v>18</v>
      </c>
      <c r="D1033">
        <v>8</v>
      </c>
      <c r="E1033">
        <v>2020</v>
      </c>
      <c r="F1033">
        <v>14101</v>
      </c>
      <c r="G1033" t="str">
        <f>VLOOKUP(F1033,'[1]Sheet 1'!$B$2:$E$347,2,FALSE)</f>
        <v>Los Ríos</v>
      </c>
      <c r="H1033" t="str">
        <f>VLOOKUP(F1033,'[1]Sheet 1'!$B$2:$E$347,3,FALSE)</f>
        <v>Valdivia</v>
      </c>
      <c r="I1033" t="str">
        <f>VLOOKUP(F1033,'[1]Sheet 1'!$B$2:$E$347,4,FALSE)</f>
        <v>Valdivia</v>
      </c>
      <c r="J1033" t="s">
        <v>136</v>
      </c>
      <c r="K1033" s="3" t="s">
        <v>0</v>
      </c>
      <c r="L1033" s="12" t="str">
        <f>VLOOKUP(K1033,[2]Hoja4!$A$2:$C$443,2,FALSE)</f>
        <v>Intentional self-harm by hanging, strangulation and suffocation</v>
      </c>
      <c r="M1033" s="12" t="str">
        <f>VLOOKUP(K1033,[2]Hoja4!$A$2:$C$443,3,FALSE)</f>
        <v>Unspecified place</v>
      </c>
      <c r="N1033" s="1">
        <v>2.4</v>
      </c>
      <c r="O1033" s="1">
        <v>11.1</v>
      </c>
      <c r="P1033" s="1">
        <v>6.9</v>
      </c>
      <c r="Q1033" s="1">
        <v>1021.4</v>
      </c>
      <c r="R1033" s="1">
        <v>0.4</v>
      </c>
      <c r="S1033" s="1">
        <v>94.5</v>
      </c>
      <c r="T1033" s="8">
        <v>0.12909999999999999</v>
      </c>
      <c r="U1033" s="7">
        <v>1E-3</v>
      </c>
    </row>
    <row r="1034" spans="1:21" customFormat="1">
      <c r="A1034">
        <v>1</v>
      </c>
      <c r="B1034">
        <v>45</v>
      </c>
      <c r="C1034">
        <v>18</v>
      </c>
      <c r="D1034">
        <v>8</v>
      </c>
      <c r="E1034">
        <v>2020</v>
      </c>
      <c r="F1034">
        <v>13104</v>
      </c>
      <c r="G1034" t="str">
        <f>VLOOKUP(F1034,'[1]Sheet 1'!$B$2:$E$347,2,FALSE)</f>
        <v>Metropolitana de Santiago</v>
      </c>
      <c r="H1034" t="str">
        <f>VLOOKUP(F1034,'[1]Sheet 1'!$B$2:$E$347,3,FALSE)</f>
        <v>Santiago</v>
      </c>
      <c r="I1034" t="str">
        <f>VLOOKUP(F1034,'[1]Sheet 1'!$B$2:$E$347,4,FALSE)</f>
        <v>Conchalí</v>
      </c>
      <c r="J1034" t="s">
        <v>136</v>
      </c>
      <c r="K1034" s="3" t="s">
        <v>0</v>
      </c>
      <c r="L1034" s="12" t="str">
        <f>VLOOKUP(K1034,[2]Hoja4!$A$2:$C$443,2,FALSE)</f>
        <v>Intentional self-harm by hanging, strangulation and suffocation</v>
      </c>
      <c r="M1034" s="12" t="str">
        <f>VLOOKUP(K1034,[2]Hoja4!$A$2:$C$443,3,FALSE)</f>
        <v>Unspecified place</v>
      </c>
      <c r="N1034" s="1">
        <v>1.2</v>
      </c>
      <c r="O1034" s="1">
        <v>11.7</v>
      </c>
      <c r="P1034" s="1">
        <v>6.9</v>
      </c>
      <c r="Q1034" s="1">
        <v>961</v>
      </c>
      <c r="R1034" s="1"/>
      <c r="S1034" s="1">
        <v>84.8</v>
      </c>
      <c r="T1034" s="8">
        <v>0.12909999999999999</v>
      </c>
      <c r="U1034" s="7">
        <v>1E-3</v>
      </c>
    </row>
    <row r="1035" spans="1:21" customFormat="1">
      <c r="A1035">
        <v>1</v>
      </c>
      <c r="B1035">
        <v>83</v>
      </c>
      <c r="C1035">
        <v>19</v>
      </c>
      <c r="D1035">
        <v>8</v>
      </c>
      <c r="E1035">
        <v>2020</v>
      </c>
      <c r="F1035">
        <v>8107</v>
      </c>
      <c r="G1035" t="str">
        <f>VLOOKUP(F1035,'[1]Sheet 1'!$B$2:$E$347,2,FALSE)</f>
        <v>Biobío</v>
      </c>
      <c r="H1035" t="str">
        <f>VLOOKUP(F1035,'[1]Sheet 1'!$B$2:$E$347,3,FALSE)</f>
        <v>Concepción</v>
      </c>
      <c r="I1035" t="str">
        <f>VLOOKUP(F1035,'[1]Sheet 1'!$B$2:$E$347,4,FALSE)</f>
        <v>Penco</v>
      </c>
      <c r="J1035" t="s">
        <v>136</v>
      </c>
      <c r="K1035" s="3" t="s">
        <v>0</v>
      </c>
      <c r="L1035" s="12" t="str">
        <f>VLOOKUP(K1035,[2]Hoja4!$A$2:$C$443,2,FALSE)</f>
        <v>Intentional self-harm by hanging, strangulation and suffocation</v>
      </c>
      <c r="M1035" s="12" t="str">
        <f>VLOOKUP(K1035,[2]Hoja4!$A$2:$C$443,3,FALSE)</f>
        <v>Unspecified place</v>
      </c>
      <c r="N1035" s="1">
        <v>1.9</v>
      </c>
      <c r="O1035" s="1">
        <v>14.6</v>
      </c>
      <c r="P1035" s="1">
        <v>8.8000000000000007</v>
      </c>
      <c r="Q1035" s="1">
        <v>1026.5999999999999</v>
      </c>
      <c r="R1035" s="1">
        <v>0</v>
      </c>
      <c r="S1035" s="1">
        <v>62</v>
      </c>
      <c r="T1035" s="8">
        <v>0.12909999999999999</v>
      </c>
      <c r="U1035" s="7">
        <v>1E-3</v>
      </c>
    </row>
    <row r="1036" spans="1:21" customFormat="1">
      <c r="A1036">
        <v>2</v>
      </c>
      <c r="B1036">
        <v>47</v>
      </c>
      <c r="C1036">
        <v>19</v>
      </c>
      <c r="D1036">
        <v>8</v>
      </c>
      <c r="E1036">
        <v>2020</v>
      </c>
      <c r="F1036">
        <v>13124</v>
      </c>
      <c r="G1036" t="str">
        <f>VLOOKUP(F1036,'[1]Sheet 1'!$B$2:$E$347,2,FALSE)</f>
        <v>Metropolitana de Santiago</v>
      </c>
      <c r="H1036" t="str">
        <f>VLOOKUP(F1036,'[1]Sheet 1'!$B$2:$E$347,3,FALSE)</f>
        <v>Santiago</v>
      </c>
      <c r="I1036" t="str">
        <f>VLOOKUP(F1036,'[1]Sheet 1'!$B$2:$E$347,4,FALSE)</f>
        <v>Pudahuel</v>
      </c>
      <c r="J1036" t="s">
        <v>136</v>
      </c>
      <c r="K1036" s="3" t="s">
        <v>0</v>
      </c>
      <c r="L1036" s="12" t="str">
        <f>VLOOKUP(K1036,[2]Hoja4!$A$2:$C$443,2,FALSE)</f>
        <v>Intentional self-harm by hanging, strangulation and suffocation</v>
      </c>
      <c r="M1036" s="12" t="str">
        <f>VLOOKUP(K1036,[2]Hoja4!$A$2:$C$443,3,FALSE)</f>
        <v>Unspecified place</v>
      </c>
      <c r="N1036" s="1">
        <v>6.8</v>
      </c>
      <c r="O1036" s="1">
        <v>17.100000000000001</v>
      </c>
      <c r="P1036" s="1">
        <v>10</v>
      </c>
      <c r="Q1036" s="1">
        <v>961.5</v>
      </c>
      <c r="R1036" s="1"/>
      <c r="S1036" s="1">
        <v>73</v>
      </c>
      <c r="T1036" s="8">
        <v>0.12909999999999999</v>
      </c>
      <c r="U1036" s="7">
        <v>1E-3</v>
      </c>
    </row>
    <row r="1037" spans="1:21" customFormat="1">
      <c r="A1037">
        <v>1</v>
      </c>
      <c r="B1037">
        <v>68</v>
      </c>
      <c r="C1037">
        <v>20</v>
      </c>
      <c r="D1037">
        <v>8</v>
      </c>
      <c r="E1037">
        <v>2020</v>
      </c>
      <c r="F1037">
        <v>9207</v>
      </c>
      <c r="G1037" t="str">
        <f>VLOOKUP(F1037,'[1]Sheet 1'!$B$2:$E$347,2,FALSE)</f>
        <v>La Araucanía</v>
      </c>
      <c r="H1037" t="str">
        <f>VLOOKUP(F1037,'[1]Sheet 1'!$B$2:$E$347,3,FALSE)</f>
        <v>Malleco</v>
      </c>
      <c r="I1037" t="str">
        <f>VLOOKUP(F1037,'[1]Sheet 1'!$B$2:$E$347,4,FALSE)</f>
        <v>Lumaco</v>
      </c>
      <c r="J1037" t="s">
        <v>136</v>
      </c>
      <c r="K1037" s="3" t="s">
        <v>4</v>
      </c>
      <c r="L1037" s="12" t="str">
        <f>VLOOKUP(K1037,[2]Hoja4!$A$2:$C$443,2,FALSE)</f>
        <v>Intentional self-harm by hanging, strangulation and suffocation</v>
      </c>
      <c r="M1037" s="12" t="str">
        <f>VLOOKUP(K1037,[2]Hoja4!$A$2:$C$443,3,FALSE)</f>
        <v>At home</v>
      </c>
      <c r="N1037" s="1">
        <v>6.3</v>
      </c>
      <c r="O1037" s="1">
        <v>19.8</v>
      </c>
      <c r="P1037" s="1">
        <v>11.6</v>
      </c>
      <c r="Q1037" s="1">
        <v>502</v>
      </c>
      <c r="R1037" s="1">
        <v>0</v>
      </c>
      <c r="S1037" s="1">
        <v>48.8</v>
      </c>
      <c r="T1037" s="8">
        <v>0.12909999999999999</v>
      </c>
      <c r="U1037" s="7">
        <v>1E-3</v>
      </c>
    </row>
    <row r="1038" spans="1:21" customFormat="1">
      <c r="A1038">
        <v>1</v>
      </c>
      <c r="B1038">
        <v>30</v>
      </c>
      <c r="C1038">
        <v>20</v>
      </c>
      <c r="D1038">
        <v>8</v>
      </c>
      <c r="E1038">
        <v>2020</v>
      </c>
      <c r="F1038">
        <v>4102</v>
      </c>
      <c r="G1038" t="str">
        <f>VLOOKUP(F1038,'[1]Sheet 1'!$B$2:$E$347,2,FALSE)</f>
        <v>Coquimbo</v>
      </c>
      <c r="H1038" t="str">
        <f>VLOOKUP(F1038,'[1]Sheet 1'!$B$2:$E$347,3,FALSE)</f>
        <v>Elqui</v>
      </c>
      <c r="I1038" t="str">
        <f>VLOOKUP(F1038,'[1]Sheet 1'!$B$2:$E$347,4,FALSE)</f>
        <v>Coquimbo</v>
      </c>
      <c r="J1038" t="s">
        <v>136</v>
      </c>
      <c r="K1038" s="3" t="s">
        <v>4</v>
      </c>
      <c r="L1038" s="12" t="str">
        <f>VLOOKUP(K1038,[2]Hoja4!$A$2:$C$443,2,FALSE)</f>
        <v>Intentional self-harm by hanging, strangulation and suffocation</v>
      </c>
      <c r="M1038" s="12" t="str">
        <f>VLOOKUP(K1038,[2]Hoja4!$A$2:$C$443,3,FALSE)</f>
        <v>At home</v>
      </c>
      <c r="N1038" s="1">
        <v>6.2</v>
      </c>
      <c r="O1038" s="1">
        <v>13.7</v>
      </c>
      <c r="P1038" s="1">
        <v>10.1</v>
      </c>
      <c r="Q1038" s="1">
        <v>1002.3</v>
      </c>
      <c r="R1038" s="1">
        <v>0</v>
      </c>
      <c r="S1038" s="1">
        <v>86.5</v>
      </c>
      <c r="T1038" s="8">
        <v>0.12909999999999999</v>
      </c>
      <c r="U1038" s="7">
        <v>1E-3</v>
      </c>
    </row>
    <row r="1039" spans="1:21" customFormat="1">
      <c r="A1039">
        <v>1</v>
      </c>
      <c r="B1039">
        <v>31</v>
      </c>
      <c r="C1039">
        <v>20</v>
      </c>
      <c r="D1039">
        <v>8</v>
      </c>
      <c r="E1039">
        <v>2020</v>
      </c>
      <c r="F1039">
        <v>13108</v>
      </c>
      <c r="G1039" t="str">
        <f>VLOOKUP(F1039,'[1]Sheet 1'!$B$2:$E$347,2,FALSE)</f>
        <v>Metropolitana de Santiago</v>
      </c>
      <c r="H1039" t="str">
        <f>VLOOKUP(F1039,'[1]Sheet 1'!$B$2:$E$347,3,FALSE)</f>
        <v>Santiago</v>
      </c>
      <c r="I1039" t="str">
        <f>VLOOKUP(F1039,'[1]Sheet 1'!$B$2:$E$347,4,FALSE)</f>
        <v>Independencia</v>
      </c>
      <c r="J1039" t="s">
        <v>136</v>
      </c>
      <c r="K1039" s="3" t="s">
        <v>0</v>
      </c>
      <c r="L1039" s="12" t="str">
        <f>VLOOKUP(K1039,[2]Hoja4!$A$2:$C$443,2,FALSE)</f>
        <v>Intentional self-harm by hanging, strangulation and suffocation</v>
      </c>
      <c r="M1039" s="12" t="str">
        <f>VLOOKUP(K1039,[2]Hoja4!$A$2:$C$443,3,FALSE)</f>
        <v>Unspecified place</v>
      </c>
      <c r="N1039" s="1">
        <v>1</v>
      </c>
      <c r="O1039" s="1">
        <v>24.3</v>
      </c>
      <c r="P1039" s="1">
        <v>10.1</v>
      </c>
      <c r="Q1039" s="1">
        <v>959.8</v>
      </c>
      <c r="R1039" s="1"/>
      <c r="S1039" s="1">
        <v>65.2</v>
      </c>
      <c r="T1039" s="8">
        <v>0.12909999999999999</v>
      </c>
      <c r="U1039" s="7">
        <v>1E-3</v>
      </c>
    </row>
    <row r="1040" spans="1:21" customFormat="1">
      <c r="A1040">
        <v>1</v>
      </c>
      <c r="B1040">
        <v>54</v>
      </c>
      <c r="C1040">
        <v>21</v>
      </c>
      <c r="D1040">
        <v>8</v>
      </c>
      <c r="E1040">
        <v>2020</v>
      </c>
      <c r="F1040">
        <v>13119</v>
      </c>
      <c r="G1040" t="str">
        <f>VLOOKUP(F1040,'[1]Sheet 1'!$B$2:$E$347,2,FALSE)</f>
        <v>Metropolitana de Santiago</v>
      </c>
      <c r="H1040" t="str">
        <f>VLOOKUP(F1040,'[1]Sheet 1'!$B$2:$E$347,3,FALSE)</f>
        <v>Santiago</v>
      </c>
      <c r="I1040" t="str">
        <f>VLOOKUP(F1040,'[1]Sheet 1'!$B$2:$E$347,4,FALSE)</f>
        <v>Maipú</v>
      </c>
      <c r="J1040" t="s">
        <v>136</v>
      </c>
      <c r="K1040" s="3" t="s">
        <v>4</v>
      </c>
      <c r="L1040" s="12" t="str">
        <f>VLOOKUP(K1040,[2]Hoja4!$A$2:$C$443,2,FALSE)</f>
        <v>Intentional self-harm by hanging, strangulation and suffocation</v>
      </c>
      <c r="M1040" s="12" t="str">
        <f>VLOOKUP(K1040,[2]Hoja4!$A$2:$C$443,3,FALSE)</f>
        <v>At home</v>
      </c>
      <c r="N1040" s="1">
        <v>1.8</v>
      </c>
      <c r="O1040" s="1">
        <v>25.8</v>
      </c>
      <c r="P1040" s="1">
        <v>12</v>
      </c>
      <c r="Q1040" s="1">
        <v>955.7</v>
      </c>
      <c r="R1040" s="1"/>
      <c r="S1040" s="1">
        <v>60.5</v>
      </c>
      <c r="T1040" s="8">
        <v>0.12909999999999999</v>
      </c>
      <c r="U1040" s="7">
        <v>1E-3</v>
      </c>
    </row>
    <row r="1041" spans="1:21" customFormat="1">
      <c r="A1041">
        <v>1</v>
      </c>
      <c r="B1041">
        <v>49</v>
      </c>
      <c r="C1041">
        <v>22</v>
      </c>
      <c r="D1041">
        <v>8</v>
      </c>
      <c r="E1041">
        <v>2020</v>
      </c>
      <c r="F1041">
        <v>8309</v>
      </c>
      <c r="G1041" t="str">
        <f>VLOOKUP(F1041,'[1]Sheet 1'!$B$2:$E$347,2,FALSE)</f>
        <v>Biobío</v>
      </c>
      <c r="H1041" t="str">
        <f>VLOOKUP(F1041,'[1]Sheet 1'!$B$2:$E$347,3,FALSE)</f>
        <v>Biobío</v>
      </c>
      <c r="I1041" t="str">
        <f>VLOOKUP(F1041,'[1]Sheet 1'!$B$2:$E$347,4,FALSE)</f>
        <v>Quilleco</v>
      </c>
      <c r="J1041" t="s">
        <v>136</v>
      </c>
      <c r="K1041" s="3" t="s">
        <v>4</v>
      </c>
      <c r="L1041" s="12" t="str">
        <f>VLOOKUP(K1041,[2]Hoja4!$A$2:$C$443,2,FALSE)</f>
        <v>Intentional self-harm by hanging, strangulation and suffocation</v>
      </c>
      <c r="M1041" s="12" t="str">
        <f>VLOOKUP(K1041,[2]Hoja4!$A$2:$C$443,3,FALSE)</f>
        <v>At home</v>
      </c>
      <c r="N1041" s="1">
        <v>0</v>
      </c>
      <c r="O1041" s="1">
        <v>21.7</v>
      </c>
      <c r="P1041" s="1">
        <v>10.9</v>
      </c>
      <c r="Q1041" s="1">
        <v>998.4</v>
      </c>
      <c r="R1041" s="1">
        <v>0</v>
      </c>
      <c r="S1041" s="1">
        <v>85.2</v>
      </c>
      <c r="T1041" s="8">
        <v>0.12909999999999999</v>
      </c>
      <c r="U1041" s="7">
        <v>1E-3</v>
      </c>
    </row>
    <row r="1042" spans="1:21" customFormat="1">
      <c r="A1042">
        <v>1</v>
      </c>
      <c r="B1042">
        <v>64</v>
      </c>
      <c r="C1042">
        <v>24</v>
      </c>
      <c r="D1042">
        <v>8</v>
      </c>
      <c r="E1042">
        <v>2020</v>
      </c>
      <c r="F1042">
        <v>13130</v>
      </c>
      <c r="G1042" t="str">
        <f>VLOOKUP(F1042,'[1]Sheet 1'!$B$2:$E$347,2,FALSE)</f>
        <v>Metropolitana de Santiago</v>
      </c>
      <c r="H1042" t="str">
        <f>VLOOKUP(F1042,'[1]Sheet 1'!$B$2:$E$347,3,FALSE)</f>
        <v>Santiago</v>
      </c>
      <c r="I1042" t="str">
        <f>VLOOKUP(F1042,'[1]Sheet 1'!$B$2:$E$347,4,FALSE)</f>
        <v>San Miguel</v>
      </c>
      <c r="J1042" t="s">
        <v>136</v>
      </c>
      <c r="K1042" s="3" t="s">
        <v>0</v>
      </c>
      <c r="L1042" s="12" t="str">
        <f>VLOOKUP(K1042,[2]Hoja4!$A$2:$C$443,2,FALSE)</f>
        <v>Intentional self-harm by hanging, strangulation and suffocation</v>
      </c>
      <c r="M1042" s="12" t="str">
        <f>VLOOKUP(K1042,[2]Hoja4!$A$2:$C$443,3,FALSE)</f>
        <v>Unspecified place</v>
      </c>
      <c r="N1042" s="1">
        <v>7.8</v>
      </c>
      <c r="O1042" s="1">
        <v>19.5</v>
      </c>
      <c r="P1042" s="1">
        <v>11.7</v>
      </c>
      <c r="Q1042" s="1">
        <v>952.7</v>
      </c>
      <c r="R1042" s="1"/>
      <c r="S1042" s="1">
        <v>64.8</v>
      </c>
      <c r="T1042" s="8">
        <v>0.12909999999999999</v>
      </c>
      <c r="U1042" s="7">
        <v>1E-3</v>
      </c>
    </row>
    <row r="1043" spans="1:21" customFormat="1">
      <c r="A1043">
        <v>1</v>
      </c>
      <c r="B1043">
        <v>64</v>
      </c>
      <c r="C1043">
        <v>24</v>
      </c>
      <c r="D1043">
        <v>8</v>
      </c>
      <c r="E1043">
        <v>2020</v>
      </c>
      <c r="F1043">
        <v>6101</v>
      </c>
      <c r="G1043" t="str">
        <f>VLOOKUP(F1043,'[1]Sheet 1'!$B$2:$E$347,2,FALSE)</f>
        <v>Libertador General Bernardo O'Higgins</v>
      </c>
      <c r="H1043" t="str">
        <f>VLOOKUP(F1043,'[1]Sheet 1'!$B$2:$E$347,3,FALSE)</f>
        <v>Cachapoal</v>
      </c>
      <c r="I1043" t="str">
        <f>VLOOKUP(F1043,'[1]Sheet 1'!$B$2:$E$347,4,FALSE)</f>
        <v>Rancagua</v>
      </c>
      <c r="J1043" t="s">
        <v>136</v>
      </c>
      <c r="K1043" s="3" t="s">
        <v>0</v>
      </c>
      <c r="L1043" s="12" t="str">
        <f>VLOOKUP(K1043,[2]Hoja4!$A$2:$C$443,2,FALSE)</f>
        <v>Intentional self-harm by hanging, strangulation and suffocation</v>
      </c>
      <c r="M1043" s="12" t="str">
        <f>VLOOKUP(K1043,[2]Hoja4!$A$2:$C$443,3,FALSE)</f>
        <v>Unspecified place</v>
      </c>
      <c r="N1043" s="1">
        <v>5.0999999999999996</v>
      </c>
      <c r="O1043" s="1">
        <v>19.100000000000001</v>
      </c>
      <c r="P1043" s="1">
        <v>10.7</v>
      </c>
      <c r="Q1043" s="1">
        <v>955.9</v>
      </c>
      <c r="R1043" s="1">
        <v>0</v>
      </c>
      <c r="S1043" s="1">
        <v>67.599999999999994</v>
      </c>
      <c r="T1043" s="8">
        <v>0.12909999999999999</v>
      </c>
      <c r="U1043" s="7">
        <v>1E-3</v>
      </c>
    </row>
    <row r="1044" spans="1:21" customFormat="1">
      <c r="A1044">
        <v>1</v>
      </c>
      <c r="B1044">
        <v>40</v>
      </c>
      <c r="C1044">
        <v>24</v>
      </c>
      <c r="D1044">
        <v>8</v>
      </c>
      <c r="E1044">
        <v>2020</v>
      </c>
      <c r="F1044">
        <v>6115</v>
      </c>
      <c r="G1044" t="str">
        <f>VLOOKUP(F1044,'[1]Sheet 1'!$B$2:$E$347,2,FALSE)</f>
        <v>Libertador General Bernardo O'Higgins</v>
      </c>
      <c r="H1044" t="str">
        <f>VLOOKUP(F1044,'[1]Sheet 1'!$B$2:$E$347,3,FALSE)</f>
        <v>Cachapoal</v>
      </c>
      <c r="I1044" t="str">
        <f>VLOOKUP(F1044,'[1]Sheet 1'!$B$2:$E$347,4,FALSE)</f>
        <v>Rengo</v>
      </c>
      <c r="J1044" t="s">
        <v>136</v>
      </c>
      <c r="K1044" s="3" t="s">
        <v>0</v>
      </c>
      <c r="L1044" s="12" t="str">
        <f>VLOOKUP(K1044,[2]Hoja4!$A$2:$C$443,2,FALSE)</f>
        <v>Intentional self-harm by hanging, strangulation and suffocation</v>
      </c>
      <c r="M1044" s="12" t="str">
        <f>VLOOKUP(K1044,[2]Hoja4!$A$2:$C$443,3,FALSE)</f>
        <v>Unspecified place</v>
      </c>
      <c r="N1044" s="1">
        <v>5.0999999999999996</v>
      </c>
      <c r="O1044" s="1">
        <v>19.100000000000001</v>
      </c>
      <c r="P1044" s="1">
        <v>10.7</v>
      </c>
      <c r="Q1044" s="1">
        <v>955.9</v>
      </c>
      <c r="R1044" s="1">
        <v>0</v>
      </c>
      <c r="S1044" s="1">
        <v>67.599999999999994</v>
      </c>
      <c r="T1044" s="8">
        <v>0.12909999999999999</v>
      </c>
      <c r="U1044" s="7">
        <v>1E-3</v>
      </c>
    </row>
    <row r="1045" spans="1:21" customFormat="1">
      <c r="A1045">
        <v>1</v>
      </c>
      <c r="B1045">
        <v>55</v>
      </c>
      <c r="C1045">
        <v>25</v>
      </c>
      <c r="D1045">
        <v>8</v>
      </c>
      <c r="E1045">
        <v>2020</v>
      </c>
      <c r="F1045">
        <v>1101</v>
      </c>
      <c r="G1045" t="str">
        <f>VLOOKUP(F1045,'[1]Sheet 1'!$B$2:$E$347,2,FALSE)</f>
        <v>Tarapacá</v>
      </c>
      <c r="H1045" t="str">
        <f>VLOOKUP(F1045,'[1]Sheet 1'!$B$2:$E$347,3,FALSE)</f>
        <v>Iquique</v>
      </c>
      <c r="I1045" t="str">
        <f>VLOOKUP(F1045,'[1]Sheet 1'!$B$2:$E$347,4,FALSE)</f>
        <v>Iquique</v>
      </c>
      <c r="J1045" t="s">
        <v>136</v>
      </c>
      <c r="K1045" s="3" t="s">
        <v>4</v>
      </c>
      <c r="L1045" s="12" t="str">
        <f>VLOOKUP(K1045,[2]Hoja4!$A$2:$C$443,2,FALSE)</f>
        <v>Intentional self-harm by hanging, strangulation and suffocation</v>
      </c>
      <c r="M1045" s="12" t="str">
        <f>VLOOKUP(K1045,[2]Hoja4!$A$2:$C$443,3,FALSE)</f>
        <v>At home</v>
      </c>
      <c r="N1045" s="1">
        <v>14.5</v>
      </c>
      <c r="O1045" s="1">
        <v>17.899999999999999</v>
      </c>
      <c r="P1045" s="1">
        <v>15.8</v>
      </c>
      <c r="Q1045" s="1">
        <v>1014.3</v>
      </c>
      <c r="R1045" s="1">
        <v>0</v>
      </c>
      <c r="S1045" s="1">
        <v>78.8</v>
      </c>
      <c r="T1045" s="8">
        <v>0.12909999999999999</v>
      </c>
      <c r="U1045" s="7">
        <v>1E-3</v>
      </c>
    </row>
    <row r="1046" spans="1:21" customFormat="1">
      <c r="A1046">
        <v>1</v>
      </c>
      <c r="B1046">
        <v>55</v>
      </c>
      <c r="C1046">
        <v>25</v>
      </c>
      <c r="D1046">
        <v>8</v>
      </c>
      <c r="E1046">
        <v>2020</v>
      </c>
      <c r="F1046">
        <v>13125</v>
      </c>
      <c r="G1046" t="str">
        <f>VLOOKUP(F1046,'[1]Sheet 1'!$B$2:$E$347,2,FALSE)</f>
        <v>Metropolitana de Santiago</v>
      </c>
      <c r="H1046" t="str">
        <f>VLOOKUP(F1046,'[1]Sheet 1'!$B$2:$E$347,3,FALSE)</f>
        <v>Santiago</v>
      </c>
      <c r="I1046" t="str">
        <f>VLOOKUP(F1046,'[1]Sheet 1'!$B$2:$E$347,4,FALSE)</f>
        <v>Quilicura</v>
      </c>
      <c r="J1046" t="s">
        <v>136</v>
      </c>
      <c r="K1046" s="3" t="s">
        <v>0</v>
      </c>
      <c r="L1046" s="12" t="str">
        <f>VLOOKUP(K1046,[2]Hoja4!$A$2:$C$443,2,FALSE)</f>
        <v>Intentional self-harm by hanging, strangulation and suffocation</v>
      </c>
      <c r="M1046" s="12" t="str">
        <f>VLOOKUP(K1046,[2]Hoja4!$A$2:$C$443,3,FALSE)</f>
        <v>Unspecified place</v>
      </c>
      <c r="N1046" s="1">
        <v>4</v>
      </c>
      <c r="O1046" s="1">
        <v>16.3</v>
      </c>
      <c r="P1046" s="1">
        <v>9.4</v>
      </c>
      <c r="Q1046" s="1">
        <v>955.8</v>
      </c>
      <c r="R1046" s="1"/>
      <c r="S1046" s="1">
        <v>83.2</v>
      </c>
      <c r="T1046" s="8">
        <v>0.12909999999999999</v>
      </c>
      <c r="U1046" s="7">
        <v>1E-3</v>
      </c>
    </row>
    <row r="1047" spans="1:21" customFormat="1">
      <c r="A1047">
        <v>1</v>
      </c>
      <c r="B1047">
        <v>53</v>
      </c>
      <c r="C1047">
        <v>25</v>
      </c>
      <c r="D1047">
        <v>8</v>
      </c>
      <c r="E1047">
        <v>2020</v>
      </c>
      <c r="F1047">
        <v>16102</v>
      </c>
      <c r="G1047" t="str">
        <f>VLOOKUP(F1047,'[1]Sheet 1'!$B$2:$E$347,2,FALSE)</f>
        <v>Ñuble</v>
      </c>
      <c r="H1047" t="str">
        <f>VLOOKUP(F1047,'[1]Sheet 1'!$B$2:$E$347,3,FALSE)</f>
        <v>Diguillín</v>
      </c>
      <c r="I1047" t="str">
        <f>VLOOKUP(F1047,'[1]Sheet 1'!$B$2:$E$347,4,FALSE)</f>
        <v>Bulnes</v>
      </c>
      <c r="J1047" t="s">
        <v>136</v>
      </c>
      <c r="K1047" s="3" t="s">
        <v>4</v>
      </c>
      <c r="L1047" s="12" t="str">
        <f>VLOOKUP(K1047,[2]Hoja4!$A$2:$C$443,2,FALSE)</f>
        <v>Intentional self-harm by hanging, strangulation and suffocation</v>
      </c>
      <c r="M1047" s="12" t="str">
        <f>VLOOKUP(K1047,[2]Hoja4!$A$2:$C$443,3,FALSE)</f>
        <v>At home</v>
      </c>
      <c r="N1047" s="1">
        <v>9.4</v>
      </c>
      <c r="O1047" s="1">
        <v>12.3</v>
      </c>
      <c r="P1047" s="1">
        <v>10.199999999999999</v>
      </c>
      <c r="Q1047" s="1">
        <v>997.1</v>
      </c>
      <c r="R1047" s="1">
        <v>10</v>
      </c>
      <c r="S1047" s="1">
        <v>90</v>
      </c>
      <c r="T1047" s="8">
        <v>0.12909999999999999</v>
      </c>
      <c r="U1047" s="7">
        <v>1E-3</v>
      </c>
    </row>
    <row r="1048" spans="1:21" customFormat="1">
      <c r="A1048">
        <v>1</v>
      </c>
      <c r="B1048">
        <v>17</v>
      </c>
      <c r="C1048">
        <v>25</v>
      </c>
      <c r="D1048">
        <v>8</v>
      </c>
      <c r="E1048">
        <v>2020</v>
      </c>
      <c r="F1048">
        <v>8102</v>
      </c>
      <c r="G1048" t="str">
        <f>VLOOKUP(F1048,'[1]Sheet 1'!$B$2:$E$347,2,FALSE)</f>
        <v>Biobío</v>
      </c>
      <c r="H1048" t="str">
        <f>VLOOKUP(F1048,'[1]Sheet 1'!$B$2:$E$347,3,FALSE)</f>
        <v>Concepción</v>
      </c>
      <c r="I1048" t="str">
        <f>VLOOKUP(F1048,'[1]Sheet 1'!$B$2:$E$347,4,FALSE)</f>
        <v>Coronel</v>
      </c>
      <c r="J1048" t="s">
        <v>136</v>
      </c>
      <c r="K1048" s="3" t="s">
        <v>4</v>
      </c>
      <c r="L1048" s="12" t="str">
        <f>VLOOKUP(K1048,[2]Hoja4!$A$2:$C$443,2,FALSE)</f>
        <v>Intentional self-harm by hanging, strangulation and suffocation</v>
      </c>
      <c r="M1048" s="12" t="str">
        <f>VLOOKUP(K1048,[2]Hoja4!$A$2:$C$443,3,FALSE)</f>
        <v>At home</v>
      </c>
      <c r="N1048" s="1">
        <v>10.7</v>
      </c>
      <c r="O1048" s="1">
        <v>14.5</v>
      </c>
      <c r="P1048" s="1">
        <v>12.1</v>
      </c>
      <c r="Q1048" s="1">
        <v>1012.5</v>
      </c>
      <c r="R1048" s="1">
        <v>10.6</v>
      </c>
      <c r="S1048" s="1">
        <v>77.8</v>
      </c>
      <c r="T1048" s="8">
        <v>0.12909999999999999</v>
      </c>
      <c r="U1048" s="7">
        <v>1E-3</v>
      </c>
    </row>
    <row r="1049" spans="1:21" customFormat="1">
      <c r="A1049">
        <v>1</v>
      </c>
      <c r="B1049">
        <v>26</v>
      </c>
      <c r="C1049">
        <v>25</v>
      </c>
      <c r="D1049">
        <v>8</v>
      </c>
      <c r="E1049">
        <v>2020</v>
      </c>
      <c r="F1049">
        <v>9101</v>
      </c>
      <c r="G1049" t="str">
        <f>VLOOKUP(F1049,'[1]Sheet 1'!$B$2:$E$347,2,FALSE)</f>
        <v>La Araucanía</v>
      </c>
      <c r="H1049" t="str">
        <f>VLOOKUP(F1049,'[1]Sheet 1'!$B$2:$E$347,3,FALSE)</f>
        <v>Cautín</v>
      </c>
      <c r="I1049" t="str">
        <f>VLOOKUP(F1049,'[1]Sheet 1'!$B$2:$E$347,4,FALSE)</f>
        <v>Temuco</v>
      </c>
      <c r="J1049" t="s">
        <v>136</v>
      </c>
      <c r="K1049" s="3" t="s">
        <v>4</v>
      </c>
      <c r="L1049" s="12" t="str">
        <f>VLOOKUP(K1049,[2]Hoja4!$A$2:$C$443,2,FALSE)</f>
        <v>Intentional self-harm by hanging, strangulation and suffocation</v>
      </c>
      <c r="M1049" s="12" t="str">
        <f>VLOOKUP(K1049,[2]Hoja4!$A$2:$C$443,3,FALSE)</f>
        <v>At home</v>
      </c>
      <c r="N1049" s="1">
        <v>9.6999999999999993</v>
      </c>
      <c r="O1049" s="1">
        <v>14.2</v>
      </c>
      <c r="P1049" s="1">
        <v>11.9</v>
      </c>
      <c r="Q1049" s="1">
        <v>1002.4</v>
      </c>
      <c r="R1049" s="1">
        <v>0.4</v>
      </c>
      <c r="S1049" s="1">
        <v>71.5</v>
      </c>
      <c r="T1049" s="8">
        <v>0.12909999999999999</v>
      </c>
      <c r="U1049" s="7">
        <v>1E-3</v>
      </c>
    </row>
    <row r="1050" spans="1:21" customFormat="1">
      <c r="A1050">
        <v>1</v>
      </c>
      <c r="B1050">
        <v>53</v>
      </c>
      <c r="C1050">
        <v>26</v>
      </c>
      <c r="D1050">
        <v>8</v>
      </c>
      <c r="E1050">
        <v>2020</v>
      </c>
      <c r="F1050">
        <v>7103</v>
      </c>
      <c r="G1050" t="str">
        <f>VLOOKUP(F1050,'[1]Sheet 1'!$B$2:$E$347,2,FALSE)</f>
        <v>Maule</v>
      </c>
      <c r="H1050" t="str">
        <f>VLOOKUP(F1050,'[1]Sheet 1'!$B$2:$E$347,3,FALSE)</f>
        <v>Talca</v>
      </c>
      <c r="I1050" t="str">
        <f>VLOOKUP(F1050,'[1]Sheet 1'!$B$2:$E$347,4,FALSE)</f>
        <v>Curepto</v>
      </c>
      <c r="J1050" t="s">
        <v>136</v>
      </c>
      <c r="K1050" s="3" t="s">
        <v>0</v>
      </c>
      <c r="L1050" s="12" t="str">
        <f>VLOOKUP(K1050,[2]Hoja4!$A$2:$C$443,2,FALSE)</f>
        <v>Intentional self-harm by hanging, strangulation and suffocation</v>
      </c>
      <c r="M1050" s="12" t="str">
        <f>VLOOKUP(K1050,[2]Hoja4!$A$2:$C$443,3,FALSE)</f>
        <v>Unspecified place</v>
      </c>
      <c r="N1050" s="1">
        <v>8.5</v>
      </c>
      <c r="O1050" s="1">
        <v>13.8</v>
      </c>
      <c r="P1050" s="1">
        <v>10.3</v>
      </c>
      <c r="Q1050" s="1">
        <v>1007.8</v>
      </c>
      <c r="R1050" s="1">
        <v>0</v>
      </c>
      <c r="S1050" s="1">
        <v>89.1</v>
      </c>
      <c r="T1050" s="8">
        <v>0.12909999999999999</v>
      </c>
      <c r="U1050" s="7">
        <v>1E-3</v>
      </c>
    </row>
    <row r="1051" spans="1:21" customFormat="1">
      <c r="A1051">
        <v>1</v>
      </c>
      <c r="B1051">
        <v>39</v>
      </c>
      <c r="C1051">
        <v>26</v>
      </c>
      <c r="D1051">
        <v>8</v>
      </c>
      <c r="E1051">
        <v>2020</v>
      </c>
      <c r="F1051">
        <v>15101</v>
      </c>
      <c r="G1051" t="str">
        <f>VLOOKUP(F1051,'[1]Sheet 1'!$B$2:$E$347,2,FALSE)</f>
        <v>Arica y Parinacota</v>
      </c>
      <c r="H1051" t="str">
        <f>VLOOKUP(F1051,'[1]Sheet 1'!$B$2:$E$347,3,FALSE)</f>
        <v>Arica</v>
      </c>
      <c r="I1051" t="str">
        <f>VLOOKUP(F1051,'[1]Sheet 1'!$B$2:$E$347,4,FALSE)</f>
        <v>Arica</v>
      </c>
      <c r="J1051" t="s">
        <v>136</v>
      </c>
      <c r="K1051" s="3" t="s">
        <v>0</v>
      </c>
      <c r="L1051" s="12" t="str">
        <f>VLOOKUP(K1051,[2]Hoja4!$A$2:$C$443,2,FALSE)</f>
        <v>Intentional self-harm by hanging, strangulation and suffocation</v>
      </c>
      <c r="M1051" s="12" t="str">
        <f>VLOOKUP(K1051,[2]Hoja4!$A$2:$C$443,3,FALSE)</f>
        <v>Unspecified place</v>
      </c>
      <c r="N1051" s="1">
        <v>15.1</v>
      </c>
      <c r="O1051" s="1">
        <v>18.8</v>
      </c>
      <c r="P1051" s="1">
        <v>16.899999999999999</v>
      </c>
      <c r="Q1051" s="1">
        <v>1011.6</v>
      </c>
      <c r="R1051" s="1">
        <v>0</v>
      </c>
      <c r="S1051" s="1">
        <v>74.099999999999994</v>
      </c>
      <c r="T1051" s="8">
        <v>0.12909999999999999</v>
      </c>
      <c r="U1051" s="7">
        <v>1E-3</v>
      </c>
    </row>
    <row r="1052" spans="1:21" customFormat="1">
      <c r="A1052">
        <v>1</v>
      </c>
      <c r="B1052">
        <v>35</v>
      </c>
      <c r="C1052">
        <v>26</v>
      </c>
      <c r="D1052">
        <v>8</v>
      </c>
      <c r="E1052">
        <v>2020</v>
      </c>
      <c r="F1052">
        <v>8101</v>
      </c>
      <c r="G1052" t="str">
        <f>VLOOKUP(F1052,'[1]Sheet 1'!$B$2:$E$347,2,FALSE)</f>
        <v>Biobío</v>
      </c>
      <c r="H1052" t="str">
        <f>VLOOKUP(F1052,'[1]Sheet 1'!$B$2:$E$347,3,FALSE)</f>
        <v>Concepción</v>
      </c>
      <c r="I1052" t="str">
        <f>VLOOKUP(F1052,'[1]Sheet 1'!$B$2:$E$347,4,FALSE)</f>
        <v>Concepción</v>
      </c>
      <c r="J1052" t="s">
        <v>136</v>
      </c>
      <c r="K1052" s="3" t="s">
        <v>4</v>
      </c>
      <c r="L1052" s="12" t="str">
        <f>VLOOKUP(K1052,[2]Hoja4!$A$2:$C$443,2,FALSE)</f>
        <v>Intentional self-harm by hanging, strangulation and suffocation</v>
      </c>
      <c r="M1052" s="12" t="str">
        <f>VLOOKUP(K1052,[2]Hoja4!$A$2:$C$443,3,FALSE)</f>
        <v>At home</v>
      </c>
      <c r="N1052" s="1">
        <v>9.8000000000000007</v>
      </c>
      <c r="O1052" s="1">
        <v>13.7</v>
      </c>
      <c r="P1052" s="1">
        <v>11.6</v>
      </c>
      <c r="Q1052" s="1">
        <v>1017.9</v>
      </c>
      <c r="R1052" s="1">
        <v>1.8</v>
      </c>
      <c r="S1052" s="1">
        <v>86.8</v>
      </c>
      <c r="T1052" s="8">
        <v>0.12909999999999999</v>
      </c>
      <c r="U1052" s="7">
        <v>1E-3</v>
      </c>
    </row>
    <row r="1053" spans="1:21" customFormat="1">
      <c r="A1053">
        <v>1</v>
      </c>
      <c r="B1053">
        <v>25</v>
      </c>
      <c r="C1053">
        <v>26</v>
      </c>
      <c r="D1053">
        <v>8</v>
      </c>
      <c r="E1053">
        <v>2020</v>
      </c>
      <c r="F1053">
        <v>4301</v>
      </c>
      <c r="G1053" t="str">
        <f>VLOOKUP(F1053,'[1]Sheet 1'!$B$2:$E$347,2,FALSE)</f>
        <v>Coquimbo</v>
      </c>
      <c r="H1053" t="str">
        <f>VLOOKUP(F1053,'[1]Sheet 1'!$B$2:$E$347,3,FALSE)</f>
        <v>Limarí</v>
      </c>
      <c r="I1053" t="str">
        <f>VLOOKUP(F1053,'[1]Sheet 1'!$B$2:$E$347,4,FALSE)</f>
        <v>Ovalle</v>
      </c>
      <c r="J1053" t="s">
        <v>136</v>
      </c>
      <c r="K1053" s="3" t="s">
        <v>4</v>
      </c>
      <c r="L1053" s="12" t="str">
        <f>VLOOKUP(K1053,[2]Hoja4!$A$2:$C$443,2,FALSE)</f>
        <v>Intentional self-harm by hanging, strangulation and suffocation</v>
      </c>
      <c r="M1053" s="12" t="str">
        <f>VLOOKUP(K1053,[2]Hoja4!$A$2:$C$443,3,FALSE)</f>
        <v>At home</v>
      </c>
      <c r="N1053" s="1"/>
      <c r="O1053" s="1"/>
      <c r="P1053" s="1"/>
      <c r="Q1053" s="1"/>
      <c r="R1053" s="1"/>
      <c r="S1053" s="1"/>
      <c r="T1053" s="8">
        <v>0.12909999999999999</v>
      </c>
      <c r="U1053" s="7">
        <v>1E-3</v>
      </c>
    </row>
    <row r="1054" spans="1:21" customFormat="1">
      <c r="A1054">
        <v>1</v>
      </c>
      <c r="B1054">
        <v>55</v>
      </c>
      <c r="C1054">
        <v>27</v>
      </c>
      <c r="D1054">
        <v>8</v>
      </c>
      <c r="E1054">
        <v>2020</v>
      </c>
      <c r="F1054">
        <v>3101</v>
      </c>
      <c r="G1054" t="str">
        <f>VLOOKUP(F1054,'[1]Sheet 1'!$B$2:$E$347,2,FALSE)</f>
        <v>Atacama</v>
      </c>
      <c r="H1054" t="str">
        <f>VLOOKUP(F1054,'[1]Sheet 1'!$B$2:$E$347,3,FALSE)</f>
        <v>Copiapó</v>
      </c>
      <c r="I1054" t="str">
        <f>VLOOKUP(F1054,'[1]Sheet 1'!$B$2:$E$347,4,FALSE)</f>
        <v>Copiapó</v>
      </c>
      <c r="J1054" t="s">
        <v>136</v>
      </c>
      <c r="K1054" s="3" t="s">
        <v>17</v>
      </c>
      <c r="L1054" s="12" t="str">
        <f>VLOOKUP(K1054,[2]Hoja4!$A$2:$C$443,2,FALSE)</f>
        <v>Intentional self-harm by hanging, strangulation and suffocation</v>
      </c>
      <c r="M1054" s="12" t="str">
        <f>VLOOKUP(K1054,[2]Hoja4!$A$2:$C$443,3,FALSE)</f>
        <v>Industrial and construction area</v>
      </c>
      <c r="N1054" s="1">
        <v>10.7</v>
      </c>
      <c r="O1054" s="1">
        <v>17.100000000000001</v>
      </c>
      <c r="P1054" s="1">
        <v>12.8</v>
      </c>
      <c r="Q1054" s="1">
        <v>997.6</v>
      </c>
      <c r="R1054" s="1">
        <v>0</v>
      </c>
      <c r="S1054" s="1">
        <v>68.8</v>
      </c>
      <c r="T1054" s="8">
        <v>0.12909999999999999</v>
      </c>
      <c r="U1054" s="7">
        <v>1E-3</v>
      </c>
    </row>
    <row r="1055" spans="1:21" customFormat="1">
      <c r="A1055">
        <v>1</v>
      </c>
      <c r="B1055">
        <v>38</v>
      </c>
      <c r="C1055">
        <v>27</v>
      </c>
      <c r="D1055">
        <v>8</v>
      </c>
      <c r="E1055">
        <v>2020</v>
      </c>
      <c r="F1055">
        <v>13501</v>
      </c>
      <c r="G1055" t="str">
        <f>VLOOKUP(F1055,'[1]Sheet 1'!$B$2:$E$347,2,FALSE)</f>
        <v>Metropolitana de Santiago</v>
      </c>
      <c r="H1055" t="str">
        <f>VLOOKUP(F1055,'[1]Sheet 1'!$B$2:$E$347,3,FALSE)</f>
        <v>Melipilla</v>
      </c>
      <c r="I1055" t="str">
        <f>VLOOKUP(F1055,'[1]Sheet 1'!$B$2:$E$347,4,FALSE)</f>
        <v>Melipilla</v>
      </c>
      <c r="J1055" t="s">
        <v>136</v>
      </c>
      <c r="K1055" s="3" t="s">
        <v>4</v>
      </c>
      <c r="L1055" s="12" t="str">
        <f>VLOOKUP(K1055,[2]Hoja4!$A$2:$C$443,2,FALSE)</f>
        <v>Intentional self-harm by hanging, strangulation and suffocation</v>
      </c>
      <c r="M1055" s="12" t="str">
        <f>VLOOKUP(K1055,[2]Hoja4!$A$2:$C$443,3,FALSE)</f>
        <v>At home</v>
      </c>
      <c r="N1055" s="1">
        <v>1.6</v>
      </c>
      <c r="O1055" s="1">
        <v>15.1</v>
      </c>
      <c r="P1055" s="1">
        <v>8</v>
      </c>
      <c r="Q1055" s="1">
        <v>1022.3</v>
      </c>
      <c r="R1055" s="1">
        <v>0</v>
      </c>
      <c r="S1055" s="1">
        <v>70.2</v>
      </c>
      <c r="T1055" s="8">
        <v>0.12909999999999999</v>
      </c>
      <c r="U1055" s="7">
        <v>1E-3</v>
      </c>
    </row>
    <row r="1056" spans="1:21" customFormat="1">
      <c r="A1056">
        <v>1</v>
      </c>
      <c r="B1056">
        <v>41</v>
      </c>
      <c r="C1056">
        <v>27</v>
      </c>
      <c r="D1056">
        <v>8</v>
      </c>
      <c r="E1056">
        <v>2020</v>
      </c>
      <c r="F1056">
        <v>13119</v>
      </c>
      <c r="G1056" t="str">
        <f>VLOOKUP(F1056,'[1]Sheet 1'!$B$2:$E$347,2,FALSE)</f>
        <v>Metropolitana de Santiago</v>
      </c>
      <c r="H1056" t="str">
        <f>VLOOKUP(F1056,'[1]Sheet 1'!$B$2:$E$347,3,FALSE)</f>
        <v>Santiago</v>
      </c>
      <c r="I1056" t="str">
        <f>VLOOKUP(F1056,'[1]Sheet 1'!$B$2:$E$347,4,FALSE)</f>
        <v>Maipú</v>
      </c>
      <c r="J1056" t="s">
        <v>136</v>
      </c>
      <c r="K1056" s="3" t="s">
        <v>0</v>
      </c>
      <c r="L1056" s="12" t="str">
        <f>VLOOKUP(K1056,[2]Hoja4!$A$2:$C$443,2,FALSE)</f>
        <v>Intentional self-harm by hanging, strangulation and suffocation</v>
      </c>
      <c r="M1056" s="12" t="str">
        <f>VLOOKUP(K1056,[2]Hoja4!$A$2:$C$443,3,FALSE)</f>
        <v>Unspecified place</v>
      </c>
      <c r="N1056" s="1">
        <v>1.2</v>
      </c>
      <c r="O1056" s="1">
        <v>16.100000000000001</v>
      </c>
      <c r="P1056" s="1">
        <v>8.4</v>
      </c>
      <c r="Q1056" s="1">
        <v>959.6</v>
      </c>
      <c r="R1056" s="1"/>
      <c r="S1056" s="1">
        <v>82</v>
      </c>
      <c r="T1056" s="8">
        <v>0.12909999999999999</v>
      </c>
      <c r="U1056" s="7">
        <v>1E-3</v>
      </c>
    </row>
    <row r="1057" spans="1:21" customFormat="1">
      <c r="A1057">
        <v>1</v>
      </c>
      <c r="B1057">
        <v>28</v>
      </c>
      <c r="C1057">
        <v>27</v>
      </c>
      <c r="D1057">
        <v>8</v>
      </c>
      <c r="E1057">
        <v>2020</v>
      </c>
      <c r="F1057">
        <v>7301</v>
      </c>
      <c r="G1057" t="str">
        <f>VLOOKUP(F1057,'[1]Sheet 1'!$B$2:$E$347,2,FALSE)</f>
        <v>Maule</v>
      </c>
      <c r="H1057" t="str">
        <f>VLOOKUP(F1057,'[1]Sheet 1'!$B$2:$E$347,3,FALSE)</f>
        <v>Curicó</v>
      </c>
      <c r="I1057" t="str">
        <f>VLOOKUP(F1057,'[1]Sheet 1'!$B$2:$E$347,4,FALSE)</f>
        <v>Curicó</v>
      </c>
      <c r="J1057" t="s">
        <v>136</v>
      </c>
      <c r="K1057" s="3" t="s">
        <v>4</v>
      </c>
      <c r="L1057" s="12" t="str">
        <f>VLOOKUP(K1057,[2]Hoja4!$A$2:$C$443,2,FALSE)</f>
        <v>Intentional self-harm by hanging, strangulation and suffocation</v>
      </c>
      <c r="M1057" s="12" t="str">
        <f>VLOOKUP(K1057,[2]Hoja4!$A$2:$C$443,3,FALSE)</f>
        <v>At home</v>
      </c>
      <c r="N1057" s="1">
        <v>2.7</v>
      </c>
      <c r="O1057" s="1">
        <v>15.5</v>
      </c>
      <c r="P1057" s="1">
        <v>8.4</v>
      </c>
      <c r="Q1057" s="1">
        <v>994.1</v>
      </c>
      <c r="R1057" s="1">
        <v>0</v>
      </c>
      <c r="S1057" s="1">
        <v>87.8</v>
      </c>
      <c r="T1057" s="8">
        <v>0.12909999999999999</v>
      </c>
      <c r="U1057" s="7">
        <v>1E-3</v>
      </c>
    </row>
    <row r="1058" spans="1:21" customFormat="1">
      <c r="A1058">
        <v>1</v>
      </c>
      <c r="B1058">
        <v>23</v>
      </c>
      <c r="C1058">
        <v>27</v>
      </c>
      <c r="D1058">
        <v>8</v>
      </c>
      <c r="E1058">
        <v>2020</v>
      </c>
      <c r="F1058">
        <v>5302</v>
      </c>
      <c r="G1058" t="str">
        <f>VLOOKUP(F1058,'[1]Sheet 1'!$B$2:$E$347,2,FALSE)</f>
        <v>Valparaíso</v>
      </c>
      <c r="H1058" t="str">
        <f>VLOOKUP(F1058,'[1]Sheet 1'!$B$2:$E$347,3,FALSE)</f>
        <v>Los Andes</v>
      </c>
      <c r="I1058" t="str">
        <f>VLOOKUP(F1058,'[1]Sheet 1'!$B$2:$E$347,4,FALSE)</f>
        <v>Calle Larga</v>
      </c>
      <c r="J1058" t="s">
        <v>136</v>
      </c>
      <c r="K1058" s="3" t="s">
        <v>0</v>
      </c>
      <c r="L1058" s="12" t="str">
        <f>VLOOKUP(K1058,[2]Hoja4!$A$2:$C$443,2,FALSE)</f>
        <v>Intentional self-harm by hanging, strangulation and suffocation</v>
      </c>
      <c r="M1058" s="12" t="str">
        <f>VLOOKUP(K1058,[2]Hoja4!$A$2:$C$443,3,FALSE)</f>
        <v>Unspecified place</v>
      </c>
      <c r="N1058" s="1">
        <v>1.2</v>
      </c>
      <c r="O1058" s="1">
        <v>19.100000000000001</v>
      </c>
      <c r="P1058" s="1">
        <v>8.8000000000000007</v>
      </c>
      <c r="Q1058" s="1">
        <v>930.1</v>
      </c>
      <c r="R1058" s="1">
        <v>0</v>
      </c>
      <c r="S1058" s="1">
        <v>72.099999999999994</v>
      </c>
      <c r="T1058" s="8">
        <v>0.12909999999999999</v>
      </c>
      <c r="U1058" s="7">
        <v>1E-3</v>
      </c>
    </row>
    <row r="1059" spans="1:21" customFormat="1">
      <c r="A1059">
        <v>1</v>
      </c>
      <c r="B1059">
        <v>26</v>
      </c>
      <c r="C1059">
        <v>27</v>
      </c>
      <c r="D1059">
        <v>8</v>
      </c>
      <c r="E1059">
        <v>2020</v>
      </c>
      <c r="F1059">
        <v>7301</v>
      </c>
      <c r="G1059" t="str">
        <f>VLOOKUP(F1059,'[1]Sheet 1'!$B$2:$E$347,2,FALSE)</f>
        <v>Maule</v>
      </c>
      <c r="H1059" t="str">
        <f>VLOOKUP(F1059,'[1]Sheet 1'!$B$2:$E$347,3,FALSE)</f>
        <v>Curicó</v>
      </c>
      <c r="I1059" t="str">
        <f>VLOOKUP(F1059,'[1]Sheet 1'!$B$2:$E$347,4,FALSE)</f>
        <v>Curicó</v>
      </c>
      <c r="J1059" t="s">
        <v>136</v>
      </c>
      <c r="K1059" s="3" t="s">
        <v>4</v>
      </c>
      <c r="L1059" s="12" t="str">
        <f>VLOOKUP(K1059,[2]Hoja4!$A$2:$C$443,2,FALSE)</f>
        <v>Intentional self-harm by hanging, strangulation and suffocation</v>
      </c>
      <c r="M1059" s="12" t="str">
        <f>VLOOKUP(K1059,[2]Hoja4!$A$2:$C$443,3,FALSE)</f>
        <v>At home</v>
      </c>
      <c r="N1059" s="1">
        <v>2.7</v>
      </c>
      <c r="O1059" s="1">
        <v>15.5</v>
      </c>
      <c r="P1059" s="1">
        <v>8.4</v>
      </c>
      <c r="Q1059" s="1">
        <v>994.1</v>
      </c>
      <c r="R1059" s="1">
        <v>0</v>
      </c>
      <c r="S1059" s="1">
        <v>87.8</v>
      </c>
      <c r="T1059" s="8">
        <v>0.12909999999999999</v>
      </c>
      <c r="U1059" s="7">
        <v>1E-3</v>
      </c>
    </row>
    <row r="1060" spans="1:21" customFormat="1">
      <c r="A1060">
        <v>1</v>
      </c>
      <c r="B1060">
        <v>40</v>
      </c>
      <c r="C1060">
        <v>28</v>
      </c>
      <c r="D1060">
        <v>8</v>
      </c>
      <c r="E1060">
        <v>2020</v>
      </c>
      <c r="F1060">
        <v>3102</v>
      </c>
      <c r="G1060" t="str">
        <f>VLOOKUP(F1060,'[1]Sheet 1'!$B$2:$E$347,2,FALSE)</f>
        <v>Atacama</v>
      </c>
      <c r="H1060" t="str">
        <f>VLOOKUP(F1060,'[1]Sheet 1'!$B$2:$E$347,3,FALSE)</f>
        <v>Copiapó</v>
      </c>
      <c r="I1060" t="str">
        <f>VLOOKUP(F1060,'[1]Sheet 1'!$B$2:$E$347,4,FALSE)</f>
        <v>Caldera</v>
      </c>
      <c r="J1060" t="s">
        <v>136</v>
      </c>
      <c r="K1060" s="3" t="s">
        <v>0</v>
      </c>
      <c r="L1060" s="12" t="str">
        <f>VLOOKUP(K1060,[2]Hoja4!$A$2:$C$443,2,FALSE)</f>
        <v>Intentional self-harm by hanging, strangulation and suffocation</v>
      </c>
      <c r="M1060" s="12" t="str">
        <f>VLOOKUP(K1060,[2]Hoja4!$A$2:$C$443,3,FALSE)</f>
        <v>Unspecified place</v>
      </c>
      <c r="N1060" s="1">
        <v>6.2</v>
      </c>
      <c r="O1060" s="1">
        <v>16.899999999999999</v>
      </c>
      <c r="P1060" s="1">
        <v>11.9</v>
      </c>
      <c r="Q1060" s="1">
        <v>997.8</v>
      </c>
      <c r="R1060" s="1">
        <v>0</v>
      </c>
      <c r="S1060" s="1">
        <v>78.2</v>
      </c>
      <c r="T1060" s="8">
        <v>0.12909999999999999</v>
      </c>
      <c r="U1060" s="7">
        <v>1E-3</v>
      </c>
    </row>
    <row r="1061" spans="1:21" customFormat="1">
      <c r="A1061">
        <v>1</v>
      </c>
      <c r="B1061">
        <v>64</v>
      </c>
      <c r="C1061">
        <v>29</v>
      </c>
      <c r="D1061">
        <v>8</v>
      </c>
      <c r="E1061">
        <v>2020</v>
      </c>
      <c r="F1061">
        <v>14107</v>
      </c>
      <c r="G1061" t="str">
        <f>VLOOKUP(F1061,'[1]Sheet 1'!$B$2:$E$347,2,FALSE)</f>
        <v>Los Ríos</v>
      </c>
      <c r="H1061" t="str">
        <f>VLOOKUP(F1061,'[1]Sheet 1'!$B$2:$E$347,3,FALSE)</f>
        <v>Valdivia</v>
      </c>
      <c r="I1061" t="str">
        <f>VLOOKUP(F1061,'[1]Sheet 1'!$B$2:$E$347,4,FALSE)</f>
        <v>Paillaco</v>
      </c>
      <c r="J1061" t="s">
        <v>136</v>
      </c>
      <c r="K1061" s="3" t="s">
        <v>0</v>
      </c>
      <c r="L1061" s="12" t="str">
        <f>VLOOKUP(K1061,[2]Hoja4!$A$2:$C$443,2,FALSE)</f>
        <v>Intentional self-harm by hanging, strangulation and suffocation</v>
      </c>
      <c r="M1061" s="12" t="str">
        <f>VLOOKUP(K1061,[2]Hoja4!$A$2:$C$443,3,FALSE)</f>
        <v>Unspecified place</v>
      </c>
      <c r="N1061" s="1">
        <v>-2.7</v>
      </c>
      <c r="O1061" s="1">
        <v>10.8</v>
      </c>
      <c r="P1061" s="1">
        <v>2</v>
      </c>
      <c r="Q1061" s="1">
        <v>1028.2</v>
      </c>
      <c r="R1061" s="1">
        <v>0.2</v>
      </c>
      <c r="S1061" s="1">
        <v>89.8</v>
      </c>
      <c r="T1061" s="8">
        <v>0.12909999999999999</v>
      </c>
      <c r="U1061" s="7">
        <v>1E-3</v>
      </c>
    </row>
    <row r="1062" spans="1:21" customFormat="1">
      <c r="A1062">
        <v>1</v>
      </c>
      <c r="B1062">
        <v>64</v>
      </c>
      <c r="C1062">
        <v>29</v>
      </c>
      <c r="D1062">
        <v>8</v>
      </c>
      <c r="E1062">
        <v>2020</v>
      </c>
      <c r="F1062">
        <v>10306</v>
      </c>
      <c r="G1062" t="str">
        <f>VLOOKUP(F1062,'[1]Sheet 1'!$B$2:$E$347,2,FALSE)</f>
        <v>Los Lagos</v>
      </c>
      <c r="H1062" t="str">
        <f>VLOOKUP(F1062,'[1]Sheet 1'!$B$2:$E$347,3,FALSE)</f>
        <v>Osorno</v>
      </c>
      <c r="I1062" t="str">
        <f>VLOOKUP(F1062,'[1]Sheet 1'!$B$2:$E$347,4,FALSE)</f>
        <v>San Juan de la Costa</v>
      </c>
      <c r="J1062" t="s">
        <v>136</v>
      </c>
      <c r="K1062" s="3" t="s">
        <v>4</v>
      </c>
      <c r="L1062" s="12" t="str">
        <f>VLOOKUP(K1062,[2]Hoja4!$A$2:$C$443,2,FALSE)</f>
        <v>Intentional self-harm by hanging, strangulation and suffocation</v>
      </c>
      <c r="M1062" s="12" t="str">
        <f>VLOOKUP(K1062,[2]Hoja4!$A$2:$C$443,3,FALSE)</f>
        <v>At home</v>
      </c>
      <c r="N1062" s="1">
        <v>-2.7</v>
      </c>
      <c r="O1062" s="1">
        <v>10.6</v>
      </c>
      <c r="P1062" s="1">
        <v>3.7</v>
      </c>
      <c r="Q1062" s="1">
        <v>1022.9</v>
      </c>
      <c r="R1062" s="1">
        <v>0.2</v>
      </c>
      <c r="S1062" s="1">
        <v>84.8</v>
      </c>
      <c r="T1062" s="8">
        <v>0.12909999999999999</v>
      </c>
      <c r="U1062" s="7">
        <v>1E-3</v>
      </c>
    </row>
    <row r="1063" spans="1:21" customFormat="1">
      <c r="A1063">
        <v>1</v>
      </c>
      <c r="B1063">
        <v>62</v>
      </c>
      <c r="C1063">
        <v>29</v>
      </c>
      <c r="D1063">
        <v>8</v>
      </c>
      <c r="E1063">
        <v>2020</v>
      </c>
      <c r="F1063">
        <v>9211</v>
      </c>
      <c r="G1063" t="str">
        <f>VLOOKUP(F1063,'[1]Sheet 1'!$B$2:$E$347,2,FALSE)</f>
        <v>La Araucanía</v>
      </c>
      <c r="H1063" t="str">
        <f>VLOOKUP(F1063,'[1]Sheet 1'!$B$2:$E$347,3,FALSE)</f>
        <v>Malleco</v>
      </c>
      <c r="I1063" t="str">
        <f>VLOOKUP(F1063,'[1]Sheet 1'!$B$2:$E$347,4,FALSE)</f>
        <v>Victoria</v>
      </c>
      <c r="J1063" t="s">
        <v>136</v>
      </c>
      <c r="K1063" s="3" t="s">
        <v>13</v>
      </c>
      <c r="L1063" s="12" t="str">
        <f>VLOOKUP(K1063,[2]Hoja4!$A$2:$C$443,2,FALSE)</f>
        <v>Intentional self-harm by hanging, strangulation and suffocation</v>
      </c>
      <c r="M1063" s="12" t="str">
        <f>VLOOKUP(K1063,[2]Hoja4!$A$2:$C$443,3,FALSE)</f>
        <v>Other specified places</v>
      </c>
      <c r="N1063" s="1">
        <v>6</v>
      </c>
      <c r="O1063" s="1">
        <v>11.4</v>
      </c>
      <c r="P1063" s="1">
        <v>7.2</v>
      </c>
      <c r="Q1063" s="1">
        <v>501.9</v>
      </c>
      <c r="R1063" s="1">
        <v>0</v>
      </c>
      <c r="S1063" s="1">
        <v>66.8</v>
      </c>
      <c r="T1063" s="8">
        <v>0.12909999999999999</v>
      </c>
      <c r="U1063" s="7">
        <v>1E-3</v>
      </c>
    </row>
    <row r="1064" spans="1:21" customFormat="1">
      <c r="A1064">
        <v>2</v>
      </c>
      <c r="B1064">
        <v>39</v>
      </c>
      <c r="C1064">
        <v>29</v>
      </c>
      <c r="D1064">
        <v>8</v>
      </c>
      <c r="E1064">
        <v>2020</v>
      </c>
      <c r="F1064">
        <v>9205</v>
      </c>
      <c r="G1064" t="str">
        <f>VLOOKUP(F1064,'[1]Sheet 1'!$B$2:$E$347,2,FALSE)</f>
        <v>La Araucanía</v>
      </c>
      <c r="H1064" t="str">
        <f>VLOOKUP(F1064,'[1]Sheet 1'!$B$2:$E$347,3,FALSE)</f>
        <v>Malleco</v>
      </c>
      <c r="I1064" t="str">
        <f>VLOOKUP(F1064,'[1]Sheet 1'!$B$2:$E$347,4,FALSE)</f>
        <v>Lonquimay</v>
      </c>
      <c r="J1064" t="s">
        <v>136</v>
      </c>
      <c r="K1064" s="3" t="s">
        <v>4</v>
      </c>
      <c r="L1064" s="12" t="str">
        <f>VLOOKUP(K1064,[2]Hoja4!$A$2:$C$443,2,FALSE)</f>
        <v>Intentional self-harm by hanging, strangulation and suffocation</v>
      </c>
      <c r="M1064" s="12" t="str">
        <f>VLOOKUP(K1064,[2]Hoja4!$A$2:$C$443,3,FALSE)</f>
        <v>At home</v>
      </c>
      <c r="N1064" s="1">
        <v>6</v>
      </c>
      <c r="O1064" s="1">
        <v>11.4</v>
      </c>
      <c r="P1064" s="1">
        <v>7.2</v>
      </c>
      <c r="Q1064" s="1">
        <v>501.9</v>
      </c>
      <c r="R1064" s="1">
        <v>0</v>
      </c>
      <c r="S1064" s="1">
        <v>66.8</v>
      </c>
      <c r="T1064" s="8">
        <v>0.12909999999999999</v>
      </c>
      <c r="U1064" s="7">
        <v>1E-3</v>
      </c>
    </row>
    <row r="1065" spans="1:21" customFormat="1">
      <c r="A1065">
        <v>2</v>
      </c>
      <c r="B1065">
        <v>52</v>
      </c>
      <c r="C1065">
        <v>29</v>
      </c>
      <c r="D1065">
        <v>8</v>
      </c>
      <c r="E1065">
        <v>2020</v>
      </c>
      <c r="F1065">
        <v>5603</v>
      </c>
      <c r="G1065" t="str">
        <f>VLOOKUP(F1065,'[1]Sheet 1'!$B$2:$E$347,2,FALSE)</f>
        <v>Valparaíso</v>
      </c>
      <c r="H1065" t="str">
        <f>VLOOKUP(F1065,'[1]Sheet 1'!$B$2:$E$347,3,FALSE)</f>
        <v>San Antonio</v>
      </c>
      <c r="I1065" t="str">
        <f>VLOOKUP(F1065,'[1]Sheet 1'!$B$2:$E$347,4,FALSE)</f>
        <v>Cartagena</v>
      </c>
      <c r="J1065" t="s">
        <v>170</v>
      </c>
      <c r="K1065" s="3" t="s">
        <v>5</v>
      </c>
      <c r="L1065" s="12" t="str">
        <f>VLOOKUP(K1065,[2]Hoja4!$A$2:$C$443,2,FALSE)</f>
        <v>Intentional self-harm by other and unspecified firearm discharge</v>
      </c>
      <c r="M1065" s="12" t="str">
        <f>VLOOKUP(K1065,[2]Hoja4!$A$2:$C$443,3,FALSE)</f>
        <v>At home</v>
      </c>
      <c r="N1065" s="1">
        <v>8.5</v>
      </c>
      <c r="O1065" s="1">
        <v>15.5</v>
      </c>
      <c r="P1065" s="1">
        <v>12</v>
      </c>
      <c r="Q1065" s="1">
        <v>1015.2</v>
      </c>
      <c r="R1065" s="1">
        <v>0</v>
      </c>
      <c r="S1065" s="1">
        <v>84.2</v>
      </c>
      <c r="T1065" s="8">
        <v>0.12909999999999999</v>
      </c>
      <c r="U1065" s="7">
        <v>1E-3</v>
      </c>
    </row>
    <row r="1066" spans="1:21" customFormat="1">
      <c r="A1066">
        <v>1</v>
      </c>
      <c r="B1066">
        <v>41</v>
      </c>
      <c r="C1066">
        <v>29</v>
      </c>
      <c r="D1066">
        <v>8</v>
      </c>
      <c r="E1066">
        <v>2020</v>
      </c>
      <c r="F1066">
        <v>13106</v>
      </c>
      <c r="G1066" t="str">
        <f>VLOOKUP(F1066,'[1]Sheet 1'!$B$2:$E$347,2,FALSE)</f>
        <v>Metropolitana de Santiago</v>
      </c>
      <c r="H1066" t="str">
        <f>VLOOKUP(F1066,'[1]Sheet 1'!$B$2:$E$347,3,FALSE)</f>
        <v>Santiago</v>
      </c>
      <c r="I1066" t="str">
        <f>VLOOKUP(F1066,'[1]Sheet 1'!$B$2:$E$347,4,FALSE)</f>
        <v>Estación Central</v>
      </c>
      <c r="J1066" t="s">
        <v>136</v>
      </c>
      <c r="K1066" s="3" t="s">
        <v>0</v>
      </c>
      <c r="L1066" s="12" t="str">
        <f>VLOOKUP(K1066,[2]Hoja4!$A$2:$C$443,2,FALSE)</f>
        <v>Intentional self-harm by hanging, strangulation and suffocation</v>
      </c>
      <c r="M1066" s="12" t="str">
        <f>VLOOKUP(K1066,[2]Hoja4!$A$2:$C$443,3,FALSE)</f>
        <v>Unspecified place</v>
      </c>
      <c r="N1066" s="1">
        <v>5.5</v>
      </c>
      <c r="O1066" s="1">
        <v>17.5</v>
      </c>
      <c r="P1066" s="1">
        <v>10.1</v>
      </c>
      <c r="Q1066" s="1">
        <v>961.8</v>
      </c>
      <c r="R1066" s="1"/>
      <c r="S1066" s="1">
        <v>68.8</v>
      </c>
      <c r="T1066" s="8">
        <v>0.12909999999999999</v>
      </c>
      <c r="U1066" s="7">
        <v>1E-3</v>
      </c>
    </row>
    <row r="1067" spans="1:21" customFormat="1">
      <c r="A1067">
        <v>1</v>
      </c>
      <c r="B1067">
        <v>33</v>
      </c>
      <c r="C1067">
        <v>29</v>
      </c>
      <c r="D1067">
        <v>8</v>
      </c>
      <c r="E1067">
        <v>2020</v>
      </c>
      <c r="F1067">
        <v>8301</v>
      </c>
      <c r="G1067" t="str">
        <f>VLOOKUP(F1067,'[1]Sheet 1'!$B$2:$E$347,2,FALSE)</f>
        <v>Biobío</v>
      </c>
      <c r="H1067" t="str">
        <f>VLOOKUP(F1067,'[1]Sheet 1'!$B$2:$E$347,3,FALSE)</f>
        <v>Biobío</v>
      </c>
      <c r="I1067" t="str">
        <f>VLOOKUP(F1067,'[1]Sheet 1'!$B$2:$E$347,4,FALSE)</f>
        <v>Los Angeles</v>
      </c>
      <c r="J1067" t="s">
        <v>136</v>
      </c>
      <c r="K1067" s="3" t="s">
        <v>4</v>
      </c>
      <c r="L1067" s="12" t="str">
        <f>VLOOKUP(K1067,[2]Hoja4!$A$2:$C$443,2,FALSE)</f>
        <v>Intentional self-harm by hanging, strangulation and suffocation</v>
      </c>
      <c r="M1067" s="12" t="str">
        <f>VLOOKUP(K1067,[2]Hoja4!$A$2:$C$443,3,FALSE)</f>
        <v>At home</v>
      </c>
      <c r="N1067" s="1">
        <v>1.9</v>
      </c>
      <c r="O1067" s="1">
        <v>11.6</v>
      </c>
      <c r="P1067" s="1">
        <v>6.8</v>
      </c>
      <c r="Q1067" s="1">
        <v>1015.5</v>
      </c>
      <c r="R1067" s="1">
        <v>0</v>
      </c>
      <c r="S1067" s="1">
        <v>87.5</v>
      </c>
      <c r="T1067" s="8">
        <v>0.12909999999999999</v>
      </c>
      <c r="U1067" s="7">
        <v>1E-3</v>
      </c>
    </row>
    <row r="1068" spans="1:21" customFormat="1">
      <c r="A1068">
        <v>1</v>
      </c>
      <c r="B1068">
        <v>23</v>
      </c>
      <c r="C1068">
        <v>29</v>
      </c>
      <c r="D1068">
        <v>8</v>
      </c>
      <c r="E1068">
        <v>2020</v>
      </c>
      <c r="F1068">
        <v>13112</v>
      </c>
      <c r="G1068" t="str">
        <f>VLOOKUP(F1068,'[1]Sheet 1'!$B$2:$E$347,2,FALSE)</f>
        <v>Metropolitana de Santiago</v>
      </c>
      <c r="H1068" t="str">
        <f>VLOOKUP(F1068,'[1]Sheet 1'!$B$2:$E$347,3,FALSE)</f>
        <v>Santiago</v>
      </c>
      <c r="I1068" t="str">
        <f>VLOOKUP(F1068,'[1]Sheet 1'!$B$2:$E$347,4,FALSE)</f>
        <v>La Pintana</v>
      </c>
      <c r="J1068" t="s">
        <v>138</v>
      </c>
      <c r="K1068" s="3" t="s">
        <v>9</v>
      </c>
      <c r="L1068" s="12" t="str">
        <f>VLOOKUP(K1068,[2]Hoja4!$A$2:$C$443,2,FALSE)</f>
        <v>Intentional self-harm by jumping from a high place</v>
      </c>
      <c r="M1068" s="12" t="str">
        <f>VLOOKUP(K1068,[2]Hoja4!$A$2:$C$443,3,FALSE)</f>
        <v>Unspecified place</v>
      </c>
      <c r="N1068" s="1">
        <v>5.5</v>
      </c>
      <c r="O1068" s="1">
        <v>17.5</v>
      </c>
      <c r="P1068" s="1">
        <v>10.1</v>
      </c>
      <c r="Q1068" s="1">
        <v>961.8</v>
      </c>
      <c r="R1068" s="1"/>
      <c r="S1068" s="1">
        <v>68.8</v>
      </c>
      <c r="T1068" s="8">
        <v>0.12909999999999999</v>
      </c>
      <c r="U1068" s="7">
        <v>1E-3</v>
      </c>
    </row>
    <row r="1069" spans="1:21" customFormat="1">
      <c r="A1069">
        <v>1</v>
      </c>
      <c r="B1069">
        <v>25</v>
      </c>
      <c r="C1069">
        <v>29</v>
      </c>
      <c r="D1069">
        <v>8</v>
      </c>
      <c r="E1069">
        <v>2020</v>
      </c>
      <c r="F1069">
        <v>1107</v>
      </c>
      <c r="G1069" t="str">
        <f>VLOOKUP(F1069,'[1]Sheet 1'!$B$2:$E$347,2,FALSE)</f>
        <v>Tarapacá</v>
      </c>
      <c r="H1069" t="str">
        <f>VLOOKUP(F1069,'[1]Sheet 1'!$B$2:$E$347,3,FALSE)</f>
        <v>Iquique</v>
      </c>
      <c r="I1069" t="str">
        <f>VLOOKUP(F1069,'[1]Sheet 1'!$B$2:$E$347,4,FALSE)</f>
        <v>Alto Hospicio</v>
      </c>
      <c r="J1069" t="s">
        <v>136</v>
      </c>
      <c r="K1069" s="3" t="s">
        <v>4</v>
      </c>
      <c r="L1069" s="12" t="str">
        <f>VLOOKUP(K1069,[2]Hoja4!$A$2:$C$443,2,FALSE)</f>
        <v>Intentional self-harm by hanging, strangulation and suffocation</v>
      </c>
      <c r="M1069" s="12" t="str">
        <f>VLOOKUP(K1069,[2]Hoja4!$A$2:$C$443,3,FALSE)</f>
        <v>At home</v>
      </c>
      <c r="N1069" s="1">
        <v>14.1</v>
      </c>
      <c r="O1069" s="1">
        <v>16.600000000000001</v>
      </c>
      <c r="P1069" s="1">
        <v>15</v>
      </c>
      <c r="Q1069" s="1">
        <v>1015.1</v>
      </c>
      <c r="R1069" s="1">
        <v>0</v>
      </c>
      <c r="S1069" s="1">
        <v>73.8</v>
      </c>
      <c r="T1069" s="8">
        <v>0.12909999999999999</v>
      </c>
      <c r="U1069" s="7">
        <v>1E-3</v>
      </c>
    </row>
    <row r="1070" spans="1:21" customFormat="1">
      <c r="A1070">
        <v>1</v>
      </c>
      <c r="B1070">
        <v>71</v>
      </c>
      <c r="C1070">
        <v>30</v>
      </c>
      <c r="D1070">
        <v>8</v>
      </c>
      <c r="E1070">
        <v>2020</v>
      </c>
      <c r="F1070">
        <v>10106</v>
      </c>
      <c r="G1070" t="str">
        <f>VLOOKUP(F1070,'[1]Sheet 1'!$B$2:$E$347,2,FALSE)</f>
        <v>Los Lagos</v>
      </c>
      <c r="H1070" t="str">
        <f>VLOOKUP(F1070,'[1]Sheet 1'!$B$2:$E$347,3,FALSE)</f>
        <v>Llanquihue</v>
      </c>
      <c r="I1070" t="str">
        <f>VLOOKUP(F1070,'[1]Sheet 1'!$B$2:$E$347,4,FALSE)</f>
        <v>Los Muermos</v>
      </c>
      <c r="J1070" t="s">
        <v>136</v>
      </c>
      <c r="K1070" s="3" t="s">
        <v>4</v>
      </c>
      <c r="L1070" s="12" t="str">
        <f>VLOOKUP(K1070,[2]Hoja4!$A$2:$C$443,2,FALSE)</f>
        <v>Intentional self-harm by hanging, strangulation and suffocation</v>
      </c>
      <c r="M1070" s="12" t="str">
        <f>VLOOKUP(K1070,[2]Hoja4!$A$2:$C$443,3,FALSE)</f>
        <v>At home</v>
      </c>
      <c r="N1070" s="1">
        <v>0</v>
      </c>
      <c r="O1070" s="1">
        <v>9.8000000000000007</v>
      </c>
      <c r="P1070" s="1">
        <v>4.9000000000000004</v>
      </c>
      <c r="Q1070" s="1">
        <v>1018</v>
      </c>
      <c r="R1070" s="1">
        <v>0</v>
      </c>
      <c r="S1070" s="1">
        <v>89.5</v>
      </c>
      <c r="T1070" s="8">
        <v>0.12909999999999999</v>
      </c>
      <c r="U1070" s="7">
        <v>1E-3</v>
      </c>
    </row>
    <row r="1071" spans="1:21" customFormat="1">
      <c r="A1071">
        <v>1</v>
      </c>
      <c r="B1071">
        <v>61</v>
      </c>
      <c r="C1071">
        <v>30</v>
      </c>
      <c r="D1071">
        <v>8</v>
      </c>
      <c r="E1071">
        <v>2020</v>
      </c>
      <c r="F1071">
        <v>13121</v>
      </c>
      <c r="G1071" t="str">
        <f>VLOOKUP(F1071,'[1]Sheet 1'!$B$2:$E$347,2,FALSE)</f>
        <v>Metropolitana de Santiago</v>
      </c>
      <c r="H1071" t="str">
        <f>VLOOKUP(F1071,'[1]Sheet 1'!$B$2:$E$347,3,FALSE)</f>
        <v>Santiago</v>
      </c>
      <c r="I1071" t="str">
        <f>VLOOKUP(F1071,'[1]Sheet 1'!$B$2:$E$347,4,FALSE)</f>
        <v>Pedro Aguirre Cerda</v>
      </c>
      <c r="J1071" t="s">
        <v>136</v>
      </c>
      <c r="K1071" s="3" t="s">
        <v>4</v>
      </c>
      <c r="L1071" s="12" t="str">
        <f>VLOOKUP(K1071,[2]Hoja4!$A$2:$C$443,2,FALSE)</f>
        <v>Intentional self-harm by hanging, strangulation and suffocation</v>
      </c>
      <c r="M1071" s="12" t="str">
        <f>VLOOKUP(K1071,[2]Hoja4!$A$2:$C$443,3,FALSE)</f>
        <v>At home</v>
      </c>
      <c r="N1071" s="1">
        <v>1.7</v>
      </c>
      <c r="O1071" s="1">
        <v>18.7</v>
      </c>
      <c r="P1071" s="1">
        <v>9.4</v>
      </c>
      <c r="Q1071" s="1">
        <v>957.3</v>
      </c>
      <c r="R1071" s="1"/>
      <c r="S1071" s="1">
        <v>73.5</v>
      </c>
      <c r="T1071" s="8">
        <v>0.12909999999999999</v>
      </c>
      <c r="U1071" s="7">
        <v>1E-3</v>
      </c>
    </row>
    <row r="1072" spans="1:21" customFormat="1">
      <c r="A1072">
        <v>1</v>
      </c>
      <c r="B1072">
        <v>56</v>
      </c>
      <c r="C1072">
        <v>30</v>
      </c>
      <c r="D1072">
        <v>8</v>
      </c>
      <c r="E1072">
        <v>2020</v>
      </c>
      <c r="F1072">
        <v>5801</v>
      </c>
      <c r="G1072" t="str">
        <f>VLOOKUP(F1072,'[1]Sheet 1'!$B$2:$E$347,2,FALSE)</f>
        <v>Valparaíso</v>
      </c>
      <c r="H1072" t="str">
        <f>VLOOKUP(F1072,'[1]Sheet 1'!$B$2:$E$347,3,FALSE)</f>
        <v>Marga Marga</v>
      </c>
      <c r="I1072" t="str">
        <f>VLOOKUP(F1072,'[1]Sheet 1'!$B$2:$E$347,4,FALSE)</f>
        <v>Quilpué</v>
      </c>
      <c r="J1072" t="s">
        <v>136</v>
      </c>
      <c r="K1072" s="3" t="s">
        <v>4</v>
      </c>
      <c r="L1072" s="12" t="str">
        <f>VLOOKUP(K1072,[2]Hoja4!$A$2:$C$443,2,FALSE)</f>
        <v>Intentional self-harm by hanging, strangulation and suffocation</v>
      </c>
      <c r="M1072" s="12" t="str">
        <f>VLOOKUP(K1072,[2]Hoja4!$A$2:$C$443,3,FALSE)</f>
        <v>At home</v>
      </c>
      <c r="N1072" s="1">
        <v>2.6</v>
      </c>
      <c r="O1072" s="1">
        <v>19.899999999999999</v>
      </c>
      <c r="P1072" s="1">
        <v>10.199999999999999</v>
      </c>
      <c r="Q1072" s="1">
        <v>1014.7</v>
      </c>
      <c r="R1072" s="1">
        <v>0</v>
      </c>
      <c r="S1072" s="1">
        <v>80.900000000000006</v>
      </c>
      <c r="T1072" s="8">
        <v>0.12909999999999999</v>
      </c>
      <c r="U1072" s="7">
        <v>1E-3</v>
      </c>
    </row>
    <row r="1073" spans="1:21" customFormat="1">
      <c r="A1073">
        <v>2</v>
      </c>
      <c r="B1073">
        <v>56</v>
      </c>
      <c r="C1073">
        <v>30</v>
      </c>
      <c r="D1073">
        <v>8</v>
      </c>
      <c r="E1073">
        <v>2020</v>
      </c>
      <c r="F1073">
        <v>13605</v>
      </c>
      <c r="G1073" t="str">
        <f>VLOOKUP(F1073,'[1]Sheet 1'!$B$2:$E$347,2,FALSE)</f>
        <v>Metropolitana de Santiago</v>
      </c>
      <c r="H1073" t="str">
        <f>VLOOKUP(F1073,'[1]Sheet 1'!$B$2:$E$347,3,FALSE)</f>
        <v>Talagante</v>
      </c>
      <c r="I1073" t="str">
        <f>VLOOKUP(F1073,'[1]Sheet 1'!$B$2:$E$347,4,FALSE)</f>
        <v>Peñaflor</v>
      </c>
      <c r="J1073" t="s">
        <v>171</v>
      </c>
      <c r="K1073" s="3" t="s">
        <v>12</v>
      </c>
      <c r="L1073" s="12" t="str">
        <f>VLOOKUP(K1073,[2]Hoja4!$A$2:$C$443,2,FALSE)</f>
        <v>Intentional self-poisoning by and exposure to other and unspecified chemicals and noxious substances</v>
      </c>
      <c r="M1073" s="12" t="str">
        <f>VLOOKUP(K1073,[2]Hoja4!$A$2:$C$443,3,FALSE)</f>
        <v>Unspecified place</v>
      </c>
      <c r="N1073" s="1">
        <v>1.9</v>
      </c>
      <c r="O1073" s="1">
        <v>18.399999999999999</v>
      </c>
      <c r="P1073" s="1">
        <v>9.8000000000000007</v>
      </c>
      <c r="Q1073" s="1">
        <v>1016.8</v>
      </c>
      <c r="R1073" s="1">
        <v>0</v>
      </c>
      <c r="S1073" s="1">
        <v>62.8</v>
      </c>
      <c r="T1073" s="8">
        <v>0.12909999999999999</v>
      </c>
      <c r="U1073" s="7">
        <v>1E-3</v>
      </c>
    </row>
    <row r="1074" spans="1:21" customFormat="1">
      <c r="A1074">
        <v>1</v>
      </c>
      <c r="B1074">
        <v>53</v>
      </c>
      <c r="C1074">
        <v>30</v>
      </c>
      <c r="D1074">
        <v>8</v>
      </c>
      <c r="E1074">
        <v>2020</v>
      </c>
      <c r="F1074">
        <v>9210</v>
      </c>
      <c r="G1074" t="str">
        <f>VLOOKUP(F1074,'[1]Sheet 1'!$B$2:$E$347,2,FALSE)</f>
        <v>La Araucanía</v>
      </c>
      <c r="H1074" t="str">
        <f>VLOOKUP(F1074,'[1]Sheet 1'!$B$2:$E$347,3,FALSE)</f>
        <v>Malleco</v>
      </c>
      <c r="I1074" t="str">
        <f>VLOOKUP(F1074,'[1]Sheet 1'!$B$2:$E$347,4,FALSE)</f>
        <v>Traiguén</v>
      </c>
      <c r="J1074" t="s">
        <v>136</v>
      </c>
      <c r="K1074" s="3" t="s">
        <v>0</v>
      </c>
      <c r="L1074" s="12" t="str">
        <f>VLOOKUP(K1074,[2]Hoja4!$A$2:$C$443,2,FALSE)</f>
        <v>Intentional self-harm by hanging, strangulation and suffocation</v>
      </c>
      <c r="M1074" s="12" t="str">
        <f>VLOOKUP(K1074,[2]Hoja4!$A$2:$C$443,3,FALSE)</f>
        <v>Unspecified place</v>
      </c>
      <c r="N1074" s="1">
        <v>3.9</v>
      </c>
      <c r="O1074" s="1">
        <v>13.1</v>
      </c>
      <c r="P1074" s="1">
        <v>7.9</v>
      </c>
      <c r="Q1074" s="1">
        <v>501.9</v>
      </c>
      <c r="R1074" s="1">
        <v>0.1</v>
      </c>
      <c r="S1074" s="1">
        <v>66.8</v>
      </c>
      <c r="T1074" s="8">
        <v>0.12909999999999999</v>
      </c>
      <c r="U1074" s="7">
        <v>1E-3</v>
      </c>
    </row>
    <row r="1075" spans="1:21" customFormat="1">
      <c r="A1075">
        <v>1</v>
      </c>
      <c r="B1075">
        <v>40</v>
      </c>
      <c r="C1075">
        <v>30</v>
      </c>
      <c r="D1075">
        <v>8</v>
      </c>
      <c r="E1075">
        <v>2020</v>
      </c>
      <c r="F1075">
        <v>8309</v>
      </c>
      <c r="G1075" t="str">
        <f>VLOOKUP(F1075,'[1]Sheet 1'!$B$2:$E$347,2,FALSE)</f>
        <v>Biobío</v>
      </c>
      <c r="H1075" t="str">
        <f>VLOOKUP(F1075,'[1]Sheet 1'!$B$2:$E$347,3,FALSE)</f>
        <v>Biobío</v>
      </c>
      <c r="I1075" t="str">
        <f>VLOOKUP(F1075,'[1]Sheet 1'!$B$2:$E$347,4,FALSE)</f>
        <v>Quilleco</v>
      </c>
      <c r="J1075" t="s">
        <v>136</v>
      </c>
      <c r="K1075" s="3" t="s">
        <v>0</v>
      </c>
      <c r="L1075" s="12" t="str">
        <f>VLOOKUP(K1075,[2]Hoja4!$A$2:$C$443,2,FALSE)</f>
        <v>Intentional self-harm by hanging, strangulation and suffocation</v>
      </c>
      <c r="M1075" s="12" t="str">
        <f>VLOOKUP(K1075,[2]Hoja4!$A$2:$C$443,3,FALSE)</f>
        <v>Unspecified place</v>
      </c>
      <c r="N1075" s="1">
        <v>3</v>
      </c>
      <c r="O1075" s="1">
        <v>13</v>
      </c>
      <c r="P1075" s="1">
        <v>8</v>
      </c>
      <c r="Q1075" s="1">
        <v>1011</v>
      </c>
      <c r="R1075" s="1">
        <v>0</v>
      </c>
      <c r="S1075" s="1">
        <v>71.8</v>
      </c>
      <c r="T1075" s="8">
        <v>0.12909999999999999</v>
      </c>
      <c r="U1075" s="7">
        <v>1E-3</v>
      </c>
    </row>
    <row r="1076" spans="1:21" customFormat="1">
      <c r="A1076">
        <v>1</v>
      </c>
      <c r="B1076">
        <v>36</v>
      </c>
      <c r="C1076">
        <v>30</v>
      </c>
      <c r="D1076">
        <v>8</v>
      </c>
      <c r="E1076">
        <v>2020</v>
      </c>
      <c r="F1076">
        <v>6101</v>
      </c>
      <c r="G1076" t="str">
        <f>VLOOKUP(F1076,'[1]Sheet 1'!$B$2:$E$347,2,FALSE)</f>
        <v>Libertador General Bernardo O'Higgins</v>
      </c>
      <c r="H1076" t="str">
        <f>VLOOKUP(F1076,'[1]Sheet 1'!$B$2:$E$347,3,FALSE)</f>
        <v>Cachapoal</v>
      </c>
      <c r="I1076" t="str">
        <f>VLOOKUP(F1076,'[1]Sheet 1'!$B$2:$E$347,4,FALSE)</f>
        <v>Rancagua</v>
      </c>
      <c r="J1076" t="s">
        <v>136</v>
      </c>
      <c r="K1076" s="3" t="s">
        <v>0</v>
      </c>
      <c r="L1076" s="12" t="str">
        <f>VLOOKUP(K1076,[2]Hoja4!$A$2:$C$443,2,FALSE)</f>
        <v>Intentional self-harm by hanging, strangulation and suffocation</v>
      </c>
      <c r="M1076" s="12" t="str">
        <f>VLOOKUP(K1076,[2]Hoja4!$A$2:$C$443,3,FALSE)</f>
        <v>Unspecified place</v>
      </c>
      <c r="N1076" s="1">
        <v>4.8</v>
      </c>
      <c r="O1076" s="1">
        <v>14.9</v>
      </c>
      <c r="P1076" s="1">
        <v>8.4</v>
      </c>
      <c r="Q1076" s="1">
        <v>961.3</v>
      </c>
      <c r="R1076" s="1">
        <v>0</v>
      </c>
      <c r="S1076" s="1">
        <v>75.2</v>
      </c>
      <c r="T1076" s="8">
        <v>0.12909999999999999</v>
      </c>
      <c r="U1076" s="7">
        <v>1E-3</v>
      </c>
    </row>
    <row r="1077" spans="1:21" customFormat="1">
      <c r="A1077">
        <v>1</v>
      </c>
      <c r="B1077">
        <v>70</v>
      </c>
      <c r="C1077">
        <v>31</v>
      </c>
      <c r="D1077">
        <v>8</v>
      </c>
      <c r="E1077">
        <v>2020</v>
      </c>
      <c r="F1077">
        <v>4201</v>
      </c>
      <c r="G1077" t="str">
        <f>VLOOKUP(F1077,'[1]Sheet 1'!$B$2:$E$347,2,FALSE)</f>
        <v>Coquimbo</v>
      </c>
      <c r="H1077" t="str">
        <f>VLOOKUP(F1077,'[1]Sheet 1'!$B$2:$E$347,3,FALSE)</f>
        <v>Choapa</v>
      </c>
      <c r="I1077" t="str">
        <f>VLOOKUP(F1077,'[1]Sheet 1'!$B$2:$E$347,4,FALSE)</f>
        <v>Illapel</v>
      </c>
      <c r="J1077" t="s">
        <v>143</v>
      </c>
      <c r="K1077" s="3" t="s">
        <v>5</v>
      </c>
      <c r="L1077" s="12" t="str">
        <f>VLOOKUP(K1077,[2]Hoja4!$A$2:$C$443,2,FALSE)</f>
        <v>Intentional self-harm by other and unspecified firearm discharge</v>
      </c>
      <c r="M1077" s="12" t="str">
        <f>VLOOKUP(K1077,[2]Hoja4!$A$2:$C$443,3,FALSE)</f>
        <v>At home</v>
      </c>
      <c r="N1077" s="1">
        <v>5.0999999999999996</v>
      </c>
      <c r="O1077" s="1">
        <v>12.5</v>
      </c>
      <c r="P1077" s="1">
        <v>9.1</v>
      </c>
      <c r="Q1077" s="1">
        <v>982.2</v>
      </c>
      <c r="R1077" s="1">
        <v>0</v>
      </c>
      <c r="S1077" s="1">
        <v>80.5</v>
      </c>
      <c r="T1077" s="8">
        <v>0.12909999999999999</v>
      </c>
      <c r="U1077" s="7">
        <v>1E-3</v>
      </c>
    </row>
    <row r="1078" spans="1:21" customFormat="1">
      <c r="A1078">
        <v>1</v>
      </c>
      <c r="B1078">
        <v>60</v>
      </c>
      <c r="C1078">
        <v>31</v>
      </c>
      <c r="D1078">
        <v>8</v>
      </c>
      <c r="E1078">
        <v>2020</v>
      </c>
      <c r="F1078">
        <v>13121</v>
      </c>
      <c r="G1078" t="str">
        <f>VLOOKUP(F1078,'[1]Sheet 1'!$B$2:$E$347,2,FALSE)</f>
        <v>Metropolitana de Santiago</v>
      </c>
      <c r="H1078" t="str">
        <f>VLOOKUP(F1078,'[1]Sheet 1'!$B$2:$E$347,3,FALSE)</f>
        <v>Santiago</v>
      </c>
      <c r="I1078" t="str">
        <f>VLOOKUP(F1078,'[1]Sheet 1'!$B$2:$E$347,4,FALSE)</f>
        <v>Pedro Aguirre Cerda</v>
      </c>
      <c r="J1078" t="s">
        <v>136</v>
      </c>
      <c r="K1078" s="3" t="s">
        <v>0</v>
      </c>
      <c r="L1078" s="12" t="str">
        <f>VLOOKUP(K1078,[2]Hoja4!$A$2:$C$443,2,FALSE)</f>
        <v>Intentional self-harm by hanging, strangulation and suffocation</v>
      </c>
      <c r="M1078" s="12" t="str">
        <f>VLOOKUP(K1078,[2]Hoja4!$A$2:$C$443,3,FALSE)</f>
        <v>Unspecified place</v>
      </c>
      <c r="N1078" s="1">
        <v>1.5</v>
      </c>
      <c r="O1078" s="1">
        <v>17.5</v>
      </c>
      <c r="P1078" s="1">
        <v>8.9</v>
      </c>
      <c r="Q1078" s="1">
        <v>958.3</v>
      </c>
      <c r="R1078" s="1"/>
      <c r="S1078" s="1">
        <v>77.2</v>
      </c>
      <c r="T1078" s="8">
        <v>0.12909999999999999</v>
      </c>
      <c r="U1078" s="7">
        <v>1E-3</v>
      </c>
    </row>
    <row r="1079" spans="1:21" customFormat="1">
      <c r="A1079">
        <v>1</v>
      </c>
      <c r="B1079">
        <v>55</v>
      </c>
      <c r="C1079">
        <v>31</v>
      </c>
      <c r="D1079">
        <v>8</v>
      </c>
      <c r="E1079">
        <v>2020</v>
      </c>
      <c r="F1079">
        <v>2101</v>
      </c>
      <c r="G1079" t="str">
        <f>VLOOKUP(F1079,'[1]Sheet 1'!$B$2:$E$347,2,FALSE)</f>
        <v>Antofagasta</v>
      </c>
      <c r="H1079" t="str">
        <f>VLOOKUP(F1079,'[1]Sheet 1'!$B$2:$E$347,3,FALSE)</f>
        <v>Antofagasta</v>
      </c>
      <c r="I1079" t="str">
        <f>VLOOKUP(F1079,'[1]Sheet 1'!$B$2:$E$347,4,FALSE)</f>
        <v>Antofagasta</v>
      </c>
      <c r="J1079" t="s">
        <v>136</v>
      </c>
      <c r="K1079" s="3" t="s">
        <v>4</v>
      </c>
      <c r="L1079" s="12" t="str">
        <f>VLOOKUP(K1079,[2]Hoja4!$A$2:$C$443,2,FALSE)</f>
        <v>Intentional self-harm by hanging, strangulation and suffocation</v>
      </c>
      <c r="M1079" s="12" t="str">
        <f>VLOOKUP(K1079,[2]Hoja4!$A$2:$C$443,3,FALSE)</f>
        <v>At home</v>
      </c>
      <c r="N1079" s="1">
        <v>13.6</v>
      </c>
      <c r="O1079" s="1">
        <v>16</v>
      </c>
      <c r="P1079" s="1">
        <v>14.3</v>
      </c>
      <c r="Q1079" s="1">
        <v>1002.7</v>
      </c>
      <c r="R1079" s="1">
        <v>0</v>
      </c>
      <c r="S1079" s="1">
        <v>72</v>
      </c>
      <c r="T1079" s="8">
        <v>0.12909999999999999</v>
      </c>
      <c r="U1079" s="7">
        <v>1E-3</v>
      </c>
    </row>
    <row r="1080" spans="1:21" customFormat="1">
      <c r="A1080">
        <v>2</v>
      </c>
      <c r="B1080">
        <v>19</v>
      </c>
      <c r="C1080">
        <v>31</v>
      </c>
      <c r="D1080">
        <v>8</v>
      </c>
      <c r="E1080">
        <v>2020</v>
      </c>
      <c r="F1080">
        <v>8314</v>
      </c>
      <c r="G1080" t="str">
        <f>VLOOKUP(F1080,'[1]Sheet 1'!$B$2:$E$347,2,FALSE)</f>
        <v>Biobío</v>
      </c>
      <c r="H1080" t="str">
        <f>VLOOKUP(F1080,'[1]Sheet 1'!$B$2:$E$347,3,FALSE)</f>
        <v>Biobío</v>
      </c>
      <c r="I1080" t="str">
        <f>VLOOKUP(F1080,'[1]Sheet 1'!$B$2:$E$347,4,FALSE)</f>
        <v>Alto Biobío</v>
      </c>
      <c r="J1080" t="s">
        <v>136</v>
      </c>
      <c r="K1080" s="3" t="s">
        <v>0</v>
      </c>
      <c r="L1080" s="12" t="str">
        <f>VLOOKUP(K1080,[2]Hoja4!$A$2:$C$443,2,FALSE)</f>
        <v>Intentional self-harm by hanging, strangulation and suffocation</v>
      </c>
      <c r="M1080" s="12" t="str">
        <f>VLOOKUP(K1080,[2]Hoja4!$A$2:$C$443,3,FALSE)</f>
        <v>Unspecified place</v>
      </c>
      <c r="N1080" s="1">
        <v>2.8</v>
      </c>
      <c r="O1080" s="1">
        <v>18</v>
      </c>
      <c r="P1080" s="1">
        <v>10.4</v>
      </c>
      <c r="Q1080" s="1">
        <v>1006.1</v>
      </c>
      <c r="R1080" s="1">
        <v>0</v>
      </c>
      <c r="S1080" s="1">
        <v>78.8</v>
      </c>
      <c r="T1080" s="8">
        <v>0.12909999999999999</v>
      </c>
      <c r="U1080" s="7">
        <v>1E-3</v>
      </c>
    </row>
    <row r="1081" spans="1:21" customFormat="1">
      <c r="A1081">
        <v>1</v>
      </c>
      <c r="B1081">
        <v>67</v>
      </c>
      <c r="C1081">
        <v>1</v>
      </c>
      <c r="D1081">
        <v>9</v>
      </c>
      <c r="E1081">
        <v>2020</v>
      </c>
      <c r="F1081">
        <v>16203</v>
      </c>
      <c r="G1081" t="str">
        <f>VLOOKUP(F1081,'[1]Sheet 1'!$B$2:$E$347,2,FALSE)</f>
        <v>Ñuble</v>
      </c>
      <c r="H1081" t="str">
        <f>VLOOKUP(F1081,'[1]Sheet 1'!$B$2:$E$347,3,FALSE)</f>
        <v>Itata</v>
      </c>
      <c r="I1081" t="str">
        <f>VLOOKUP(F1081,'[1]Sheet 1'!$B$2:$E$347,4,FALSE)</f>
        <v>Coelemu</v>
      </c>
      <c r="J1081" t="s">
        <v>136</v>
      </c>
      <c r="K1081" s="3" t="s">
        <v>4</v>
      </c>
      <c r="L1081" s="12" t="str">
        <f>VLOOKUP(K1081,[2]Hoja4!$A$2:$C$443,2,FALSE)</f>
        <v>Intentional self-harm by hanging, strangulation and suffocation</v>
      </c>
      <c r="M1081" s="12" t="str">
        <f>VLOOKUP(K1081,[2]Hoja4!$A$2:$C$443,3,FALSE)</f>
        <v>At home</v>
      </c>
      <c r="N1081" s="1">
        <v>0.9</v>
      </c>
      <c r="O1081" s="1">
        <v>14.7</v>
      </c>
      <c r="P1081" s="1">
        <v>7.8</v>
      </c>
      <c r="Q1081" s="1">
        <v>1011.7</v>
      </c>
      <c r="R1081" s="1">
        <v>0</v>
      </c>
      <c r="S1081" s="1">
        <v>85.2</v>
      </c>
      <c r="T1081" s="5">
        <v>0.1235</v>
      </c>
      <c r="U1081" s="10">
        <v>6.0000000000000001E-3</v>
      </c>
    </row>
    <row r="1082" spans="1:21" customFormat="1">
      <c r="A1082">
        <v>1</v>
      </c>
      <c r="B1082">
        <v>63</v>
      </c>
      <c r="C1082">
        <v>1</v>
      </c>
      <c r="D1082">
        <v>9</v>
      </c>
      <c r="E1082">
        <v>2020</v>
      </c>
      <c r="F1082">
        <v>13114</v>
      </c>
      <c r="G1082" t="str">
        <f>VLOOKUP(F1082,'[1]Sheet 1'!$B$2:$E$347,2,FALSE)</f>
        <v>Metropolitana de Santiago</v>
      </c>
      <c r="H1082" t="str">
        <f>VLOOKUP(F1082,'[1]Sheet 1'!$B$2:$E$347,3,FALSE)</f>
        <v>Santiago</v>
      </c>
      <c r="I1082" t="str">
        <f>VLOOKUP(F1082,'[1]Sheet 1'!$B$2:$E$347,4,FALSE)</f>
        <v>Las Condes</v>
      </c>
      <c r="J1082" t="s">
        <v>136</v>
      </c>
      <c r="K1082" s="3" t="s">
        <v>0</v>
      </c>
      <c r="L1082" s="12" t="str">
        <f>VLOOKUP(K1082,[2]Hoja4!$A$2:$C$443,2,FALSE)</f>
        <v>Intentional self-harm by hanging, strangulation and suffocation</v>
      </c>
      <c r="M1082" s="12" t="str">
        <f>VLOOKUP(K1082,[2]Hoja4!$A$2:$C$443,3,FALSE)</f>
        <v>Unspecified place</v>
      </c>
      <c r="N1082" s="1">
        <v>6.2</v>
      </c>
      <c r="O1082" s="1">
        <v>12.7</v>
      </c>
      <c r="P1082" s="1">
        <v>8.6999999999999993</v>
      </c>
      <c r="Q1082" s="1">
        <v>962.1</v>
      </c>
      <c r="R1082" s="1"/>
      <c r="S1082" s="1">
        <v>77</v>
      </c>
      <c r="T1082" s="5">
        <v>0.1235</v>
      </c>
      <c r="U1082" s="10">
        <v>6.0000000000000001E-3</v>
      </c>
    </row>
    <row r="1083" spans="1:21" customFormat="1">
      <c r="A1083">
        <v>1</v>
      </c>
      <c r="B1083">
        <v>30</v>
      </c>
      <c r="C1083">
        <v>1</v>
      </c>
      <c r="D1083">
        <v>9</v>
      </c>
      <c r="E1083">
        <v>2020</v>
      </c>
      <c r="F1083">
        <v>6107</v>
      </c>
      <c r="G1083" t="str">
        <f>VLOOKUP(F1083,'[1]Sheet 1'!$B$2:$E$347,2,FALSE)</f>
        <v>Libertador General Bernardo O'Higgins</v>
      </c>
      <c r="H1083" t="str">
        <f>VLOOKUP(F1083,'[1]Sheet 1'!$B$2:$E$347,3,FALSE)</f>
        <v>Cachapoal</v>
      </c>
      <c r="I1083" t="str">
        <f>VLOOKUP(F1083,'[1]Sheet 1'!$B$2:$E$347,4,FALSE)</f>
        <v>Las Cabras</v>
      </c>
      <c r="J1083" t="s">
        <v>136</v>
      </c>
      <c r="K1083" s="3" t="s">
        <v>0</v>
      </c>
      <c r="L1083" s="12" t="str">
        <f>VLOOKUP(K1083,[2]Hoja4!$A$2:$C$443,2,FALSE)</f>
        <v>Intentional self-harm by hanging, strangulation and suffocation</v>
      </c>
      <c r="M1083" s="12" t="str">
        <f>VLOOKUP(K1083,[2]Hoja4!$A$2:$C$443,3,FALSE)</f>
        <v>Unspecified place</v>
      </c>
      <c r="N1083" s="1">
        <v>5.0999999999999996</v>
      </c>
      <c r="O1083" s="1">
        <v>10.8</v>
      </c>
      <c r="P1083" s="1">
        <v>8</v>
      </c>
      <c r="Q1083" s="1">
        <v>965.7</v>
      </c>
      <c r="R1083" s="1">
        <v>0</v>
      </c>
      <c r="S1083" s="1">
        <v>82.8</v>
      </c>
      <c r="T1083" s="5">
        <v>0.1235</v>
      </c>
      <c r="U1083" s="10">
        <v>6.0000000000000001E-3</v>
      </c>
    </row>
    <row r="1084" spans="1:21" customFormat="1">
      <c r="A1084">
        <v>1</v>
      </c>
      <c r="B1084">
        <v>53</v>
      </c>
      <c r="C1084">
        <v>2</v>
      </c>
      <c r="D1084">
        <v>9</v>
      </c>
      <c r="E1084">
        <v>2020</v>
      </c>
      <c r="F1084">
        <v>8307</v>
      </c>
      <c r="G1084" t="str">
        <f>VLOOKUP(F1084,'[1]Sheet 1'!$B$2:$E$347,2,FALSE)</f>
        <v>Biobío</v>
      </c>
      <c r="H1084" t="str">
        <f>VLOOKUP(F1084,'[1]Sheet 1'!$B$2:$E$347,3,FALSE)</f>
        <v>Biobío</v>
      </c>
      <c r="I1084" t="str">
        <f>VLOOKUP(F1084,'[1]Sheet 1'!$B$2:$E$347,4,FALSE)</f>
        <v>Negrete</v>
      </c>
      <c r="J1084" t="s">
        <v>172</v>
      </c>
      <c r="K1084" s="3" t="s">
        <v>25</v>
      </c>
      <c r="L1084" s="12" t="str">
        <f>VLOOKUP(K1084,[2]Hoja4!$A$2:$C$443,2,FALSE)</f>
        <v>Intentional self-poisoning by and exposure to alcohol</v>
      </c>
      <c r="M1084" s="12" t="str">
        <f>VLOOKUP(K1084,[2]Hoja4!$A$2:$C$443,3,FALSE)</f>
        <v>At home</v>
      </c>
      <c r="N1084" s="1">
        <v>3</v>
      </c>
      <c r="O1084" s="1">
        <v>15.4</v>
      </c>
      <c r="P1084" s="1">
        <v>9.1999999999999993</v>
      </c>
      <c r="Q1084" s="1">
        <v>1011.7</v>
      </c>
      <c r="R1084" s="1">
        <v>0</v>
      </c>
      <c r="S1084" s="1">
        <v>85.2</v>
      </c>
      <c r="T1084" s="5">
        <v>0.1235</v>
      </c>
      <c r="U1084" s="10">
        <v>6.0000000000000001E-3</v>
      </c>
    </row>
    <row r="1085" spans="1:21" customFormat="1">
      <c r="A1085">
        <v>1</v>
      </c>
      <c r="B1085">
        <v>39</v>
      </c>
      <c r="C1085">
        <v>2</v>
      </c>
      <c r="D1085">
        <v>9</v>
      </c>
      <c r="E1085">
        <v>2020</v>
      </c>
      <c r="F1085">
        <v>10301</v>
      </c>
      <c r="G1085" t="str">
        <f>VLOOKUP(F1085,'[1]Sheet 1'!$B$2:$E$347,2,FALSE)</f>
        <v>Los Lagos</v>
      </c>
      <c r="H1085" t="str">
        <f>VLOOKUP(F1085,'[1]Sheet 1'!$B$2:$E$347,3,FALSE)</f>
        <v>Osorno</v>
      </c>
      <c r="I1085" t="str">
        <f>VLOOKUP(F1085,'[1]Sheet 1'!$B$2:$E$347,4,FALSE)</f>
        <v>Osorno</v>
      </c>
      <c r="J1085" t="s">
        <v>173</v>
      </c>
      <c r="K1085" s="3" t="s">
        <v>6</v>
      </c>
      <c r="L1085" s="12" t="str">
        <f>VLOOKUP(K1085,[2]Hoja4!$A$2:$C$443,2,FALSE)</f>
        <v>Intentional self-harm by sharp object</v>
      </c>
      <c r="M1085" s="12" t="str">
        <f>VLOOKUP(K1085,[2]Hoja4!$A$2:$C$443,3,FALSE)</f>
        <v>At home</v>
      </c>
      <c r="N1085" s="1">
        <v>3.5</v>
      </c>
      <c r="O1085" s="1">
        <v>12.7</v>
      </c>
      <c r="P1085" s="1">
        <v>8.1</v>
      </c>
      <c r="Q1085" s="1">
        <v>1016</v>
      </c>
      <c r="R1085" s="1">
        <v>0.8</v>
      </c>
      <c r="S1085" s="1">
        <v>85.2</v>
      </c>
      <c r="T1085" s="5">
        <v>0.1235</v>
      </c>
      <c r="U1085" s="10">
        <v>6.0000000000000001E-3</v>
      </c>
    </row>
    <row r="1086" spans="1:21" customFormat="1">
      <c r="A1086">
        <v>1</v>
      </c>
      <c r="B1086">
        <v>45</v>
      </c>
      <c r="C1086">
        <v>2</v>
      </c>
      <c r="D1086">
        <v>9</v>
      </c>
      <c r="E1086">
        <v>2020</v>
      </c>
      <c r="F1086">
        <v>13103</v>
      </c>
      <c r="G1086" t="str">
        <f>VLOOKUP(F1086,'[1]Sheet 1'!$B$2:$E$347,2,FALSE)</f>
        <v>Metropolitana de Santiago</v>
      </c>
      <c r="H1086" t="str">
        <f>VLOOKUP(F1086,'[1]Sheet 1'!$B$2:$E$347,3,FALSE)</f>
        <v>Santiago</v>
      </c>
      <c r="I1086" t="str">
        <f>VLOOKUP(F1086,'[1]Sheet 1'!$B$2:$E$347,4,FALSE)</f>
        <v>Cerro Navia</v>
      </c>
      <c r="J1086" t="s">
        <v>136</v>
      </c>
      <c r="K1086" s="3" t="s">
        <v>0</v>
      </c>
      <c r="L1086" s="12" t="str">
        <f>VLOOKUP(K1086,[2]Hoja4!$A$2:$C$443,2,FALSE)</f>
        <v>Intentional self-harm by hanging, strangulation and suffocation</v>
      </c>
      <c r="M1086" s="12" t="str">
        <f>VLOOKUP(K1086,[2]Hoja4!$A$2:$C$443,3,FALSE)</f>
        <v>Unspecified place</v>
      </c>
      <c r="N1086" s="1">
        <v>3.7</v>
      </c>
      <c r="O1086" s="1">
        <v>18.100000000000001</v>
      </c>
      <c r="P1086" s="1">
        <v>10.3</v>
      </c>
      <c r="Q1086" s="1">
        <v>960.8</v>
      </c>
      <c r="R1086" s="1"/>
      <c r="S1086" s="1">
        <v>74.2</v>
      </c>
      <c r="T1086" s="5">
        <v>0.1235</v>
      </c>
      <c r="U1086" s="10">
        <v>6.0000000000000001E-3</v>
      </c>
    </row>
    <row r="1087" spans="1:21" customFormat="1">
      <c r="A1087">
        <v>1</v>
      </c>
      <c r="B1087">
        <v>48</v>
      </c>
      <c r="C1087">
        <v>2</v>
      </c>
      <c r="D1087">
        <v>9</v>
      </c>
      <c r="E1087">
        <v>2020</v>
      </c>
      <c r="F1087">
        <v>9101</v>
      </c>
      <c r="G1087" t="str">
        <f>VLOOKUP(F1087,'[1]Sheet 1'!$B$2:$E$347,2,FALSE)</f>
        <v>La Araucanía</v>
      </c>
      <c r="H1087" t="str">
        <f>VLOOKUP(F1087,'[1]Sheet 1'!$B$2:$E$347,3,FALSE)</f>
        <v>Cautín</v>
      </c>
      <c r="I1087" t="str">
        <f>VLOOKUP(F1087,'[1]Sheet 1'!$B$2:$E$347,4,FALSE)</f>
        <v>Temuco</v>
      </c>
      <c r="J1087" t="s">
        <v>136</v>
      </c>
      <c r="K1087" s="3" t="s">
        <v>4</v>
      </c>
      <c r="L1087" s="12" t="str">
        <f>VLOOKUP(K1087,[2]Hoja4!$A$2:$C$443,2,FALSE)</f>
        <v>Intentional self-harm by hanging, strangulation and suffocation</v>
      </c>
      <c r="M1087" s="12" t="str">
        <f>VLOOKUP(K1087,[2]Hoja4!$A$2:$C$443,3,FALSE)</f>
        <v>At home</v>
      </c>
      <c r="N1087" s="1">
        <v>8</v>
      </c>
      <c r="O1087" s="1">
        <v>11.9</v>
      </c>
      <c r="P1087" s="1">
        <v>9.8000000000000007</v>
      </c>
      <c r="Q1087" s="1">
        <v>1012.5</v>
      </c>
      <c r="R1087" s="1">
        <v>1.2</v>
      </c>
      <c r="S1087" s="1">
        <v>90.5</v>
      </c>
      <c r="T1087" s="5">
        <v>0.1235</v>
      </c>
      <c r="U1087" s="10">
        <v>6.0000000000000001E-3</v>
      </c>
    </row>
    <row r="1088" spans="1:21" customFormat="1">
      <c r="A1088">
        <v>1</v>
      </c>
      <c r="B1088">
        <v>38</v>
      </c>
      <c r="C1088">
        <v>2</v>
      </c>
      <c r="D1088">
        <v>9</v>
      </c>
      <c r="E1088">
        <v>2020</v>
      </c>
      <c r="F1088">
        <v>13105</v>
      </c>
      <c r="G1088" t="str">
        <f>VLOOKUP(F1088,'[1]Sheet 1'!$B$2:$E$347,2,FALSE)</f>
        <v>Metropolitana de Santiago</v>
      </c>
      <c r="H1088" t="str">
        <f>VLOOKUP(F1088,'[1]Sheet 1'!$B$2:$E$347,3,FALSE)</f>
        <v>Santiago</v>
      </c>
      <c r="I1088" t="str">
        <f>VLOOKUP(F1088,'[1]Sheet 1'!$B$2:$E$347,4,FALSE)</f>
        <v>El Bosque</v>
      </c>
      <c r="J1088" t="s">
        <v>136</v>
      </c>
      <c r="K1088" s="3" t="s">
        <v>0</v>
      </c>
      <c r="L1088" s="12" t="str">
        <f>VLOOKUP(K1088,[2]Hoja4!$A$2:$C$443,2,FALSE)</f>
        <v>Intentional self-harm by hanging, strangulation and suffocation</v>
      </c>
      <c r="M1088" s="12" t="str">
        <f>VLOOKUP(K1088,[2]Hoja4!$A$2:$C$443,3,FALSE)</f>
        <v>Unspecified place</v>
      </c>
      <c r="N1088" s="1">
        <v>3.7</v>
      </c>
      <c r="O1088" s="1">
        <v>18.100000000000001</v>
      </c>
      <c r="P1088" s="1">
        <v>10.3</v>
      </c>
      <c r="Q1088" s="1">
        <v>960.8</v>
      </c>
      <c r="R1088" s="1"/>
      <c r="S1088" s="1">
        <v>74.2</v>
      </c>
      <c r="T1088" s="5">
        <v>0.1235</v>
      </c>
      <c r="U1088" s="10">
        <v>6.0000000000000001E-3</v>
      </c>
    </row>
    <row r="1089" spans="1:21" customFormat="1">
      <c r="A1089">
        <v>2</v>
      </c>
      <c r="B1089">
        <v>31</v>
      </c>
      <c r="C1089">
        <v>2</v>
      </c>
      <c r="D1089">
        <v>9</v>
      </c>
      <c r="E1089">
        <v>2020</v>
      </c>
      <c r="F1089">
        <v>13401</v>
      </c>
      <c r="G1089" t="str">
        <f>VLOOKUP(F1089,'[1]Sheet 1'!$B$2:$E$347,2,FALSE)</f>
        <v>Metropolitana de Santiago</v>
      </c>
      <c r="H1089" t="str">
        <f>VLOOKUP(F1089,'[1]Sheet 1'!$B$2:$E$347,3,FALSE)</f>
        <v>Maipo</v>
      </c>
      <c r="I1089" t="str">
        <f>VLOOKUP(F1089,'[1]Sheet 1'!$B$2:$E$347,4,FALSE)</f>
        <v>San Bernardo</v>
      </c>
      <c r="J1089" t="s">
        <v>136</v>
      </c>
      <c r="K1089" s="3" t="s">
        <v>0</v>
      </c>
      <c r="L1089" s="12" t="str">
        <f>VLOOKUP(K1089,[2]Hoja4!$A$2:$C$443,2,FALSE)</f>
        <v>Intentional self-harm by hanging, strangulation and suffocation</v>
      </c>
      <c r="M1089" s="12" t="str">
        <f>VLOOKUP(K1089,[2]Hoja4!$A$2:$C$443,3,FALSE)</f>
        <v>Unspecified place</v>
      </c>
      <c r="N1089" s="1">
        <v>1.7</v>
      </c>
      <c r="O1089" s="1">
        <v>19.100000000000001</v>
      </c>
      <c r="P1089" s="1">
        <v>9.4</v>
      </c>
      <c r="Q1089" s="1">
        <v>970.3</v>
      </c>
      <c r="R1089" s="1">
        <v>0</v>
      </c>
      <c r="S1089" s="1">
        <v>78.099999999999994</v>
      </c>
      <c r="T1089" s="5">
        <v>0.1235</v>
      </c>
      <c r="U1089" s="10">
        <v>6.0000000000000001E-3</v>
      </c>
    </row>
    <row r="1090" spans="1:21" customFormat="1">
      <c r="A1090">
        <v>1</v>
      </c>
      <c r="B1090">
        <v>21</v>
      </c>
      <c r="C1090">
        <v>2</v>
      </c>
      <c r="D1090">
        <v>9</v>
      </c>
      <c r="E1090">
        <v>2020</v>
      </c>
      <c r="F1090">
        <v>8112</v>
      </c>
      <c r="G1090" t="str">
        <f>VLOOKUP(F1090,'[1]Sheet 1'!$B$2:$E$347,2,FALSE)</f>
        <v>Biobío</v>
      </c>
      <c r="H1090" t="str">
        <f>VLOOKUP(F1090,'[1]Sheet 1'!$B$2:$E$347,3,FALSE)</f>
        <v>Concepción</v>
      </c>
      <c r="I1090" t="str">
        <f>VLOOKUP(F1090,'[1]Sheet 1'!$B$2:$E$347,4,FALSE)</f>
        <v>Hualpén</v>
      </c>
      <c r="J1090" t="s">
        <v>136</v>
      </c>
      <c r="K1090" s="3" t="s">
        <v>4</v>
      </c>
      <c r="L1090" s="12" t="str">
        <f>VLOOKUP(K1090,[2]Hoja4!$A$2:$C$443,2,FALSE)</f>
        <v>Intentional self-harm by hanging, strangulation and suffocation</v>
      </c>
      <c r="M1090" s="12" t="str">
        <f>VLOOKUP(K1090,[2]Hoja4!$A$2:$C$443,3,FALSE)</f>
        <v>At home</v>
      </c>
      <c r="N1090" s="1">
        <v>4.7</v>
      </c>
      <c r="O1090" s="1">
        <v>14.1</v>
      </c>
      <c r="P1090" s="1">
        <v>9.1</v>
      </c>
      <c r="Q1090" s="1">
        <v>1023.7</v>
      </c>
      <c r="R1090" s="1">
        <v>0</v>
      </c>
      <c r="S1090" s="1">
        <v>85.5</v>
      </c>
      <c r="T1090" s="5">
        <v>0.1235</v>
      </c>
      <c r="U1090" s="10">
        <v>6.0000000000000001E-3</v>
      </c>
    </row>
    <row r="1091" spans="1:21" customFormat="1">
      <c r="A1091">
        <v>1</v>
      </c>
      <c r="B1091">
        <v>71</v>
      </c>
      <c r="C1091">
        <v>3</v>
      </c>
      <c r="D1091">
        <v>9</v>
      </c>
      <c r="E1091">
        <v>2020</v>
      </c>
      <c r="F1091">
        <v>16104</v>
      </c>
      <c r="G1091" t="str">
        <f>VLOOKUP(F1091,'[1]Sheet 1'!$B$2:$E$347,2,FALSE)</f>
        <v>Ñuble</v>
      </c>
      <c r="H1091" t="str">
        <f>VLOOKUP(F1091,'[1]Sheet 1'!$B$2:$E$347,3,FALSE)</f>
        <v>Diguillín</v>
      </c>
      <c r="I1091" t="str">
        <f>VLOOKUP(F1091,'[1]Sheet 1'!$B$2:$E$347,4,FALSE)</f>
        <v>El Carmen</v>
      </c>
      <c r="J1091" t="s">
        <v>136</v>
      </c>
      <c r="K1091" s="3" t="s">
        <v>4</v>
      </c>
      <c r="L1091" s="12" t="str">
        <f>VLOOKUP(K1091,[2]Hoja4!$A$2:$C$443,2,FALSE)</f>
        <v>Intentional self-harm by hanging, strangulation and suffocation</v>
      </c>
      <c r="M1091" s="12" t="str">
        <f>VLOOKUP(K1091,[2]Hoja4!$A$2:$C$443,3,FALSE)</f>
        <v>At home</v>
      </c>
      <c r="N1091" s="1">
        <v>1.8</v>
      </c>
      <c r="O1091" s="1">
        <v>16.5</v>
      </c>
      <c r="P1091" s="1">
        <v>8.9</v>
      </c>
      <c r="Q1091" s="1">
        <v>1002.8</v>
      </c>
      <c r="R1091" s="1">
        <v>0</v>
      </c>
      <c r="S1091" s="1">
        <v>85.8</v>
      </c>
      <c r="T1091" s="5">
        <v>0.1235</v>
      </c>
      <c r="U1091" s="10">
        <v>6.0000000000000001E-3</v>
      </c>
    </row>
    <row r="1092" spans="1:21" customFormat="1">
      <c r="A1092">
        <v>2</v>
      </c>
      <c r="B1092">
        <v>41</v>
      </c>
      <c r="C1092">
        <v>3</v>
      </c>
      <c r="D1092">
        <v>9</v>
      </c>
      <c r="E1092">
        <v>2020</v>
      </c>
      <c r="F1092">
        <v>13122</v>
      </c>
      <c r="G1092" t="str">
        <f>VLOOKUP(F1092,'[1]Sheet 1'!$B$2:$E$347,2,FALSE)</f>
        <v>Metropolitana de Santiago</v>
      </c>
      <c r="H1092" t="str">
        <f>VLOOKUP(F1092,'[1]Sheet 1'!$B$2:$E$347,3,FALSE)</f>
        <v>Santiago</v>
      </c>
      <c r="I1092" t="str">
        <f>VLOOKUP(F1092,'[1]Sheet 1'!$B$2:$E$347,4,FALSE)</f>
        <v>Peñalolén</v>
      </c>
      <c r="J1092" t="s">
        <v>136</v>
      </c>
      <c r="K1092" s="3" t="s">
        <v>0</v>
      </c>
      <c r="L1092" s="12" t="str">
        <f>VLOOKUP(K1092,[2]Hoja4!$A$2:$C$443,2,FALSE)</f>
        <v>Intentional self-harm by hanging, strangulation and suffocation</v>
      </c>
      <c r="M1092" s="12" t="str">
        <f>VLOOKUP(K1092,[2]Hoja4!$A$2:$C$443,3,FALSE)</f>
        <v>Unspecified place</v>
      </c>
      <c r="N1092" s="1">
        <v>5.0999999999999996</v>
      </c>
      <c r="O1092" s="1">
        <v>19.7</v>
      </c>
      <c r="P1092" s="1">
        <v>11.4</v>
      </c>
      <c r="Q1092" s="1">
        <v>958.9</v>
      </c>
      <c r="R1092" s="1"/>
      <c r="S1092" s="1">
        <v>70.8</v>
      </c>
      <c r="T1092" s="5">
        <v>0.1235</v>
      </c>
      <c r="U1092" s="10">
        <v>6.0000000000000001E-3</v>
      </c>
    </row>
    <row r="1093" spans="1:21" customFormat="1">
      <c r="A1093">
        <v>1</v>
      </c>
      <c r="B1093">
        <v>38</v>
      </c>
      <c r="C1093">
        <v>3</v>
      </c>
      <c r="D1093">
        <v>9</v>
      </c>
      <c r="E1093">
        <v>2020</v>
      </c>
      <c r="F1093">
        <v>1107</v>
      </c>
      <c r="G1093" t="str">
        <f>VLOOKUP(F1093,'[1]Sheet 1'!$B$2:$E$347,2,FALSE)</f>
        <v>Tarapacá</v>
      </c>
      <c r="H1093" t="str">
        <f>VLOOKUP(F1093,'[1]Sheet 1'!$B$2:$E$347,3,FALSE)</f>
        <v>Iquique</v>
      </c>
      <c r="I1093" t="str">
        <f>VLOOKUP(F1093,'[1]Sheet 1'!$B$2:$E$347,4,FALSE)</f>
        <v>Alto Hospicio</v>
      </c>
      <c r="J1093" t="s">
        <v>136</v>
      </c>
      <c r="K1093" s="3" t="s">
        <v>0</v>
      </c>
      <c r="L1093" s="12" t="str">
        <f>VLOOKUP(K1093,[2]Hoja4!$A$2:$C$443,2,FALSE)</f>
        <v>Intentional self-harm by hanging, strangulation and suffocation</v>
      </c>
      <c r="M1093" s="12" t="str">
        <f>VLOOKUP(K1093,[2]Hoja4!$A$2:$C$443,3,FALSE)</f>
        <v>Unspecified place</v>
      </c>
      <c r="N1093" s="1">
        <v>13.9</v>
      </c>
      <c r="O1093" s="1">
        <v>17.399999999999999</v>
      </c>
      <c r="P1093" s="1">
        <v>15</v>
      </c>
      <c r="Q1093" s="1">
        <v>1013.3</v>
      </c>
      <c r="R1093" s="1">
        <v>0</v>
      </c>
      <c r="S1093" s="1">
        <v>73.7</v>
      </c>
      <c r="T1093" s="5">
        <v>0.1235</v>
      </c>
      <c r="U1093" s="10">
        <v>6.0000000000000001E-3</v>
      </c>
    </row>
    <row r="1094" spans="1:21" customFormat="1">
      <c r="A1094">
        <v>1</v>
      </c>
      <c r="B1094">
        <v>34</v>
      </c>
      <c r="C1094">
        <v>3</v>
      </c>
      <c r="D1094">
        <v>9</v>
      </c>
      <c r="E1094">
        <v>2020</v>
      </c>
      <c r="F1094">
        <v>13114</v>
      </c>
      <c r="G1094" t="str">
        <f>VLOOKUP(F1094,'[1]Sheet 1'!$B$2:$E$347,2,FALSE)</f>
        <v>Metropolitana de Santiago</v>
      </c>
      <c r="H1094" t="str">
        <f>VLOOKUP(F1094,'[1]Sheet 1'!$B$2:$E$347,3,FALSE)</f>
        <v>Santiago</v>
      </c>
      <c r="I1094" t="str">
        <f>VLOOKUP(F1094,'[1]Sheet 1'!$B$2:$E$347,4,FALSE)</f>
        <v>Las Condes</v>
      </c>
      <c r="J1094" t="s">
        <v>136</v>
      </c>
      <c r="K1094" s="3" t="s">
        <v>0</v>
      </c>
      <c r="L1094" s="12" t="str">
        <f>VLOOKUP(K1094,[2]Hoja4!$A$2:$C$443,2,FALSE)</f>
        <v>Intentional self-harm by hanging, strangulation and suffocation</v>
      </c>
      <c r="M1094" s="12" t="str">
        <f>VLOOKUP(K1094,[2]Hoja4!$A$2:$C$443,3,FALSE)</f>
        <v>Unspecified place</v>
      </c>
      <c r="N1094" s="1">
        <v>5.0999999999999996</v>
      </c>
      <c r="O1094" s="1">
        <v>19.7</v>
      </c>
      <c r="P1094" s="1">
        <v>11.4</v>
      </c>
      <c r="Q1094" s="1">
        <v>958.9</v>
      </c>
      <c r="R1094" s="1"/>
      <c r="S1094" s="1">
        <v>70.8</v>
      </c>
      <c r="T1094" s="5">
        <v>0.1235</v>
      </c>
      <c r="U1094" s="10">
        <v>6.0000000000000001E-3</v>
      </c>
    </row>
    <row r="1095" spans="1:21" customFormat="1">
      <c r="A1095">
        <v>1</v>
      </c>
      <c r="B1095">
        <v>25</v>
      </c>
      <c r="C1095">
        <v>3</v>
      </c>
      <c r="D1095">
        <v>9</v>
      </c>
      <c r="E1095">
        <v>2020</v>
      </c>
      <c r="F1095">
        <v>9117</v>
      </c>
      <c r="G1095" t="str">
        <f>VLOOKUP(F1095,'[1]Sheet 1'!$B$2:$E$347,2,FALSE)</f>
        <v>La Araucanía</v>
      </c>
      <c r="H1095" t="str">
        <f>VLOOKUP(F1095,'[1]Sheet 1'!$B$2:$E$347,3,FALSE)</f>
        <v>Cautín</v>
      </c>
      <c r="I1095" t="str">
        <f>VLOOKUP(F1095,'[1]Sheet 1'!$B$2:$E$347,4,FALSE)</f>
        <v>Teodoro Schmidt</v>
      </c>
      <c r="J1095" t="s">
        <v>136</v>
      </c>
      <c r="K1095" s="3" t="s">
        <v>0</v>
      </c>
      <c r="L1095" s="12" t="str">
        <f>VLOOKUP(K1095,[2]Hoja4!$A$2:$C$443,2,FALSE)</f>
        <v>Intentional self-harm by hanging, strangulation and suffocation</v>
      </c>
      <c r="M1095" s="12" t="str">
        <f>VLOOKUP(K1095,[2]Hoja4!$A$2:$C$443,3,FALSE)</f>
        <v>Unspecified place</v>
      </c>
      <c r="N1095" s="1">
        <v>4.3</v>
      </c>
      <c r="O1095" s="1">
        <v>12</v>
      </c>
      <c r="P1095" s="1">
        <v>8</v>
      </c>
      <c r="Q1095" s="1">
        <v>1008.8</v>
      </c>
      <c r="R1095" s="1">
        <v>1.2</v>
      </c>
      <c r="S1095" s="1">
        <v>91.8</v>
      </c>
      <c r="T1095" s="5">
        <v>0.1235</v>
      </c>
      <c r="U1095" s="10">
        <v>6.0000000000000001E-3</v>
      </c>
    </row>
    <row r="1096" spans="1:21" customFormat="1">
      <c r="A1096">
        <v>1</v>
      </c>
      <c r="B1096">
        <v>57</v>
      </c>
      <c r="C1096">
        <v>4</v>
      </c>
      <c r="D1096">
        <v>9</v>
      </c>
      <c r="E1096">
        <v>2020</v>
      </c>
      <c r="F1096">
        <v>9102</v>
      </c>
      <c r="G1096" t="str">
        <f>VLOOKUP(F1096,'[1]Sheet 1'!$B$2:$E$347,2,FALSE)</f>
        <v>La Araucanía</v>
      </c>
      <c r="H1096" t="str">
        <f>VLOOKUP(F1096,'[1]Sheet 1'!$B$2:$E$347,3,FALSE)</f>
        <v>Cautín</v>
      </c>
      <c r="I1096" t="str">
        <f>VLOOKUP(F1096,'[1]Sheet 1'!$B$2:$E$347,4,FALSE)</f>
        <v>Carahue</v>
      </c>
      <c r="J1096" t="s">
        <v>136</v>
      </c>
      <c r="K1096" s="3" t="s">
        <v>4</v>
      </c>
      <c r="L1096" s="12" t="str">
        <f>VLOOKUP(K1096,[2]Hoja4!$A$2:$C$443,2,FALSE)</f>
        <v>Intentional self-harm by hanging, strangulation and suffocation</v>
      </c>
      <c r="M1096" s="12" t="str">
        <f>VLOOKUP(K1096,[2]Hoja4!$A$2:$C$443,3,FALSE)</f>
        <v>At home</v>
      </c>
      <c r="N1096" s="1">
        <v>0.2</v>
      </c>
      <c r="O1096" s="1">
        <v>12.5</v>
      </c>
      <c r="P1096" s="1">
        <v>5.3</v>
      </c>
      <c r="Q1096" s="1">
        <v>1004</v>
      </c>
      <c r="R1096" s="1">
        <v>0.2</v>
      </c>
      <c r="S1096" s="1">
        <v>90.2</v>
      </c>
      <c r="T1096" s="5">
        <v>0.1235</v>
      </c>
      <c r="U1096" s="10">
        <v>6.0000000000000001E-3</v>
      </c>
    </row>
    <row r="1097" spans="1:21" customFormat="1">
      <c r="A1097">
        <v>1</v>
      </c>
      <c r="B1097">
        <v>45</v>
      </c>
      <c r="C1097">
        <v>4</v>
      </c>
      <c r="D1097">
        <v>9</v>
      </c>
      <c r="E1097">
        <v>2020</v>
      </c>
      <c r="F1097">
        <v>7201</v>
      </c>
      <c r="G1097" t="str">
        <f>VLOOKUP(F1097,'[1]Sheet 1'!$B$2:$E$347,2,FALSE)</f>
        <v>Maule</v>
      </c>
      <c r="H1097" t="str">
        <f>VLOOKUP(F1097,'[1]Sheet 1'!$B$2:$E$347,3,FALSE)</f>
        <v>Cauquenes</v>
      </c>
      <c r="I1097" t="str">
        <f>VLOOKUP(F1097,'[1]Sheet 1'!$B$2:$E$347,4,FALSE)</f>
        <v>Cauquenes</v>
      </c>
      <c r="J1097" t="s">
        <v>136</v>
      </c>
      <c r="K1097" s="3" t="s">
        <v>4</v>
      </c>
      <c r="L1097" s="12" t="str">
        <f>VLOOKUP(K1097,[2]Hoja4!$A$2:$C$443,2,FALSE)</f>
        <v>Intentional self-harm by hanging, strangulation and suffocation</v>
      </c>
      <c r="M1097" s="12" t="str">
        <f>VLOOKUP(K1097,[2]Hoja4!$A$2:$C$443,3,FALSE)</f>
        <v>At home</v>
      </c>
      <c r="N1097" s="1">
        <v>4.0999999999999996</v>
      </c>
      <c r="O1097" s="1">
        <v>17.5</v>
      </c>
      <c r="P1097" s="1">
        <v>10.8</v>
      </c>
      <c r="Q1097" s="1">
        <v>998.3</v>
      </c>
      <c r="R1097" s="1">
        <v>7</v>
      </c>
      <c r="S1097" s="1">
        <v>82.3</v>
      </c>
      <c r="T1097" s="5">
        <v>0.1235</v>
      </c>
      <c r="U1097" s="10">
        <v>6.0000000000000001E-3</v>
      </c>
    </row>
    <row r="1098" spans="1:21" customFormat="1">
      <c r="A1098">
        <v>2</v>
      </c>
      <c r="B1098">
        <v>28</v>
      </c>
      <c r="C1098">
        <v>4</v>
      </c>
      <c r="D1098">
        <v>9</v>
      </c>
      <c r="E1098">
        <v>2020</v>
      </c>
      <c r="F1098">
        <v>13104</v>
      </c>
      <c r="G1098" t="str">
        <f>VLOOKUP(F1098,'[1]Sheet 1'!$B$2:$E$347,2,FALSE)</f>
        <v>Metropolitana de Santiago</v>
      </c>
      <c r="H1098" t="str">
        <f>VLOOKUP(F1098,'[1]Sheet 1'!$B$2:$E$347,3,FALSE)</f>
        <v>Santiago</v>
      </c>
      <c r="I1098" t="str">
        <f>VLOOKUP(F1098,'[1]Sheet 1'!$B$2:$E$347,4,FALSE)</f>
        <v>Conchalí</v>
      </c>
      <c r="J1098" t="s">
        <v>136</v>
      </c>
      <c r="K1098" s="3" t="s">
        <v>0</v>
      </c>
      <c r="L1098" s="12" t="str">
        <f>VLOOKUP(K1098,[2]Hoja4!$A$2:$C$443,2,FALSE)</f>
        <v>Intentional self-harm by hanging, strangulation and suffocation</v>
      </c>
      <c r="M1098" s="12" t="str">
        <f>VLOOKUP(K1098,[2]Hoja4!$A$2:$C$443,3,FALSE)</f>
        <v>Unspecified place</v>
      </c>
      <c r="N1098" s="1">
        <v>7.5</v>
      </c>
      <c r="O1098" s="1">
        <v>20.2</v>
      </c>
      <c r="P1098" s="1">
        <v>12.1</v>
      </c>
      <c r="Q1098" s="1">
        <v>954.9</v>
      </c>
      <c r="R1098" s="1"/>
      <c r="S1098" s="1">
        <v>73.2</v>
      </c>
      <c r="T1098" s="5">
        <v>0.1235</v>
      </c>
      <c r="U1098" s="10">
        <v>6.0000000000000001E-3</v>
      </c>
    </row>
    <row r="1099" spans="1:21" customFormat="1">
      <c r="A1099">
        <v>2</v>
      </c>
      <c r="B1099">
        <v>20</v>
      </c>
      <c r="C1099">
        <v>4</v>
      </c>
      <c r="D1099">
        <v>9</v>
      </c>
      <c r="E1099">
        <v>2020</v>
      </c>
      <c r="F1099">
        <v>5705</v>
      </c>
      <c r="G1099" t="str">
        <f>VLOOKUP(F1099,'[1]Sheet 1'!$B$2:$E$347,2,FALSE)</f>
        <v>Valparaíso</v>
      </c>
      <c r="H1099" t="str">
        <f>VLOOKUP(F1099,'[1]Sheet 1'!$B$2:$E$347,3,FALSE)</f>
        <v>San Felipe de Aconcagua</v>
      </c>
      <c r="I1099" t="str">
        <f>VLOOKUP(F1099,'[1]Sheet 1'!$B$2:$E$347,4,FALSE)</f>
        <v>Putaendo</v>
      </c>
      <c r="J1099" t="s">
        <v>136</v>
      </c>
      <c r="K1099" s="3" t="s">
        <v>0</v>
      </c>
      <c r="L1099" s="12" t="str">
        <f>VLOOKUP(K1099,[2]Hoja4!$A$2:$C$443,2,FALSE)</f>
        <v>Intentional self-harm by hanging, strangulation and suffocation</v>
      </c>
      <c r="M1099" s="12" t="str">
        <f>VLOOKUP(K1099,[2]Hoja4!$A$2:$C$443,3,FALSE)</f>
        <v>Unspecified place</v>
      </c>
      <c r="N1099" s="1" t="s">
        <v>103</v>
      </c>
      <c r="O1099" s="1">
        <v>24</v>
      </c>
      <c r="P1099" s="1">
        <v>13.1</v>
      </c>
      <c r="Q1099" s="1">
        <v>938.1</v>
      </c>
      <c r="R1099" s="1">
        <v>0</v>
      </c>
      <c r="S1099" s="1">
        <v>62.7</v>
      </c>
      <c r="T1099" s="5">
        <v>0.1235</v>
      </c>
      <c r="U1099" s="10">
        <v>6.0000000000000001E-3</v>
      </c>
    </row>
    <row r="1100" spans="1:21" customFormat="1">
      <c r="A1100">
        <v>2</v>
      </c>
      <c r="B1100">
        <v>48</v>
      </c>
      <c r="C1100">
        <v>5</v>
      </c>
      <c r="D1100">
        <v>9</v>
      </c>
      <c r="E1100">
        <v>2020</v>
      </c>
      <c r="F1100">
        <v>13201</v>
      </c>
      <c r="G1100" t="str">
        <f>VLOOKUP(F1100,'[1]Sheet 1'!$B$2:$E$347,2,FALSE)</f>
        <v>Metropolitana de Santiago</v>
      </c>
      <c r="H1100" t="str">
        <f>VLOOKUP(F1100,'[1]Sheet 1'!$B$2:$E$347,3,FALSE)</f>
        <v>Cordillera</v>
      </c>
      <c r="I1100" t="str">
        <f>VLOOKUP(F1100,'[1]Sheet 1'!$B$2:$E$347,4,FALSE)</f>
        <v>Puente Alto</v>
      </c>
      <c r="J1100" t="s">
        <v>136</v>
      </c>
      <c r="K1100" s="3" t="s">
        <v>0</v>
      </c>
      <c r="L1100" s="12" t="str">
        <f>VLOOKUP(K1100,[2]Hoja4!$A$2:$C$443,2,FALSE)</f>
        <v>Intentional self-harm by hanging, strangulation and suffocation</v>
      </c>
      <c r="M1100" s="12" t="str">
        <f>VLOOKUP(K1100,[2]Hoja4!$A$2:$C$443,3,FALSE)</f>
        <v>Unspecified place</v>
      </c>
      <c r="N1100" s="1">
        <v>4.4000000000000004</v>
      </c>
      <c r="O1100" s="1">
        <v>18.2</v>
      </c>
      <c r="P1100" s="1">
        <v>10.199999999999999</v>
      </c>
      <c r="Q1100" s="1">
        <v>944.5</v>
      </c>
      <c r="R1100" s="1">
        <v>0</v>
      </c>
      <c r="S1100" s="1">
        <v>73.400000000000006</v>
      </c>
      <c r="T1100" s="5">
        <v>0.1235</v>
      </c>
      <c r="U1100" s="10">
        <v>6.0000000000000001E-3</v>
      </c>
    </row>
    <row r="1101" spans="1:21" customFormat="1">
      <c r="A1101">
        <v>1</v>
      </c>
      <c r="B1101">
        <v>44</v>
      </c>
      <c r="C1101">
        <v>5</v>
      </c>
      <c r="D1101">
        <v>9</v>
      </c>
      <c r="E1101">
        <v>2020</v>
      </c>
      <c r="F1101">
        <v>8207</v>
      </c>
      <c r="G1101" t="str">
        <f>VLOOKUP(F1101,'[1]Sheet 1'!$B$2:$E$347,2,FALSE)</f>
        <v>Biobío</v>
      </c>
      <c r="H1101" t="str">
        <f>VLOOKUP(F1101,'[1]Sheet 1'!$B$2:$E$347,3,FALSE)</f>
        <v>Arauco</v>
      </c>
      <c r="I1101" t="str">
        <f>VLOOKUP(F1101,'[1]Sheet 1'!$B$2:$E$347,4,FALSE)</f>
        <v>Tirúa</v>
      </c>
      <c r="J1101" t="s">
        <v>136</v>
      </c>
      <c r="K1101" s="3" t="s">
        <v>4</v>
      </c>
      <c r="L1101" s="12" t="str">
        <f>VLOOKUP(K1101,[2]Hoja4!$A$2:$C$443,2,FALSE)</f>
        <v>Intentional self-harm by hanging, strangulation and suffocation</v>
      </c>
      <c r="M1101" s="12" t="str">
        <f>VLOOKUP(K1101,[2]Hoja4!$A$2:$C$443,3,FALSE)</f>
        <v>At home</v>
      </c>
      <c r="N1101" s="1">
        <v>8.9</v>
      </c>
      <c r="O1101" s="1">
        <v>15.2</v>
      </c>
      <c r="P1101" s="1">
        <v>11.3</v>
      </c>
      <c r="Q1101" s="1">
        <v>1023</v>
      </c>
      <c r="R1101" s="1">
        <v>0</v>
      </c>
      <c r="S1101" s="1">
        <v>84.8</v>
      </c>
      <c r="T1101" s="5">
        <v>0.1235</v>
      </c>
      <c r="U1101" s="10">
        <v>6.0000000000000001E-3</v>
      </c>
    </row>
    <row r="1102" spans="1:21" customFormat="1">
      <c r="A1102">
        <v>2</v>
      </c>
      <c r="B1102">
        <v>60</v>
      </c>
      <c r="C1102">
        <v>6</v>
      </c>
      <c r="D1102">
        <v>9</v>
      </c>
      <c r="E1102">
        <v>2020</v>
      </c>
      <c r="F1102">
        <v>13105</v>
      </c>
      <c r="G1102" t="str">
        <f>VLOOKUP(F1102,'[1]Sheet 1'!$B$2:$E$347,2,FALSE)</f>
        <v>Metropolitana de Santiago</v>
      </c>
      <c r="H1102" t="str">
        <f>VLOOKUP(F1102,'[1]Sheet 1'!$B$2:$E$347,3,FALSE)</f>
        <v>Santiago</v>
      </c>
      <c r="I1102" t="str">
        <f>VLOOKUP(F1102,'[1]Sheet 1'!$B$2:$E$347,4,FALSE)</f>
        <v>El Bosque</v>
      </c>
      <c r="J1102" t="s">
        <v>136</v>
      </c>
      <c r="K1102" s="3" t="s">
        <v>0</v>
      </c>
      <c r="L1102" s="12" t="str">
        <f>VLOOKUP(K1102,[2]Hoja4!$A$2:$C$443,2,FALSE)</f>
        <v>Intentional self-harm by hanging, strangulation and suffocation</v>
      </c>
      <c r="M1102" s="12" t="str">
        <f>VLOOKUP(K1102,[2]Hoja4!$A$2:$C$443,3,FALSE)</f>
        <v>Unspecified place</v>
      </c>
      <c r="N1102" s="1">
        <v>2.8</v>
      </c>
      <c r="O1102" s="1">
        <v>22.8</v>
      </c>
      <c r="P1102" s="1">
        <v>11.1</v>
      </c>
      <c r="Q1102" s="1">
        <v>956.8</v>
      </c>
      <c r="R1102" s="1"/>
      <c r="S1102" s="1">
        <v>68.8</v>
      </c>
      <c r="T1102" s="5">
        <v>0.1235</v>
      </c>
      <c r="U1102" s="10">
        <v>6.0000000000000001E-3</v>
      </c>
    </row>
    <row r="1103" spans="1:21" customFormat="1">
      <c r="A1103">
        <v>1</v>
      </c>
      <c r="B1103">
        <v>56</v>
      </c>
      <c r="C1103">
        <v>6</v>
      </c>
      <c r="D1103">
        <v>9</v>
      </c>
      <c r="E1103">
        <v>2020</v>
      </c>
      <c r="F1103">
        <v>13401</v>
      </c>
      <c r="G1103" t="str">
        <f>VLOOKUP(F1103,'[1]Sheet 1'!$B$2:$E$347,2,FALSE)</f>
        <v>Metropolitana de Santiago</v>
      </c>
      <c r="H1103" t="str">
        <f>VLOOKUP(F1103,'[1]Sheet 1'!$B$2:$E$347,3,FALSE)</f>
        <v>Maipo</v>
      </c>
      <c r="I1103" t="str">
        <f>VLOOKUP(F1103,'[1]Sheet 1'!$B$2:$E$347,4,FALSE)</f>
        <v>San Bernardo</v>
      </c>
      <c r="J1103" t="s">
        <v>136</v>
      </c>
      <c r="K1103" s="3" t="s">
        <v>0</v>
      </c>
      <c r="L1103" s="12" t="str">
        <f>VLOOKUP(K1103,[2]Hoja4!$A$2:$C$443,2,FALSE)</f>
        <v>Intentional self-harm by hanging, strangulation and suffocation</v>
      </c>
      <c r="M1103" s="12" t="str">
        <f>VLOOKUP(K1103,[2]Hoja4!$A$2:$C$443,3,FALSE)</f>
        <v>Unspecified place</v>
      </c>
      <c r="N1103" s="1">
        <v>1.3</v>
      </c>
      <c r="O1103" s="1">
        <v>22.4</v>
      </c>
      <c r="P1103" s="1">
        <v>11.2</v>
      </c>
      <c r="Q1103" s="1">
        <v>966.1</v>
      </c>
      <c r="R1103" s="1">
        <v>0</v>
      </c>
      <c r="S1103" s="1">
        <v>68.7</v>
      </c>
      <c r="T1103" s="5">
        <v>0.1235</v>
      </c>
      <c r="U1103" s="10">
        <v>6.0000000000000001E-3</v>
      </c>
    </row>
    <row r="1104" spans="1:21" customFormat="1">
      <c r="A1104">
        <v>1</v>
      </c>
      <c r="B1104">
        <v>55</v>
      </c>
      <c r="C1104">
        <v>6</v>
      </c>
      <c r="D1104">
        <v>9</v>
      </c>
      <c r="E1104">
        <v>2020</v>
      </c>
      <c r="F1104">
        <v>5404</v>
      </c>
      <c r="G1104" t="str">
        <f>VLOOKUP(F1104,'[1]Sheet 1'!$B$2:$E$347,2,FALSE)</f>
        <v>Valparaíso</v>
      </c>
      <c r="H1104" t="str">
        <f>VLOOKUP(F1104,'[1]Sheet 1'!$B$2:$E$347,3,FALSE)</f>
        <v>Petorca</v>
      </c>
      <c r="I1104" t="str">
        <f>VLOOKUP(F1104,'[1]Sheet 1'!$B$2:$E$347,4,FALSE)</f>
        <v>Petorca</v>
      </c>
      <c r="J1104" t="s">
        <v>136</v>
      </c>
      <c r="K1104" s="3" t="s">
        <v>0</v>
      </c>
      <c r="L1104" s="12" t="str">
        <f>VLOOKUP(K1104,[2]Hoja4!$A$2:$C$443,2,FALSE)</f>
        <v>Intentional self-harm by hanging, strangulation and suffocation</v>
      </c>
      <c r="M1104" s="12" t="str">
        <f>VLOOKUP(K1104,[2]Hoja4!$A$2:$C$443,3,FALSE)</f>
        <v>Unspecified place</v>
      </c>
      <c r="N1104" s="1">
        <v>6.7</v>
      </c>
      <c r="O1104" s="1">
        <v>22.1</v>
      </c>
      <c r="P1104" s="1">
        <v>13</v>
      </c>
      <c r="Q1104" s="1">
        <v>1020.7</v>
      </c>
      <c r="R1104" s="1">
        <v>0</v>
      </c>
      <c r="S1104" s="1">
        <v>71</v>
      </c>
      <c r="T1104" s="5">
        <v>0.1235</v>
      </c>
      <c r="U1104" s="10">
        <v>6.0000000000000001E-3</v>
      </c>
    </row>
    <row r="1105" spans="1:21" customFormat="1">
      <c r="A1105">
        <v>1</v>
      </c>
      <c r="B1105">
        <v>30</v>
      </c>
      <c r="C1105">
        <v>6</v>
      </c>
      <c r="D1105">
        <v>9</v>
      </c>
      <c r="E1105">
        <v>2020</v>
      </c>
      <c r="F1105">
        <v>6204</v>
      </c>
      <c r="G1105" t="str">
        <f>VLOOKUP(F1105,'[1]Sheet 1'!$B$2:$E$347,2,FALSE)</f>
        <v>Libertador General Bernardo O'Higgins</v>
      </c>
      <c r="H1105" t="str">
        <f>VLOOKUP(F1105,'[1]Sheet 1'!$B$2:$E$347,3,FALSE)</f>
        <v>Cardenal Caro</v>
      </c>
      <c r="I1105" t="str">
        <f>VLOOKUP(F1105,'[1]Sheet 1'!$B$2:$E$347,4,FALSE)</f>
        <v>Marchihue</v>
      </c>
      <c r="J1105" t="s">
        <v>136</v>
      </c>
      <c r="K1105" s="3" t="s">
        <v>0</v>
      </c>
      <c r="L1105" s="12" t="str">
        <f>VLOOKUP(K1105,[2]Hoja4!$A$2:$C$443,2,FALSE)</f>
        <v>Intentional self-harm by hanging, strangulation and suffocation</v>
      </c>
      <c r="M1105" s="12" t="str">
        <f>VLOOKUP(K1105,[2]Hoja4!$A$2:$C$443,3,FALSE)</f>
        <v>Unspecified place</v>
      </c>
      <c r="N1105" s="1">
        <v>6.2</v>
      </c>
      <c r="O1105" s="1">
        <v>14.4</v>
      </c>
      <c r="P1105" s="1">
        <v>10.9</v>
      </c>
      <c r="Q1105" s="1">
        <v>1015</v>
      </c>
      <c r="R1105" s="1">
        <v>0.2</v>
      </c>
      <c r="S1105" s="1">
        <v>88.2</v>
      </c>
      <c r="T1105" s="5">
        <v>0.1235</v>
      </c>
      <c r="U1105" s="10">
        <v>6.0000000000000001E-3</v>
      </c>
    </row>
    <row r="1106" spans="1:21" customFormat="1">
      <c r="A1106">
        <v>1</v>
      </c>
      <c r="B1106">
        <v>29</v>
      </c>
      <c r="C1106">
        <v>6</v>
      </c>
      <c r="D1106">
        <v>9</v>
      </c>
      <c r="E1106">
        <v>2020</v>
      </c>
      <c r="F1106">
        <v>10101</v>
      </c>
      <c r="G1106" t="str">
        <f>VLOOKUP(F1106,'[1]Sheet 1'!$B$2:$E$347,2,FALSE)</f>
        <v>Los Lagos</v>
      </c>
      <c r="H1106" t="str">
        <f>VLOOKUP(F1106,'[1]Sheet 1'!$B$2:$E$347,3,FALSE)</f>
        <v>Llanquihue</v>
      </c>
      <c r="I1106" t="str">
        <f>VLOOKUP(F1106,'[1]Sheet 1'!$B$2:$E$347,4,FALSE)</f>
        <v>Puerto Montt</v>
      </c>
      <c r="J1106" t="s">
        <v>136</v>
      </c>
      <c r="K1106" s="3" t="s">
        <v>4</v>
      </c>
      <c r="L1106" s="12" t="str">
        <f>VLOOKUP(K1106,[2]Hoja4!$A$2:$C$443,2,FALSE)</f>
        <v>Intentional self-harm by hanging, strangulation and suffocation</v>
      </c>
      <c r="M1106" s="12" t="str">
        <f>VLOOKUP(K1106,[2]Hoja4!$A$2:$C$443,3,FALSE)</f>
        <v>At home</v>
      </c>
      <c r="N1106" s="1">
        <v>0.3</v>
      </c>
      <c r="O1106" s="1">
        <v>14.2</v>
      </c>
      <c r="P1106" s="1">
        <v>6.9</v>
      </c>
      <c r="Q1106" s="1">
        <v>1011.7</v>
      </c>
      <c r="R1106" s="1">
        <v>0</v>
      </c>
      <c r="S1106" s="1">
        <v>88</v>
      </c>
      <c r="T1106" s="5">
        <v>0.1235</v>
      </c>
      <c r="U1106" s="10">
        <v>6.0000000000000001E-3</v>
      </c>
    </row>
    <row r="1107" spans="1:21" customFormat="1">
      <c r="A1107">
        <v>1</v>
      </c>
      <c r="B1107">
        <v>21</v>
      </c>
      <c r="C1107">
        <v>6</v>
      </c>
      <c r="D1107">
        <v>9</v>
      </c>
      <c r="E1107">
        <v>2020</v>
      </c>
      <c r="F1107">
        <v>6103</v>
      </c>
      <c r="G1107" t="str">
        <f>VLOOKUP(F1107,'[1]Sheet 1'!$B$2:$E$347,2,FALSE)</f>
        <v>Libertador General Bernardo O'Higgins</v>
      </c>
      <c r="H1107" t="str">
        <f>VLOOKUP(F1107,'[1]Sheet 1'!$B$2:$E$347,3,FALSE)</f>
        <v>Cachapoal</v>
      </c>
      <c r="I1107" t="str">
        <f>VLOOKUP(F1107,'[1]Sheet 1'!$B$2:$E$347,4,FALSE)</f>
        <v>Coinco</v>
      </c>
      <c r="J1107" t="s">
        <v>136</v>
      </c>
      <c r="K1107" s="3" t="s">
        <v>13</v>
      </c>
      <c r="L1107" s="12" t="str">
        <f>VLOOKUP(K1107,[2]Hoja4!$A$2:$C$443,2,FALSE)</f>
        <v>Intentional self-harm by hanging, strangulation and suffocation</v>
      </c>
      <c r="M1107" s="12" t="str">
        <f>VLOOKUP(K1107,[2]Hoja4!$A$2:$C$443,3,FALSE)</f>
        <v>Other specified places</v>
      </c>
      <c r="N1107" s="1">
        <v>0.7</v>
      </c>
      <c r="O1107" s="1">
        <v>20.8</v>
      </c>
      <c r="P1107" s="1">
        <v>10.8</v>
      </c>
      <c r="Q1107" s="1">
        <v>960.4</v>
      </c>
      <c r="R1107" s="1">
        <v>0</v>
      </c>
      <c r="S1107" s="1">
        <v>57.5</v>
      </c>
      <c r="T1107" s="5">
        <v>0.1235</v>
      </c>
      <c r="U1107" s="10">
        <v>6.0000000000000001E-3</v>
      </c>
    </row>
    <row r="1108" spans="1:21" customFormat="1">
      <c r="A1108">
        <v>1</v>
      </c>
      <c r="B1108">
        <v>57</v>
      </c>
      <c r="C1108">
        <v>7</v>
      </c>
      <c r="D1108">
        <v>9</v>
      </c>
      <c r="E1108">
        <v>2020</v>
      </c>
      <c r="F1108">
        <v>7106</v>
      </c>
      <c r="G1108" t="str">
        <f>VLOOKUP(F1108,'[1]Sheet 1'!$B$2:$E$347,2,FALSE)</f>
        <v>Maule</v>
      </c>
      <c r="H1108" t="str">
        <f>VLOOKUP(F1108,'[1]Sheet 1'!$B$2:$E$347,3,FALSE)</f>
        <v>Talca</v>
      </c>
      <c r="I1108" t="str">
        <f>VLOOKUP(F1108,'[1]Sheet 1'!$B$2:$E$347,4,FALSE)</f>
        <v>Pelarco</v>
      </c>
      <c r="J1108" t="s">
        <v>136</v>
      </c>
      <c r="K1108" s="3" t="s">
        <v>4</v>
      </c>
      <c r="L1108" s="12" t="str">
        <f>VLOOKUP(K1108,[2]Hoja4!$A$2:$C$443,2,FALSE)</f>
        <v>Intentional self-harm by hanging, strangulation and suffocation</v>
      </c>
      <c r="M1108" s="12" t="str">
        <f>VLOOKUP(K1108,[2]Hoja4!$A$2:$C$443,3,FALSE)</f>
        <v>At home</v>
      </c>
      <c r="N1108" s="1">
        <v>2.1</v>
      </c>
      <c r="O1108" s="1"/>
      <c r="P1108" s="1">
        <v>9.6</v>
      </c>
      <c r="Q1108" s="1">
        <v>1005.2</v>
      </c>
      <c r="R1108" s="1">
        <v>0</v>
      </c>
      <c r="S1108" s="1">
        <v>87.1</v>
      </c>
      <c r="T1108" s="5">
        <v>0.1235</v>
      </c>
      <c r="U1108" s="10">
        <v>6.0000000000000001E-3</v>
      </c>
    </row>
    <row r="1109" spans="1:21" customFormat="1">
      <c r="A1109">
        <v>1</v>
      </c>
      <c r="B1109">
        <v>38</v>
      </c>
      <c r="C1109">
        <v>8</v>
      </c>
      <c r="D1109">
        <v>9</v>
      </c>
      <c r="E1109">
        <v>2020</v>
      </c>
      <c r="F1109">
        <v>5405</v>
      </c>
      <c r="G1109" t="str">
        <f>VLOOKUP(F1109,'[1]Sheet 1'!$B$2:$E$347,2,FALSE)</f>
        <v>Valparaíso</v>
      </c>
      <c r="H1109" t="str">
        <f>VLOOKUP(F1109,'[1]Sheet 1'!$B$2:$E$347,3,FALSE)</f>
        <v>Petorca</v>
      </c>
      <c r="I1109" t="str">
        <f>VLOOKUP(F1109,'[1]Sheet 1'!$B$2:$E$347,4,FALSE)</f>
        <v>Zapallar</v>
      </c>
      <c r="J1109" t="s">
        <v>136</v>
      </c>
      <c r="K1109" s="3" t="s">
        <v>4</v>
      </c>
      <c r="L1109" s="12" t="str">
        <f>VLOOKUP(K1109,[2]Hoja4!$A$2:$C$443,2,FALSE)</f>
        <v>Intentional self-harm by hanging, strangulation and suffocation</v>
      </c>
      <c r="M1109" s="12" t="str">
        <f>VLOOKUP(K1109,[2]Hoja4!$A$2:$C$443,3,FALSE)</f>
        <v>At home</v>
      </c>
      <c r="N1109" s="1" t="s">
        <v>112</v>
      </c>
      <c r="O1109" s="1">
        <v>15.4</v>
      </c>
      <c r="P1109" s="1">
        <v>13.4</v>
      </c>
      <c r="Q1109" s="1">
        <v>1021.7</v>
      </c>
      <c r="R1109" s="1">
        <v>0</v>
      </c>
      <c r="S1109" s="1">
        <v>83.5</v>
      </c>
      <c r="T1109" s="5">
        <v>0.1235</v>
      </c>
      <c r="U1109" s="10">
        <v>6.0000000000000001E-3</v>
      </c>
    </row>
    <row r="1110" spans="1:21" customFormat="1">
      <c r="A1110">
        <v>2</v>
      </c>
      <c r="B1110">
        <v>63</v>
      </c>
      <c r="C1110">
        <v>9</v>
      </c>
      <c r="D1110">
        <v>9</v>
      </c>
      <c r="E1110">
        <v>2020</v>
      </c>
      <c r="F1110">
        <v>13105</v>
      </c>
      <c r="G1110" t="str">
        <f>VLOOKUP(F1110,'[1]Sheet 1'!$B$2:$E$347,2,FALSE)</f>
        <v>Metropolitana de Santiago</v>
      </c>
      <c r="H1110" t="str">
        <f>VLOOKUP(F1110,'[1]Sheet 1'!$B$2:$E$347,3,FALSE)</f>
        <v>Santiago</v>
      </c>
      <c r="I1110" t="str">
        <f>VLOOKUP(F1110,'[1]Sheet 1'!$B$2:$E$347,4,FALSE)</f>
        <v>El Bosque</v>
      </c>
      <c r="J1110" t="s">
        <v>136</v>
      </c>
      <c r="K1110" s="3" t="s">
        <v>0</v>
      </c>
      <c r="L1110" s="12" t="str">
        <f>VLOOKUP(K1110,[2]Hoja4!$A$2:$C$443,2,FALSE)</f>
        <v>Intentional self-harm by hanging, strangulation and suffocation</v>
      </c>
      <c r="M1110" s="12" t="str">
        <f>VLOOKUP(K1110,[2]Hoja4!$A$2:$C$443,3,FALSE)</f>
        <v>Unspecified place</v>
      </c>
      <c r="N1110" s="1">
        <v>6.8</v>
      </c>
      <c r="O1110" s="1">
        <v>23.3</v>
      </c>
      <c r="P1110" s="1">
        <v>13.3</v>
      </c>
      <c r="Q1110" s="1">
        <v>960.7</v>
      </c>
      <c r="R1110" s="1"/>
      <c r="S1110" s="1">
        <v>69.2</v>
      </c>
      <c r="T1110" s="5">
        <v>0.1235</v>
      </c>
      <c r="U1110" s="10">
        <v>6.0000000000000001E-3</v>
      </c>
    </row>
    <row r="1111" spans="1:21" customFormat="1">
      <c r="A1111">
        <v>1</v>
      </c>
      <c r="B1111">
        <v>56</v>
      </c>
      <c r="C1111">
        <v>9</v>
      </c>
      <c r="D1111">
        <v>9</v>
      </c>
      <c r="E1111">
        <v>2020</v>
      </c>
      <c r="F1111">
        <v>14107</v>
      </c>
      <c r="G1111" t="str">
        <f>VLOOKUP(F1111,'[1]Sheet 1'!$B$2:$E$347,2,FALSE)</f>
        <v>Los Ríos</v>
      </c>
      <c r="H1111" t="str">
        <f>VLOOKUP(F1111,'[1]Sheet 1'!$B$2:$E$347,3,FALSE)</f>
        <v>Valdivia</v>
      </c>
      <c r="I1111" t="str">
        <f>VLOOKUP(F1111,'[1]Sheet 1'!$B$2:$E$347,4,FALSE)</f>
        <v>Paillaco</v>
      </c>
      <c r="J1111" t="s">
        <v>136</v>
      </c>
      <c r="K1111" s="3" t="s">
        <v>0</v>
      </c>
      <c r="L1111" s="12" t="str">
        <f>VLOOKUP(K1111,[2]Hoja4!$A$2:$C$443,2,FALSE)</f>
        <v>Intentional self-harm by hanging, strangulation and suffocation</v>
      </c>
      <c r="M1111" s="12" t="str">
        <f>VLOOKUP(K1111,[2]Hoja4!$A$2:$C$443,3,FALSE)</f>
        <v>Unspecified place</v>
      </c>
      <c r="N1111" s="1" t="s">
        <v>72</v>
      </c>
      <c r="O1111" s="1">
        <v>14.1</v>
      </c>
      <c r="P1111" s="1">
        <v>8.6999999999999993</v>
      </c>
      <c r="Q1111" s="1">
        <v>1018.6</v>
      </c>
      <c r="R1111" s="1">
        <v>7.8</v>
      </c>
      <c r="S1111" s="1">
        <v>80.5</v>
      </c>
      <c r="T1111" s="5">
        <v>0.1235</v>
      </c>
      <c r="U1111" s="10">
        <v>6.0000000000000001E-3</v>
      </c>
    </row>
    <row r="1112" spans="1:21" customFormat="1">
      <c r="A1112">
        <v>1</v>
      </c>
      <c r="B1112">
        <v>53</v>
      </c>
      <c r="C1112">
        <v>9</v>
      </c>
      <c r="D1112">
        <v>9</v>
      </c>
      <c r="E1112">
        <v>2020</v>
      </c>
      <c r="F1112">
        <v>6106</v>
      </c>
      <c r="G1112" t="str">
        <f>VLOOKUP(F1112,'[1]Sheet 1'!$B$2:$E$347,2,FALSE)</f>
        <v>Libertador General Bernardo O'Higgins</v>
      </c>
      <c r="H1112" t="str">
        <f>VLOOKUP(F1112,'[1]Sheet 1'!$B$2:$E$347,3,FALSE)</f>
        <v>Cachapoal</v>
      </c>
      <c r="I1112" t="str">
        <f>VLOOKUP(F1112,'[1]Sheet 1'!$B$2:$E$347,4,FALSE)</f>
        <v>Graneros</v>
      </c>
      <c r="J1112" t="s">
        <v>136</v>
      </c>
      <c r="K1112" s="3" t="s">
        <v>0</v>
      </c>
      <c r="L1112" s="12" t="str">
        <f>VLOOKUP(K1112,[2]Hoja4!$A$2:$C$443,2,FALSE)</f>
        <v>Intentional self-harm by hanging, strangulation and suffocation</v>
      </c>
      <c r="M1112" s="12" t="str">
        <f>VLOOKUP(K1112,[2]Hoja4!$A$2:$C$443,3,FALSE)</f>
        <v>Unspecified place</v>
      </c>
      <c r="N1112" s="1">
        <v>6.7</v>
      </c>
      <c r="O1112" s="1">
        <v>20.9</v>
      </c>
      <c r="P1112" s="1">
        <v>12.8</v>
      </c>
      <c r="Q1112" s="1">
        <v>964.2</v>
      </c>
      <c r="R1112" s="1">
        <v>0</v>
      </c>
      <c r="S1112" s="1">
        <v>75</v>
      </c>
      <c r="T1112" s="5">
        <v>0.1235</v>
      </c>
      <c r="U1112" s="10">
        <v>6.0000000000000001E-3</v>
      </c>
    </row>
    <row r="1113" spans="1:21" customFormat="1">
      <c r="A1113">
        <v>2</v>
      </c>
      <c r="B1113">
        <v>50</v>
      </c>
      <c r="C1113">
        <v>9</v>
      </c>
      <c r="D1113">
        <v>9</v>
      </c>
      <c r="E1113">
        <v>2020</v>
      </c>
      <c r="F1113">
        <v>13112</v>
      </c>
      <c r="G1113" t="str">
        <f>VLOOKUP(F1113,'[1]Sheet 1'!$B$2:$E$347,2,FALSE)</f>
        <v>Metropolitana de Santiago</v>
      </c>
      <c r="H1113" t="str">
        <f>VLOOKUP(F1113,'[1]Sheet 1'!$B$2:$E$347,3,FALSE)</f>
        <v>Santiago</v>
      </c>
      <c r="I1113" t="str">
        <f>VLOOKUP(F1113,'[1]Sheet 1'!$B$2:$E$347,4,FALSE)</f>
        <v>La Pintana</v>
      </c>
      <c r="J1113" t="s">
        <v>136</v>
      </c>
      <c r="K1113" s="3" t="s">
        <v>0</v>
      </c>
      <c r="L1113" s="12" t="str">
        <f>VLOOKUP(K1113,[2]Hoja4!$A$2:$C$443,2,FALSE)</f>
        <v>Intentional self-harm by hanging, strangulation and suffocation</v>
      </c>
      <c r="M1113" s="12" t="str">
        <f>VLOOKUP(K1113,[2]Hoja4!$A$2:$C$443,3,FALSE)</f>
        <v>Unspecified place</v>
      </c>
      <c r="N1113" s="1">
        <v>6.8</v>
      </c>
      <c r="O1113" s="1">
        <v>23.3</v>
      </c>
      <c r="P1113" s="1">
        <v>13.3</v>
      </c>
      <c r="Q1113" s="1">
        <v>960.7</v>
      </c>
      <c r="R1113" s="1"/>
      <c r="S1113" s="1">
        <v>69.2</v>
      </c>
      <c r="T1113" s="5">
        <v>0.1235</v>
      </c>
      <c r="U1113" s="10">
        <v>6.0000000000000001E-3</v>
      </c>
    </row>
    <row r="1114" spans="1:21" customFormat="1">
      <c r="A1114">
        <v>1</v>
      </c>
      <c r="B1114">
        <v>43</v>
      </c>
      <c r="C1114">
        <v>9</v>
      </c>
      <c r="D1114">
        <v>9</v>
      </c>
      <c r="E1114">
        <v>2020</v>
      </c>
      <c r="F1114">
        <v>13112</v>
      </c>
      <c r="G1114" t="str">
        <f>VLOOKUP(F1114,'[1]Sheet 1'!$B$2:$E$347,2,FALSE)</f>
        <v>Metropolitana de Santiago</v>
      </c>
      <c r="H1114" t="str">
        <f>VLOOKUP(F1114,'[1]Sheet 1'!$B$2:$E$347,3,FALSE)</f>
        <v>Santiago</v>
      </c>
      <c r="I1114" t="str">
        <f>VLOOKUP(F1114,'[1]Sheet 1'!$B$2:$E$347,4,FALSE)</f>
        <v>La Pintana</v>
      </c>
      <c r="J1114" t="s">
        <v>159</v>
      </c>
      <c r="K1114" s="3" t="s">
        <v>12</v>
      </c>
      <c r="L1114" s="12" t="str">
        <f>VLOOKUP(K1114,[2]Hoja4!$A$2:$C$443,2,FALSE)</f>
        <v>Intentional self-poisoning by and exposure to other and unspecified chemicals and noxious substances</v>
      </c>
      <c r="M1114" s="12" t="str">
        <f>VLOOKUP(K1114,[2]Hoja4!$A$2:$C$443,3,FALSE)</f>
        <v>Unspecified place</v>
      </c>
      <c r="N1114" s="1">
        <v>6.8</v>
      </c>
      <c r="O1114" s="1">
        <v>23.3</v>
      </c>
      <c r="P1114" s="1">
        <v>13.3</v>
      </c>
      <c r="Q1114" s="1">
        <v>960.7</v>
      </c>
      <c r="R1114" s="1"/>
      <c r="S1114" s="1">
        <v>69.2</v>
      </c>
      <c r="T1114" s="5">
        <v>0.1235</v>
      </c>
      <c r="U1114" s="10">
        <v>6.0000000000000001E-3</v>
      </c>
    </row>
    <row r="1115" spans="1:21" customFormat="1">
      <c r="A1115">
        <v>1</v>
      </c>
      <c r="B1115">
        <v>41</v>
      </c>
      <c r="C1115">
        <v>9</v>
      </c>
      <c r="D1115">
        <v>9</v>
      </c>
      <c r="E1115">
        <v>2020</v>
      </c>
      <c r="F1115">
        <v>4102</v>
      </c>
      <c r="G1115" t="str">
        <f>VLOOKUP(F1115,'[1]Sheet 1'!$B$2:$E$347,2,FALSE)</f>
        <v>Coquimbo</v>
      </c>
      <c r="H1115" t="str">
        <f>VLOOKUP(F1115,'[1]Sheet 1'!$B$2:$E$347,3,FALSE)</f>
        <v>Elqui</v>
      </c>
      <c r="I1115" t="str">
        <f>VLOOKUP(F1115,'[1]Sheet 1'!$B$2:$E$347,4,FALSE)</f>
        <v>Coquimbo</v>
      </c>
      <c r="J1115" t="s">
        <v>136</v>
      </c>
      <c r="K1115" s="3" t="s">
        <v>4</v>
      </c>
      <c r="L1115" s="12" t="str">
        <f>VLOOKUP(K1115,[2]Hoja4!$A$2:$C$443,2,FALSE)</f>
        <v>Intentional self-harm by hanging, strangulation and suffocation</v>
      </c>
      <c r="M1115" s="12" t="str">
        <f>VLOOKUP(K1115,[2]Hoja4!$A$2:$C$443,3,FALSE)</f>
        <v>At home</v>
      </c>
      <c r="N1115" s="1">
        <v>6.7</v>
      </c>
      <c r="O1115" s="1">
        <v>18.2</v>
      </c>
      <c r="P1115" s="1">
        <v>11.8</v>
      </c>
      <c r="Q1115" s="1">
        <v>1001.7</v>
      </c>
      <c r="R1115" s="1">
        <v>0</v>
      </c>
      <c r="S1115" s="1">
        <v>78.2</v>
      </c>
      <c r="T1115" s="5">
        <v>0.1235</v>
      </c>
      <c r="U1115" s="10">
        <v>6.0000000000000001E-3</v>
      </c>
    </row>
    <row r="1116" spans="1:21" customFormat="1">
      <c r="A1116">
        <v>1</v>
      </c>
      <c r="B1116">
        <v>34</v>
      </c>
      <c r="C1116">
        <v>9</v>
      </c>
      <c r="D1116">
        <v>9</v>
      </c>
      <c r="E1116">
        <v>2020</v>
      </c>
      <c r="F1116">
        <v>13201</v>
      </c>
      <c r="G1116" t="str">
        <f>VLOOKUP(F1116,'[1]Sheet 1'!$B$2:$E$347,2,FALSE)</f>
        <v>Metropolitana de Santiago</v>
      </c>
      <c r="H1116" t="str">
        <f>VLOOKUP(F1116,'[1]Sheet 1'!$B$2:$E$347,3,FALSE)</f>
        <v>Cordillera</v>
      </c>
      <c r="I1116" t="str">
        <f>VLOOKUP(F1116,'[1]Sheet 1'!$B$2:$E$347,4,FALSE)</f>
        <v>Puente Alto</v>
      </c>
      <c r="J1116" t="s">
        <v>136</v>
      </c>
      <c r="K1116" s="3" t="s">
        <v>0</v>
      </c>
      <c r="L1116" s="12" t="str">
        <f>VLOOKUP(K1116,[2]Hoja4!$A$2:$C$443,2,FALSE)</f>
        <v>Intentional self-harm by hanging, strangulation and suffocation</v>
      </c>
      <c r="M1116" s="12" t="str">
        <f>VLOOKUP(K1116,[2]Hoja4!$A$2:$C$443,3,FALSE)</f>
        <v>Unspecified place</v>
      </c>
      <c r="N1116" s="1">
        <v>5.3</v>
      </c>
      <c r="O1116" s="1">
        <v>22.4</v>
      </c>
      <c r="P1116" s="1">
        <v>12.8</v>
      </c>
      <c r="Q1116" s="1">
        <v>944.3</v>
      </c>
      <c r="R1116" s="1">
        <v>0</v>
      </c>
      <c r="S1116" s="1">
        <v>70.8</v>
      </c>
      <c r="T1116" s="5">
        <v>0.1235</v>
      </c>
      <c r="U1116" s="10">
        <v>6.0000000000000001E-3</v>
      </c>
    </row>
    <row r="1117" spans="1:21" customFormat="1">
      <c r="A1117">
        <v>1</v>
      </c>
      <c r="B1117">
        <v>43</v>
      </c>
      <c r="C1117">
        <v>10</v>
      </c>
      <c r="D1117">
        <v>9</v>
      </c>
      <c r="E1117">
        <v>2020</v>
      </c>
      <c r="F1117">
        <v>10102</v>
      </c>
      <c r="G1117" t="str">
        <f>VLOOKUP(F1117,'[1]Sheet 1'!$B$2:$E$347,2,FALSE)</f>
        <v>Los Lagos</v>
      </c>
      <c r="H1117" t="str">
        <f>VLOOKUP(F1117,'[1]Sheet 1'!$B$2:$E$347,3,FALSE)</f>
        <v>Llanquihue</v>
      </c>
      <c r="I1117" t="str">
        <f>VLOOKUP(F1117,'[1]Sheet 1'!$B$2:$E$347,4,FALSE)</f>
        <v>Calbuco</v>
      </c>
      <c r="J1117" t="s">
        <v>136</v>
      </c>
      <c r="K1117" s="3" t="s">
        <v>0</v>
      </c>
      <c r="L1117" s="12" t="str">
        <f>VLOOKUP(K1117,[2]Hoja4!$A$2:$C$443,2,FALSE)</f>
        <v>Intentional self-harm by hanging, strangulation and suffocation</v>
      </c>
      <c r="M1117" s="12" t="str">
        <f>VLOOKUP(K1117,[2]Hoja4!$A$2:$C$443,3,FALSE)</f>
        <v>Unspecified place</v>
      </c>
      <c r="N1117" s="1">
        <v>8.6999999999999993</v>
      </c>
      <c r="O1117" s="1">
        <v>11.2</v>
      </c>
      <c r="P1117" s="1">
        <v>9.4</v>
      </c>
      <c r="Q1117" s="1">
        <v>1003</v>
      </c>
      <c r="R1117" s="1">
        <v>4.5999999999999996</v>
      </c>
      <c r="S1117" s="1">
        <v>91.5</v>
      </c>
      <c r="T1117" s="5">
        <v>0.1235</v>
      </c>
      <c r="U1117" s="10">
        <v>6.0000000000000001E-3</v>
      </c>
    </row>
    <row r="1118" spans="1:21" customFormat="1">
      <c r="A1118">
        <v>1</v>
      </c>
      <c r="B1118">
        <v>24</v>
      </c>
      <c r="C1118">
        <v>10</v>
      </c>
      <c r="D1118">
        <v>9</v>
      </c>
      <c r="E1118">
        <v>2020</v>
      </c>
      <c r="F1118">
        <v>13104</v>
      </c>
      <c r="G1118" t="str">
        <f>VLOOKUP(F1118,'[1]Sheet 1'!$B$2:$E$347,2,FALSE)</f>
        <v>Metropolitana de Santiago</v>
      </c>
      <c r="H1118" t="str">
        <f>VLOOKUP(F1118,'[1]Sheet 1'!$B$2:$E$347,3,FALSE)</f>
        <v>Santiago</v>
      </c>
      <c r="I1118" t="str">
        <f>VLOOKUP(F1118,'[1]Sheet 1'!$B$2:$E$347,4,FALSE)</f>
        <v>Conchalí</v>
      </c>
      <c r="J1118" t="s">
        <v>136</v>
      </c>
      <c r="K1118" s="3" t="s">
        <v>0</v>
      </c>
      <c r="L1118" s="12" t="str">
        <f>VLOOKUP(K1118,[2]Hoja4!$A$2:$C$443,2,FALSE)</f>
        <v>Intentional self-harm by hanging, strangulation and suffocation</v>
      </c>
      <c r="M1118" s="12" t="str">
        <f>VLOOKUP(K1118,[2]Hoja4!$A$2:$C$443,3,FALSE)</f>
        <v>Unspecified place</v>
      </c>
      <c r="N1118" s="1">
        <v>5.5</v>
      </c>
      <c r="O1118" s="1">
        <v>21.6</v>
      </c>
      <c r="P1118" s="1">
        <v>13.3</v>
      </c>
      <c r="Q1118" s="1">
        <v>959.1</v>
      </c>
      <c r="R1118" s="1"/>
      <c r="S1118" s="1">
        <v>77</v>
      </c>
      <c r="T1118" s="5">
        <v>0.1235</v>
      </c>
      <c r="U1118" s="10">
        <v>6.0000000000000001E-3</v>
      </c>
    </row>
    <row r="1119" spans="1:21" customFormat="1">
      <c r="A1119">
        <v>1</v>
      </c>
      <c r="B1119">
        <v>26</v>
      </c>
      <c r="C1119">
        <v>10</v>
      </c>
      <c r="D1119">
        <v>9</v>
      </c>
      <c r="E1119">
        <v>2020</v>
      </c>
      <c r="F1119">
        <v>13503</v>
      </c>
      <c r="G1119" t="str">
        <f>VLOOKUP(F1119,'[1]Sheet 1'!$B$2:$E$347,2,FALSE)</f>
        <v>Metropolitana de Santiago</v>
      </c>
      <c r="H1119" t="str">
        <f>VLOOKUP(F1119,'[1]Sheet 1'!$B$2:$E$347,3,FALSE)</f>
        <v>Melipilla</v>
      </c>
      <c r="I1119" t="str">
        <f>VLOOKUP(F1119,'[1]Sheet 1'!$B$2:$E$347,4,FALSE)</f>
        <v>Curacaví</v>
      </c>
      <c r="J1119" t="s">
        <v>136</v>
      </c>
      <c r="K1119" s="3" t="s">
        <v>4</v>
      </c>
      <c r="L1119" s="12" t="str">
        <f>VLOOKUP(K1119,[2]Hoja4!$A$2:$C$443,2,FALSE)</f>
        <v>Intentional self-harm by hanging, strangulation and suffocation</v>
      </c>
      <c r="M1119" s="12" t="str">
        <f>VLOOKUP(K1119,[2]Hoja4!$A$2:$C$443,3,FALSE)</f>
        <v>At home</v>
      </c>
      <c r="N1119" s="1">
        <v>6.6</v>
      </c>
      <c r="O1119" s="1" t="s">
        <v>122</v>
      </c>
      <c r="P1119" s="1">
        <v>12.7</v>
      </c>
      <c r="Q1119" s="1">
        <v>1020.5</v>
      </c>
      <c r="R1119" s="1">
        <v>0</v>
      </c>
      <c r="S1119" s="1">
        <v>63</v>
      </c>
      <c r="T1119" s="5">
        <v>0.1235</v>
      </c>
      <c r="U1119" s="10">
        <v>6.0000000000000001E-3</v>
      </c>
    </row>
    <row r="1120" spans="1:21" customFormat="1">
      <c r="A1120">
        <v>2</v>
      </c>
      <c r="B1120">
        <v>27</v>
      </c>
      <c r="C1120">
        <v>10</v>
      </c>
      <c r="D1120">
        <v>9</v>
      </c>
      <c r="E1120">
        <v>2020</v>
      </c>
      <c r="F1120">
        <v>13103</v>
      </c>
      <c r="G1120" t="str">
        <f>VLOOKUP(F1120,'[1]Sheet 1'!$B$2:$E$347,2,FALSE)</f>
        <v>Metropolitana de Santiago</v>
      </c>
      <c r="H1120" t="str">
        <f>VLOOKUP(F1120,'[1]Sheet 1'!$B$2:$E$347,3,FALSE)</f>
        <v>Santiago</v>
      </c>
      <c r="I1120" t="str">
        <f>VLOOKUP(F1120,'[1]Sheet 1'!$B$2:$E$347,4,FALSE)</f>
        <v>Cerro Navia</v>
      </c>
      <c r="J1120" t="s">
        <v>136</v>
      </c>
      <c r="K1120" s="3" t="s">
        <v>0</v>
      </c>
      <c r="L1120" s="12" t="str">
        <f>VLOOKUP(K1120,[2]Hoja4!$A$2:$C$443,2,FALSE)</f>
        <v>Intentional self-harm by hanging, strangulation and suffocation</v>
      </c>
      <c r="M1120" s="12" t="str">
        <f>VLOOKUP(K1120,[2]Hoja4!$A$2:$C$443,3,FALSE)</f>
        <v>Unspecified place</v>
      </c>
      <c r="N1120" s="1">
        <v>5.5</v>
      </c>
      <c r="O1120" s="1">
        <v>21.6</v>
      </c>
      <c r="P1120" s="1">
        <v>13.3</v>
      </c>
      <c r="Q1120" s="1">
        <v>959.1</v>
      </c>
      <c r="R1120" s="1"/>
      <c r="S1120" s="1">
        <v>77</v>
      </c>
      <c r="T1120" s="5">
        <v>0.1235</v>
      </c>
      <c r="U1120" s="10">
        <v>6.0000000000000001E-3</v>
      </c>
    </row>
    <row r="1121" spans="1:21" customFormat="1">
      <c r="A1121">
        <v>1</v>
      </c>
      <c r="B1121">
        <v>80</v>
      </c>
      <c r="C1121">
        <v>11</v>
      </c>
      <c r="D1121">
        <v>9</v>
      </c>
      <c r="E1121">
        <v>2020</v>
      </c>
      <c r="F1121">
        <v>3101</v>
      </c>
      <c r="G1121" t="str">
        <f>VLOOKUP(F1121,'[1]Sheet 1'!$B$2:$E$347,2,FALSE)</f>
        <v>Atacama</v>
      </c>
      <c r="H1121" t="str">
        <f>VLOOKUP(F1121,'[1]Sheet 1'!$B$2:$E$347,3,FALSE)</f>
        <v>Copiapó</v>
      </c>
      <c r="I1121" t="str">
        <f>VLOOKUP(F1121,'[1]Sheet 1'!$B$2:$E$347,4,FALSE)</f>
        <v>Copiapó</v>
      </c>
      <c r="J1121" t="s">
        <v>136</v>
      </c>
      <c r="K1121" s="3" t="s">
        <v>4</v>
      </c>
      <c r="L1121" s="12" t="str">
        <f>VLOOKUP(K1121,[2]Hoja4!$A$2:$C$443,2,FALSE)</f>
        <v>Intentional self-harm by hanging, strangulation and suffocation</v>
      </c>
      <c r="M1121" s="12" t="str">
        <f>VLOOKUP(K1121,[2]Hoja4!$A$2:$C$443,3,FALSE)</f>
        <v>At home</v>
      </c>
      <c r="N1121" s="1">
        <v>11.7</v>
      </c>
      <c r="O1121" s="1">
        <v>16.399999999999999</v>
      </c>
      <c r="P1121" s="1">
        <v>13</v>
      </c>
      <c r="Q1121" s="1">
        <v>992.5</v>
      </c>
      <c r="R1121" s="1">
        <v>0</v>
      </c>
      <c r="S1121" s="1">
        <v>78</v>
      </c>
      <c r="T1121" s="5">
        <v>0.1235</v>
      </c>
      <c r="U1121" s="10">
        <v>6.0000000000000001E-3</v>
      </c>
    </row>
    <row r="1122" spans="1:21" customFormat="1">
      <c r="A1122">
        <v>1</v>
      </c>
      <c r="B1122">
        <v>22</v>
      </c>
      <c r="C1122">
        <v>11</v>
      </c>
      <c r="D1122">
        <v>9</v>
      </c>
      <c r="E1122">
        <v>2020</v>
      </c>
      <c r="F1122">
        <v>9115</v>
      </c>
      <c r="G1122" t="str">
        <f>VLOOKUP(F1122,'[1]Sheet 1'!$B$2:$E$347,2,FALSE)</f>
        <v>La Araucanía</v>
      </c>
      <c r="H1122" t="str">
        <f>VLOOKUP(F1122,'[1]Sheet 1'!$B$2:$E$347,3,FALSE)</f>
        <v>Cautín</v>
      </c>
      <c r="I1122" t="str">
        <f>VLOOKUP(F1122,'[1]Sheet 1'!$B$2:$E$347,4,FALSE)</f>
        <v>Pucón</v>
      </c>
      <c r="J1122" t="s">
        <v>136</v>
      </c>
      <c r="K1122" s="3" t="s">
        <v>0</v>
      </c>
      <c r="L1122" s="12" t="str">
        <f>VLOOKUP(K1122,[2]Hoja4!$A$2:$C$443,2,FALSE)</f>
        <v>Intentional self-harm by hanging, strangulation and suffocation</v>
      </c>
      <c r="M1122" s="12" t="str">
        <f>VLOOKUP(K1122,[2]Hoja4!$A$2:$C$443,3,FALSE)</f>
        <v>Unspecified place</v>
      </c>
      <c r="N1122" s="1">
        <v>2.2000000000000002</v>
      </c>
      <c r="O1122" s="1"/>
      <c r="P1122" s="1">
        <v>8.3000000000000007</v>
      </c>
      <c r="Q1122" s="1">
        <v>1012.4</v>
      </c>
      <c r="R1122" s="1">
        <v>4.4000000000000004</v>
      </c>
      <c r="S1122" s="1">
        <v>86.5</v>
      </c>
      <c r="T1122" s="5">
        <v>0.1235</v>
      </c>
      <c r="U1122" s="10">
        <v>6.0000000000000001E-3</v>
      </c>
    </row>
    <row r="1123" spans="1:21" customFormat="1">
      <c r="A1123">
        <v>1</v>
      </c>
      <c r="B1123">
        <v>18</v>
      </c>
      <c r="C1123">
        <v>11</v>
      </c>
      <c r="D1123">
        <v>9</v>
      </c>
      <c r="E1123">
        <v>2020</v>
      </c>
      <c r="F1123">
        <v>7105</v>
      </c>
      <c r="G1123" t="str">
        <f>VLOOKUP(F1123,'[1]Sheet 1'!$B$2:$E$347,2,FALSE)</f>
        <v>Maule</v>
      </c>
      <c r="H1123" t="str">
        <f>VLOOKUP(F1123,'[1]Sheet 1'!$B$2:$E$347,3,FALSE)</f>
        <v>Talca</v>
      </c>
      <c r="I1123" t="str">
        <f>VLOOKUP(F1123,'[1]Sheet 1'!$B$2:$E$347,4,FALSE)</f>
        <v>Maule</v>
      </c>
      <c r="J1123" t="s">
        <v>136</v>
      </c>
      <c r="K1123" s="3" t="s">
        <v>4</v>
      </c>
      <c r="L1123" s="12" t="str">
        <f>VLOOKUP(K1123,[2]Hoja4!$A$2:$C$443,2,FALSE)</f>
        <v>Intentional self-harm by hanging, strangulation and suffocation</v>
      </c>
      <c r="M1123" s="12" t="str">
        <f>VLOOKUP(K1123,[2]Hoja4!$A$2:$C$443,3,FALSE)</f>
        <v>At home</v>
      </c>
      <c r="N1123" s="1">
        <v>5.0999999999999996</v>
      </c>
      <c r="O1123" s="1">
        <v>16.2</v>
      </c>
      <c r="P1123" s="1">
        <v>10.7</v>
      </c>
      <c r="Q1123" s="1">
        <v>1009</v>
      </c>
      <c r="R1123" s="1">
        <v>0</v>
      </c>
      <c r="S1123" s="1">
        <v>71.099999999999994</v>
      </c>
      <c r="T1123" s="5">
        <v>0.1235</v>
      </c>
      <c r="U1123" s="10">
        <v>6.0000000000000001E-3</v>
      </c>
    </row>
    <row r="1124" spans="1:21" customFormat="1">
      <c r="A1124">
        <v>1</v>
      </c>
      <c r="B1124">
        <v>76</v>
      </c>
      <c r="C1124">
        <v>12</v>
      </c>
      <c r="D1124">
        <v>9</v>
      </c>
      <c r="E1124">
        <v>2020</v>
      </c>
      <c r="F1124">
        <v>8106</v>
      </c>
      <c r="G1124" t="str">
        <f>VLOOKUP(F1124,'[1]Sheet 1'!$B$2:$E$347,2,FALSE)</f>
        <v>Biobío</v>
      </c>
      <c r="H1124" t="str">
        <f>VLOOKUP(F1124,'[1]Sheet 1'!$B$2:$E$347,3,FALSE)</f>
        <v>Concepción</v>
      </c>
      <c r="I1124" t="str">
        <f>VLOOKUP(F1124,'[1]Sheet 1'!$B$2:$E$347,4,FALSE)</f>
        <v>Lota</v>
      </c>
      <c r="J1124" t="s">
        <v>136</v>
      </c>
      <c r="K1124" s="3" t="s">
        <v>4</v>
      </c>
      <c r="L1124" s="12" t="str">
        <f>VLOOKUP(K1124,[2]Hoja4!$A$2:$C$443,2,FALSE)</f>
        <v>Intentional self-harm by hanging, strangulation and suffocation</v>
      </c>
      <c r="M1124" s="12" t="str">
        <f>VLOOKUP(K1124,[2]Hoja4!$A$2:$C$443,3,FALSE)</f>
        <v>At home</v>
      </c>
      <c r="N1124" s="1">
        <v>3.5</v>
      </c>
      <c r="O1124" s="1">
        <v>14.4</v>
      </c>
      <c r="P1124" s="1">
        <v>9.1</v>
      </c>
      <c r="Q1124" s="1">
        <v>1021.3</v>
      </c>
      <c r="R1124" s="1">
        <v>0</v>
      </c>
      <c r="S1124" s="1">
        <v>80.5</v>
      </c>
      <c r="T1124" s="5">
        <v>0.1235</v>
      </c>
      <c r="U1124" s="10">
        <v>6.0000000000000001E-3</v>
      </c>
    </row>
    <row r="1125" spans="1:21" customFormat="1">
      <c r="A1125">
        <v>1</v>
      </c>
      <c r="B1125">
        <v>71</v>
      </c>
      <c r="C1125">
        <v>12</v>
      </c>
      <c r="D1125">
        <v>9</v>
      </c>
      <c r="E1125">
        <v>2020</v>
      </c>
      <c r="F1125">
        <v>5701</v>
      </c>
      <c r="G1125" t="str">
        <f>VLOOKUP(F1125,'[1]Sheet 1'!$B$2:$E$347,2,FALSE)</f>
        <v>Valparaíso</v>
      </c>
      <c r="H1125" t="str">
        <f>VLOOKUP(F1125,'[1]Sheet 1'!$B$2:$E$347,3,FALSE)</f>
        <v>San Felipe de Aconcagua</v>
      </c>
      <c r="I1125" t="str">
        <f>VLOOKUP(F1125,'[1]Sheet 1'!$B$2:$E$347,4,FALSE)</f>
        <v>San Felipe</v>
      </c>
      <c r="J1125" t="s">
        <v>136</v>
      </c>
      <c r="K1125" s="3" t="s">
        <v>0</v>
      </c>
      <c r="L1125" s="12" t="str">
        <f>VLOOKUP(K1125,[2]Hoja4!$A$2:$C$443,2,FALSE)</f>
        <v>Intentional self-harm by hanging, strangulation and suffocation</v>
      </c>
      <c r="M1125" s="12" t="str">
        <f>VLOOKUP(K1125,[2]Hoja4!$A$2:$C$443,3,FALSE)</f>
        <v>Unspecified place</v>
      </c>
      <c r="N1125" s="1">
        <v>3.5</v>
      </c>
      <c r="O1125" s="1">
        <v>26.4</v>
      </c>
      <c r="P1125" s="1">
        <v>14.3</v>
      </c>
      <c r="Q1125" s="1">
        <v>939.5</v>
      </c>
      <c r="R1125" s="1">
        <v>0</v>
      </c>
      <c r="S1125" s="1">
        <v>49.6</v>
      </c>
      <c r="T1125" s="5">
        <v>0.1235</v>
      </c>
      <c r="U1125" s="10">
        <v>6.0000000000000001E-3</v>
      </c>
    </row>
    <row r="1126" spans="1:21" customFormat="1">
      <c r="A1126">
        <v>1</v>
      </c>
      <c r="B1126">
        <v>68</v>
      </c>
      <c r="C1126">
        <v>12</v>
      </c>
      <c r="D1126">
        <v>9</v>
      </c>
      <c r="E1126">
        <v>2020</v>
      </c>
      <c r="F1126">
        <v>6113</v>
      </c>
      <c r="G1126" t="str">
        <f>VLOOKUP(F1126,'[1]Sheet 1'!$B$2:$E$347,2,FALSE)</f>
        <v>Libertador General Bernardo O'Higgins</v>
      </c>
      <c r="H1126" t="str">
        <f>VLOOKUP(F1126,'[1]Sheet 1'!$B$2:$E$347,3,FALSE)</f>
        <v>Cachapoal</v>
      </c>
      <c r="I1126" t="str">
        <f>VLOOKUP(F1126,'[1]Sheet 1'!$B$2:$E$347,4,FALSE)</f>
        <v>Pichidegua</v>
      </c>
      <c r="J1126" t="s">
        <v>136</v>
      </c>
      <c r="K1126" s="3" t="s">
        <v>0</v>
      </c>
      <c r="L1126" s="12" t="str">
        <f>VLOOKUP(K1126,[2]Hoja4!$A$2:$C$443,2,FALSE)</f>
        <v>Intentional self-harm by hanging, strangulation and suffocation</v>
      </c>
      <c r="M1126" s="12" t="str">
        <f>VLOOKUP(K1126,[2]Hoja4!$A$2:$C$443,3,FALSE)</f>
        <v>Unspecified place</v>
      </c>
      <c r="N1126" s="1">
        <v>0.6</v>
      </c>
      <c r="O1126" s="1">
        <v>17.5</v>
      </c>
      <c r="P1126" s="1">
        <v>9.4</v>
      </c>
      <c r="Q1126" s="1">
        <v>961.3</v>
      </c>
      <c r="R1126" s="1">
        <v>0</v>
      </c>
      <c r="S1126" s="1">
        <v>69.599999999999994</v>
      </c>
      <c r="T1126" s="5">
        <v>0.1235</v>
      </c>
      <c r="U1126" s="10">
        <v>6.0000000000000001E-3</v>
      </c>
    </row>
    <row r="1127" spans="1:21" customFormat="1">
      <c r="A1127">
        <v>1</v>
      </c>
      <c r="B1127">
        <v>46</v>
      </c>
      <c r="C1127">
        <v>12</v>
      </c>
      <c r="D1127">
        <v>9</v>
      </c>
      <c r="E1127">
        <v>2020</v>
      </c>
      <c r="F1127">
        <v>5101</v>
      </c>
      <c r="G1127" t="str">
        <f>VLOOKUP(F1127,'[1]Sheet 1'!$B$2:$E$347,2,FALSE)</f>
        <v>Valparaíso</v>
      </c>
      <c r="H1127" t="str">
        <f>VLOOKUP(F1127,'[1]Sheet 1'!$B$2:$E$347,3,FALSE)</f>
        <v>Valparaíso</v>
      </c>
      <c r="I1127" t="str">
        <f>VLOOKUP(F1127,'[1]Sheet 1'!$B$2:$E$347,4,FALSE)</f>
        <v>Valparaíso</v>
      </c>
      <c r="J1127" t="s">
        <v>136</v>
      </c>
      <c r="K1127" s="3" t="s">
        <v>4</v>
      </c>
      <c r="L1127" s="12" t="str">
        <f>VLOOKUP(K1127,[2]Hoja4!$A$2:$C$443,2,FALSE)</f>
        <v>Intentional self-harm by hanging, strangulation and suffocation</v>
      </c>
      <c r="M1127" s="12" t="str">
        <f>VLOOKUP(K1127,[2]Hoja4!$A$2:$C$443,3,FALSE)</f>
        <v>At home</v>
      </c>
      <c r="N1127" s="1">
        <v>6.7</v>
      </c>
      <c r="O1127" s="1">
        <v>18.100000000000001</v>
      </c>
      <c r="P1127" s="1">
        <v>11.7</v>
      </c>
      <c r="Q1127" s="1">
        <v>977.4</v>
      </c>
      <c r="R1127" s="1">
        <v>0</v>
      </c>
      <c r="S1127" s="1">
        <v>62.5</v>
      </c>
      <c r="T1127" s="5">
        <v>0.1235</v>
      </c>
      <c r="U1127" s="10">
        <v>6.0000000000000001E-3</v>
      </c>
    </row>
    <row r="1128" spans="1:21" customFormat="1">
      <c r="A1128">
        <v>1</v>
      </c>
      <c r="B1128">
        <v>42</v>
      </c>
      <c r="C1128">
        <v>12</v>
      </c>
      <c r="D1128">
        <v>9</v>
      </c>
      <c r="E1128">
        <v>2020</v>
      </c>
      <c r="F1128">
        <v>8203</v>
      </c>
      <c r="G1128" t="str">
        <f>VLOOKUP(F1128,'[1]Sheet 1'!$B$2:$E$347,2,FALSE)</f>
        <v>Biobío</v>
      </c>
      <c r="H1128" t="str">
        <f>VLOOKUP(F1128,'[1]Sheet 1'!$B$2:$E$347,3,FALSE)</f>
        <v>Arauco</v>
      </c>
      <c r="I1128" t="str">
        <f>VLOOKUP(F1128,'[1]Sheet 1'!$B$2:$E$347,4,FALSE)</f>
        <v>Cañete</v>
      </c>
      <c r="J1128" t="s">
        <v>136</v>
      </c>
      <c r="K1128" s="3" t="s">
        <v>0</v>
      </c>
      <c r="L1128" s="12" t="str">
        <f>VLOOKUP(K1128,[2]Hoja4!$A$2:$C$443,2,FALSE)</f>
        <v>Intentional self-harm by hanging, strangulation and suffocation</v>
      </c>
      <c r="M1128" s="12" t="str">
        <f>VLOOKUP(K1128,[2]Hoja4!$A$2:$C$443,3,FALSE)</f>
        <v>Unspecified place</v>
      </c>
      <c r="N1128" s="1">
        <v>3.5</v>
      </c>
      <c r="O1128" s="1">
        <v>14.4</v>
      </c>
      <c r="P1128" s="1">
        <v>9.1</v>
      </c>
      <c r="Q1128" s="1">
        <v>1021.3</v>
      </c>
      <c r="R1128" s="1">
        <v>0</v>
      </c>
      <c r="S1128" s="1">
        <v>80.5</v>
      </c>
      <c r="T1128" s="5">
        <v>0.1235</v>
      </c>
      <c r="U1128" s="10">
        <v>6.0000000000000001E-3</v>
      </c>
    </row>
    <row r="1129" spans="1:21" customFormat="1">
      <c r="A1129">
        <v>1</v>
      </c>
      <c r="B1129">
        <v>41</v>
      </c>
      <c r="C1129">
        <v>12</v>
      </c>
      <c r="D1129">
        <v>9</v>
      </c>
      <c r="E1129">
        <v>2020</v>
      </c>
      <c r="F1129">
        <v>13131</v>
      </c>
      <c r="G1129" t="str">
        <f>VLOOKUP(F1129,'[1]Sheet 1'!$B$2:$E$347,2,FALSE)</f>
        <v>Metropolitana de Santiago</v>
      </c>
      <c r="H1129" t="str">
        <f>VLOOKUP(F1129,'[1]Sheet 1'!$B$2:$E$347,3,FALSE)</f>
        <v>Santiago</v>
      </c>
      <c r="I1129" t="str">
        <f>VLOOKUP(F1129,'[1]Sheet 1'!$B$2:$E$347,4,FALSE)</f>
        <v>San Ramón</v>
      </c>
      <c r="J1129" t="s">
        <v>136</v>
      </c>
      <c r="K1129" s="3" t="s">
        <v>0</v>
      </c>
      <c r="L1129" s="12" t="str">
        <f>VLOOKUP(K1129,[2]Hoja4!$A$2:$C$443,2,FALSE)</f>
        <v>Intentional self-harm by hanging, strangulation and suffocation</v>
      </c>
      <c r="M1129" s="12" t="str">
        <f>VLOOKUP(K1129,[2]Hoja4!$A$2:$C$443,3,FALSE)</f>
        <v>Unspecified place</v>
      </c>
      <c r="N1129" s="1">
        <v>2.8</v>
      </c>
      <c r="O1129" s="1">
        <v>21.8</v>
      </c>
      <c r="P1129" s="1">
        <v>12.1</v>
      </c>
      <c r="Q1129" s="1">
        <v>957.1</v>
      </c>
      <c r="R1129" s="1"/>
      <c r="S1129" s="1">
        <v>64.8</v>
      </c>
      <c r="T1129" s="5">
        <v>0.1235</v>
      </c>
      <c r="U1129" s="10">
        <v>6.0000000000000001E-3</v>
      </c>
    </row>
    <row r="1130" spans="1:21" customFormat="1">
      <c r="A1130">
        <v>1</v>
      </c>
      <c r="B1130">
        <v>30</v>
      </c>
      <c r="C1130">
        <v>12</v>
      </c>
      <c r="D1130">
        <v>9</v>
      </c>
      <c r="E1130">
        <v>2020</v>
      </c>
      <c r="F1130">
        <v>4101</v>
      </c>
      <c r="G1130" t="str">
        <f>VLOOKUP(F1130,'[1]Sheet 1'!$B$2:$E$347,2,FALSE)</f>
        <v>Coquimbo</v>
      </c>
      <c r="H1130" t="str">
        <f>VLOOKUP(F1130,'[1]Sheet 1'!$B$2:$E$347,3,FALSE)</f>
        <v>Elqui</v>
      </c>
      <c r="I1130" t="str">
        <f>VLOOKUP(F1130,'[1]Sheet 1'!$B$2:$E$347,4,FALSE)</f>
        <v>La Serena</v>
      </c>
      <c r="J1130" t="s">
        <v>136</v>
      </c>
      <c r="K1130" s="3" t="s">
        <v>4</v>
      </c>
      <c r="L1130" s="12" t="str">
        <f>VLOOKUP(K1130,[2]Hoja4!$A$2:$C$443,2,FALSE)</f>
        <v>Intentional self-harm by hanging, strangulation and suffocation</v>
      </c>
      <c r="M1130" s="12" t="str">
        <f>VLOOKUP(K1130,[2]Hoja4!$A$2:$C$443,3,FALSE)</f>
        <v>At home</v>
      </c>
      <c r="N1130" s="1">
        <v>9</v>
      </c>
      <c r="O1130" s="1">
        <v>15.7</v>
      </c>
      <c r="P1130" s="1">
        <v>11.5</v>
      </c>
      <c r="Q1130" s="1">
        <v>999.4</v>
      </c>
      <c r="R1130" s="1">
        <v>0</v>
      </c>
      <c r="S1130" s="1">
        <v>89.2</v>
      </c>
      <c r="T1130" s="5">
        <v>0.1235</v>
      </c>
      <c r="U1130" s="10">
        <v>6.0000000000000001E-3</v>
      </c>
    </row>
    <row r="1131" spans="1:21" customFormat="1">
      <c r="A1131">
        <v>1</v>
      </c>
      <c r="B1131">
        <v>28</v>
      </c>
      <c r="C1131">
        <v>12</v>
      </c>
      <c r="D1131">
        <v>9</v>
      </c>
      <c r="E1131">
        <v>2020</v>
      </c>
      <c r="F1131">
        <v>8301</v>
      </c>
      <c r="G1131" t="str">
        <f>VLOOKUP(F1131,'[1]Sheet 1'!$B$2:$E$347,2,FALSE)</f>
        <v>Biobío</v>
      </c>
      <c r="H1131" t="str">
        <f>VLOOKUP(F1131,'[1]Sheet 1'!$B$2:$E$347,3,FALSE)</f>
        <v>Biobío</v>
      </c>
      <c r="I1131" t="str">
        <f>VLOOKUP(F1131,'[1]Sheet 1'!$B$2:$E$347,4,FALSE)</f>
        <v>Los Angeles</v>
      </c>
      <c r="J1131" t="s">
        <v>136</v>
      </c>
      <c r="K1131" s="3" t="s">
        <v>4</v>
      </c>
      <c r="L1131" s="12" t="str">
        <f>VLOOKUP(K1131,[2]Hoja4!$A$2:$C$443,2,FALSE)</f>
        <v>Intentional self-harm by hanging, strangulation and suffocation</v>
      </c>
      <c r="M1131" s="12" t="str">
        <f>VLOOKUP(K1131,[2]Hoja4!$A$2:$C$443,3,FALSE)</f>
        <v>At home</v>
      </c>
      <c r="N1131" s="1">
        <v>-1</v>
      </c>
      <c r="O1131" s="1">
        <v>15.6</v>
      </c>
      <c r="P1131" s="1">
        <v>7.3</v>
      </c>
      <c r="Q1131" s="1">
        <v>1007.7</v>
      </c>
      <c r="R1131" s="1">
        <v>0</v>
      </c>
      <c r="S1131" s="1">
        <v>83.5</v>
      </c>
      <c r="T1131" s="5">
        <v>0.1235</v>
      </c>
      <c r="U1131" s="10">
        <v>6.0000000000000001E-3</v>
      </c>
    </row>
    <row r="1132" spans="1:21" customFormat="1">
      <c r="A1132">
        <v>1</v>
      </c>
      <c r="B1132">
        <v>71</v>
      </c>
      <c r="C1132">
        <v>13</v>
      </c>
      <c r="D1132">
        <v>9</v>
      </c>
      <c r="E1132">
        <v>2020</v>
      </c>
      <c r="F1132">
        <v>8109</v>
      </c>
      <c r="G1132" t="str">
        <f>VLOOKUP(F1132,'[1]Sheet 1'!$B$2:$E$347,2,FALSE)</f>
        <v>Biobío</v>
      </c>
      <c r="H1132" t="str">
        <f>VLOOKUP(F1132,'[1]Sheet 1'!$B$2:$E$347,3,FALSE)</f>
        <v>Concepción</v>
      </c>
      <c r="I1132" t="str">
        <f>VLOOKUP(F1132,'[1]Sheet 1'!$B$2:$E$347,4,FALSE)</f>
        <v>Santa Juana</v>
      </c>
      <c r="J1132" t="s">
        <v>136</v>
      </c>
      <c r="K1132" s="3" t="s">
        <v>4</v>
      </c>
      <c r="L1132" s="12" t="str">
        <f>VLOOKUP(K1132,[2]Hoja4!$A$2:$C$443,2,FALSE)</f>
        <v>Intentional self-harm by hanging, strangulation and suffocation</v>
      </c>
      <c r="M1132" s="12" t="str">
        <f>VLOOKUP(K1132,[2]Hoja4!$A$2:$C$443,3,FALSE)</f>
        <v>At home</v>
      </c>
      <c r="N1132" s="1">
        <v>2.2000000000000002</v>
      </c>
      <c r="O1132" s="1">
        <v>15.9</v>
      </c>
      <c r="P1132" s="1">
        <v>9.5</v>
      </c>
      <c r="Q1132" s="1">
        <v>1026.4000000000001</v>
      </c>
      <c r="R1132" s="1">
        <v>0</v>
      </c>
      <c r="S1132" s="1">
        <v>77.8</v>
      </c>
      <c r="T1132" s="5">
        <v>0.1235</v>
      </c>
      <c r="U1132" s="10">
        <v>6.0000000000000001E-3</v>
      </c>
    </row>
    <row r="1133" spans="1:21" customFormat="1">
      <c r="A1133">
        <v>2</v>
      </c>
      <c r="B1133">
        <v>34</v>
      </c>
      <c r="C1133">
        <v>13</v>
      </c>
      <c r="D1133">
        <v>9</v>
      </c>
      <c r="E1133">
        <v>2020</v>
      </c>
      <c r="F1133">
        <v>5109</v>
      </c>
      <c r="G1133" t="str">
        <f>VLOOKUP(F1133,'[1]Sheet 1'!$B$2:$E$347,2,FALSE)</f>
        <v>Valparaíso</v>
      </c>
      <c r="H1133" t="str">
        <f>VLOOKUP(F1133,'[1]Sheet 1'!$B$2:$E$347,3,FALSE)</f>
        <v>Valparaíso</v>
      </c>
      <c r="I1133" t="str">
        <f>VLOOKUP(F1133,'[1]Sheet 1'!$B$2:$E$347,4,FALSE)</f>
        <v>Viña del Mar</v>
      </c>
      <c r="J1133" t="s">
        <v>136</v>
      </c>
      <c r="K1133" s="3" t="s">
        <v>4</v>
      </c>
      <c r="L1133" s="12" t="str">
        <f>VLOOKUP(K1133,[2]Hoja4!$A$2:$C$443,2,FALSE)</f>
        <v>Intentional self-harm by hanging, strangulation and suffocation</v>
      </c>
      <c r="M1133" s="12" t="str">
        <f>VLOOKUP(K1133,[2]Hoja4!$A$2:$C$443,3,FALSE)</f>
        <v>At home</v>
      </c>
      <c r="N1133" s="1">
        <v>7.2</v>
      </c>
      <c r="O1133" s="1">
        <v>21.2</v>
      </c>
      <c r="P1133" s="1">
        <v>12.7</v>
      </c>
      <c r="Q1133" s="1">
        <v>979.5</v>
      </c>
      <c r="R1133" s="1">
        <v>0</v>
      </c>
      <c r="S1133" s="1">
        <v>61</v>
      </c>
      <c r="T1133" s="5">
        <v>0.1235</v>
      </c>
      <c r="U1133" s="10">
        <v>6.0000000000000001E-3</v>
      </c>
    </row>
    <row r="1134" spans="1:21" customFormat="1">
      <c r="A1134">
        <v>1</v>
      </c>
      <c r="B1134">
        <v>67</v>
      </c>
      <c r="C1134">
        <v>14</v>
      </c>
      <c r="D1134">
        <v>9</v>
      </c>
      <c r="E1134">
        <v>2020</v>
      </c>
      <c r="F1134">
        <v>7105</v>
      </c>
      <c r="G1134" t="str">
        <f>VLOOKUP(F1134,'[1]Sheet 1'!$B$2:$E$347,2,FALSE)</f>
        <v>Maule</v>
      </c>
      <c r="H1134" t="str">
        <f>VLOOKUP(F1134,'[1]Sheet 1'!$B$2:$E$347,3,FALSE)</f>
        <v>Talca</v>
      </c>
      <c r="I1134" t="str">
        <f>VLOOKUP(F1134,'[1]Sheet 1'!$B$2:$E$347,4,FALSE)</f>
        <v>Maule</v>
      </c>
      <c r="J1134" t="s">
        <v>136</v>
      </c>
      <c r="K1134" s="3" t="s">
        <v>4</v>
      </c>
      <c r="L1134" s="12" t="str">
        <f>VLOOKUP(K1134,[2]Hoja4!$A$2:$C$443,2,FALSE)</f>
        <v>Intentional self-harm by hanging, strangulation and suffocation</v>
      </c>
      <c r="M1134" s="12" t="str">
        <f>VLOOKUP(K1134,[2]Hoja4!$A$2:$C$443,3,FALSE)</f>
        <v>At home</v>
      </c>
      <c r="N1134" s="1">
        <v>4.8</v>
      </c>
      <c r="O1134" s="1">
        <v>22</v>
      </c>
      <c r="P1134" s="1">
        <v>11.9</v>
      </c>
      <c r="Q1134" s="1">
        <v>1002.5</v>
      </c>
      <c r="R1134" s="1">
        <v>0</v>
      </c>
      <c r="S1134" s="1">
        <v>66.2</v>
      </c>
      <c r="T1134" s="5">
        <v>0.1235</v>
      </c>
      <c r="U1134" s="10">
        <v>6.0000000000000001E-3</v>
      </c>
    </row>
    <row r="1135" spans="1:21" customFormat="1">
      <c r="A1135">
        <v>1</v>
      </c>
      <c r="B1135">
        <v>21</v>
      </c>
      <c r="C1135">
        <v>14</v>
      </c>
      <c r="D1135">
        <v>9</v>
      </c>
      <c r="E1135">
        <v>2020</v>
      </c>
      <c r="F1135">
        <v>8108</v>
      </c>
      <c r="G1135" t="str">
        <f>VLOOKUP(F1135,'[1]Sheet 1'!$B$2:$E$347,2,FALSE)</f>
        <v>Biobío</v>
      </c>
      <c r="H1135" t="str">
        <f>VLOOKUP(F1135,'[1]Sheet 1'!$B$2:$E$347,3,FALSE)</f>
        <v>Concepción</v>
      </c>
      <c r="I1135" t="str">
        <f>VLOOKUP(F1135,'[1]Sheet 1'!$B$2:$E$347,4,FALSE)</f>
        <v>San Pedro de la Paz</v>
      </c>
      <c r="J1135" t="s">
        <v>136</v>
      </c>
      <c r="K1135" s="3" t="s">
        <v>4</v>
      </c>
      <c r="L1135" s="12" t="str">
        <f>VLOOKUP(K1135,[2]Hoja4!$A$2:$C$443,2,FALSE)</f>
        <v>Intentional self-harm by hanging, strangulation and suffocation</v>
      </c>
      <c r="M1135" s="12" t="str">
        <f>VLOOKUP(K1135,[2]Hoja4!$A$2:$C$443,3,FALSE)</f>
        <v>At home</v>
      </c>
      <c r="N1135" s="1">
        <v>4.8</v>
      </c>
      <c r="O1135" s="1">
        <v>19.100000000000001</v>
      </c>
      <c r="P1135" s="1">
        <v>11.4</v>
      </c>
      <c r="Q1135" s="1">
        <v>1015.6</v>
      </c>
      <c r="R1135" s="1">
        <v>0</v>
      </c>
      <c r="S1135" s="1">
        <v>59.5</v>
      </c>
      <c r="T1135" s="5">
        <v>0.1235</v>
      </c>
      <c r="U1135" s="10">
        <v>6.0000000000000001E-3</v>
      </c>
    </row>
    <row r="1136" spans="1:21" customFormat="1">
      <c r="A1136">
        <v>1</v>
      </c>
      <c r="B1136">
        <v>77</v>
      </c>
      <c r="C1136">
        <v>15</v>
      </c>
      <c r="D1136">
        <v>9</v>
      </c>
      <c r="E1136">
        <v>2020</v>
      </c>
      <c r="F1136">
        <v>5601</v>
      </c>
      <c r="G1136" t="str">
        <f>VLOOKUP(F1136,'[1]Sheet 1'!$B$2:$E$347,2,FALSE)</f>
        <v>Valparaíso</v>
      </c>
      <c r="H1136" t="str">
        <f>VLOOKUP(F1136,'[1]Sheet 1'!$B$2:$E$347,3,FALSE)</f>
        <v>San Antonio</v>
      </c>
      <c r="I1136" t="str">
        <f>VLOOKUP(F1136,'[1]Sheet 1'!$B$2:$E$347,4,FALSE)</f>
        <v>San Antonio</v>
      </c>
      <c r="J1136" t="s">
        <v>170</v>
      </c>
      <c r="K1136" s="3" t="s">
        <v>5</v>
      </c>
      <c r="L1136" s="12" t="str">
        <f>VLOOKUP(K1136,[2]Hoja4!$A$2:$C$443,2,FALSE)</f>
        <v>Intentional self-harm by other and unspecified firearm discharge</v>
      </c>
      <c r="M1136" s="12" t="str">
        <f>VLOOKUP(K1136,[2]Hoja4!$A$2:$C$443,3,FALSE)</f>
        <v>At home</v>
      </c>
      <c r="N1136" s="1">
        <v>8.5</v>
      </c>
      <c r="O1136" s="1">
        <v>15</v>
      </c>
      <c r="P1136" s="1">
        <v>11.8</v>
      </c>
      <c r="Q1136" s="1">
        <v>1013.4</v>
      </c>
      <c r="R1136" s="1">
        <v>0</v>
      </c>
      <c r="S1136" s="1">
        <v>80.8</v>
      </c>
      <c r="T1136" s="5">
        <v>0.1235</v>
      </c>
      <c r="U1136" s="10">
        <v>6.0000000000000001E-3</v>
      </c>
    </row>
    <row r="1137" spans="1:21" customFormat="1">
      <c r="A1137">
        <v>1</v>
      </c>
      <c r="B1137">
        <v>77</v>
      </c>
      <c r="C1137">
        <v>15</v>
      </c>
      <c r="D1137">
        <v>9</v>
      </c>
      <c r="E1137">
        <v>2020</v>
      </c>
      <c r="F1137">
        <v>12101</v>
      </c>
      <c r="G1137" t="str">
        <f>VLOOKUP(F1137,'[1]Sheet 1'!$B$2:$E$347,2,FALSE)</f>
        <v>Magallanes y de la Antártica Chilena</v>
      </c>
      <c r="H1137" t="str">
        <f>VLOOKUP(F1137,'[1]Sheet 1'!$B$2:$E$347,3,FALSE)</f>
        <v>Magallanes</v>
      </c>
      <c r="I1137" t="str">
        <f>VLOOKUP(F1137,'[1]Sheet 1'!$B$2:$E$347,4,FALSE)</f>
        <v>Punta Arenas</v>
      </c>
      <c r="J1137" t="s">
        <v>136</v>
      </c>
      <c r="K1137" s="3" t="s">
        <v>4</v>
      </c>
      <c r="L1137" s="12" t="str">
        <f>VLOOKUP(K1137,[2]Hoja4!$A$2:$C$443,2,FALSE)</f>
        <v>Intentional self-harm by hanging, strangulation and suffocation</v>
      </c>
      <c r="M1137" s="12" t="str">
        <f>VLOOKUP(K1137,[2]Hoja4!$A$2:$C$443,3,FALSE)</f>
        <v>At home</v>
      </c>
      <c r="N1137" s="1">
        <v>0.9</v>
      </c>
      <c r="O1137" s="1">
        <v>5.8</v>
      </c>
      <c r="P1137" s="1">
        <v>3</v>
      </c>
      <c r="Q1137" s="1">
        <v>1004.7</v>
      </c>
      <c r="R1137" s="1">
        <v>0</v>
      </c>
      <c r="S1137" s="1">
        <v>69.8</v>
      </c>
      <c r="T1137" s="5">
        <v>0.1235</v>
      </c>
      <c r="U1137" s="10">
        <v>6.0000000000000001E-3</v>
      </c>
    </row>
    <row r="1138" spans="1:21" customFormat="1">
      <c r="A1138">
        <v>1</v>
      </c>
      <c r="B1138">
        <v>80</v>
      </c>
      <c r="C1138">
        <v>15</v>
      </c>
      <c r="D1138">
        <v>9</v>
      </c>
      <c r="E1138">
        <v>2020</v>
      </c>
      <c r="F1138">
        <v>7201</v>
      </c>
      <c r="G1138" t="str">
        <f>VLOOKUP(F1138,'[1]Sheet 1'!$B$2:$E$347,2,FALSE)</f>
        <v>Maule</v>
      </c>
      <c r="H1138" t="str">
        <f>VLOOKUP(F1138,'[1]Sheet 1'!$B$2:$E$347,3,FALSE)</f>
        <v>Cauquenes</v>
      </c>
      <c r="I1138" t="str">
        <f>VLOOKUP(F1138,'[1]Sheet 1'!$B$2:$E$347,4,FALSE)</f>
        <v>Cauquenes</v>
      </c>
      <c r="J1138" t="s">
        <v>136</v>
      </c>
      <c r="K1138" s="3" t="s">
        <v>4</v>
      </c>
      <c r="L1138" s="12" t="str">
        <f>VLOOKUP(K1138,[2]Hoja4!$A$2:$C$443,2,FALSE)</f>
        <v>Intentional self-harm by hanging, strangulation and suffocation</v>
      </c>
      <c r="M1138" s="12" t="str">
        <f>VLOOKUP(K1138,[2]Hoja4!$A$2:$C$443,3,FALSE)</f>
        <v>At home</v>
      </c>
      <c r="N1138" s="1">
        <v>3.9</v>
      </c>
      <c r="O1138" s="1">
        <v>19.8</v>
      </c>
      <c r="P1138" s="1">
        <v>11.1</v>
      </c>
      <c r="Q1138" s="1">
        <v>1003</v>
      </c>
      <c r="R1138" s="1">
        <v>0</v>
      </c>
      <c r="S1138" s="1">
        <v>81.2</v>
      </c>
      <c r="T1138" s="5">
        <v>0.1235</v>
      </c>
      <c r="U1138" s="10">
        <v>6.0000000000000001E-3</v>
      </c>
    </row>
    <row r="1139" spans="1:21" customFormat="1">
      <c r="A1139">
        <v>1</v>
      </c>
      <c r="B1139">
        <v>87</v>
      </c>
      <c r="C1139">
        <v>15</v>
      </c>
      <c r="D1139">
        <v>9</v>
      </c>
      <c r="E1139">
        <v>2020</v>
      </c>
      <c r="F1139">
        <v>8305</v>
      </c>
      <c r="G1139" t="str">
        <f>VLOOKUP(F1139,'[1]Sheet 1'!$B$2:$E$347,2,FALSE)</f>
        <v>Biobío</v>
      </c>
      <c r="H1139" t="str">
        <f>VLOOKUP(F1139,'[1]Sheet 1'!$B$2:$E$347,3,FALSE)</f>
        <v>Biobío</v>
      </c>
      <c r="I1139" t="str">
        <f>VLOOKUP(F1139,'[1]Sheet 1'!$B$2:$E$347,4,FALSE)</f>
        <v>Mulchén</v>
      </c>
      <c r="J1139" t="s">
        <v>136</v>
      </c>
      <c r="K1139" s="3" t="s">
        <v>0</v>
      </c>
      <c r="L1139" s="12" t="str">
        <f>VLOOKUP(K1139,[2]Hoja4!$A$2:$C$443,2,FALSE)</f>
        <v>Intentional self-harm by hanging, strangulation and suffocation</v>
      </c>
      <c r="M1139" s="12" t="str">
        <f>VLOOKUP(K1139,[2]Hoja4!$A$2:$C$443,3,FALSE)</f>
        <v>Unspecified place</v>
      </c>
      <c r="N1139" s="1">
        <v>7</v>
      </c>
      <c r="O1139" s="1">
        <v>17.5</v>
      </c>
      <c r="P1139" s="1">
        <v>12.3</v>
      </c>
      <c r="Q1139" s="1">
        <v>1006.5</v>
      </c>
      <c r="R1139" s="1">
        <v>1</v>
      </c>
      <c r="S1139" s="1">
        <v>87.8</v>
      </c>
      <c r="T1139" s="5">
        <v>0.1235</v>
      </c>
      <c r="U1139" s="10">
        <v>6.0000000000000001E-3</v>
      </c>
    </row>
    <row r="1140" spans="1:21" customFormat="1">
      <c r="A1140">
        <v>1</v>
      </c>
      <c r="B1140">
        <v>66</v>
      </c>
      <c r="C1140">
        <v>15</v>
      </c>
      <c r="D1140">
        <v>9</v>
      </c>
      <c r="E1140">
        <v>2020</v>
      </c>
      <c r="F1140">
        <v>5502</v>
      </c>
      <c r="G1140" t="str">
        <f>VLOOKUP(F1140,'[1]Sheet 1'!$B$2:$E$347,2,FALSE)</f>
        <v>Valparaíso</v>
      </c>
      <c r="H1140" t="str">
        <f>VLOOKUP(F1140,'[1]Sheet 1'!$B$2:$E$347,3,FALSE)</f>
        <v>Quillota</v>
      </c>
      <c r="I1140" t="str">
        <f>VLOOKUP(F1140,'[1]Sheet 1'!$B$2:$E$347,4,FALSE)</f>
        <v>Calera</v>
      </c>
      <c r="J1140" t="s">
        <v>136</v>
      </c>
      <c r="K1140" s="3" t="s">
        <v>4</v>
      </c>
      <c r="L1140" s="12" t="str">
        <f>VLOOKUP(K1140,[2]Hoja4!$A$2:$C$443,2,FALSE)</f>
        <v>Intentional self-harm by hanging, strangulation and suffocation</v>
      </c>
      <c r="M1140" s="12" t="str">
        <f>VLOOKUP(K1140,[2]Hoja4!$A$2:$C$443,3,FALSE)</f>
        <v>At home</v>
      </c>
      <c r="N1140" s="1">
        <v>4.5</v>
      </c>
      <c r="O1140" s="1">
        <v>14.2</v>
      </c>
      <c r="P1140" s="1">
        <v>9.8000000000000007</v>
      </c>
      <c r="Q1140" s="1">
        <v>1001.7</v>
      </c>
      <c r="R1140" s="1">
        <v>0</v>
      </c>
      <c r="S1140" s="1">
        <v>81.7</v>
      </c>
      <c r="T1140" s="5">
        <v>0.1235</v>
      </c>
      <c r="U1140" s="10">
        <v>6.0000000000000001E-3</v>
      </c>
    </row>
    <row r="1141" spans="1:21" customFormat="1">
      <c r="A1141">
        <v>1</v>
      </c>
      <c r="B1141">
        <v>43</v>
      </c>
      <c r="C1141">
        <v>15</v>
      </c>
      <c r="D1141">
        <v>9</v>
      </c>
      <c r="E1141">
        <v>2020</v>
      </c>
      <c r="F1141">
        <v>5103</v>
      </c>
      <c r="G1141" t="str">
        <f>VLOOKUP(F1141,'[1]Sheet 1'!$B$2:$E$347,2,FALSE)</f>
        <v>Valparaíso</v>
      </c>
      <c r="H1141" t="str">
        <f>VLOOKUP(F1141,'[1]Sheet 1'!$B$2:$E$347,3,FALSE)</f>
        <v>Valparaíso</v>
      </c>
      <c r="I1141" t="str">
        <f>VLOOKUP(F1141,'[1]Sheet 1'!$B$2:$E$347,4,FALSE)</f>
        <v>Concón</v>
      </c>
      <c r="J1141" t="s">
        <v>136</v>
      </c>
      <c r="K1141" s="3" t="s">
        <v>4</v>
      </c>
      <c r="L1141" s="12" t="str">
        <f>VLOOKUP(K1141,[2]Hoja4!$A$2:$C$443,2,FALSE)</f>
        <v>Intentional self-harm by hanging, strangulation and suffocation</v>
      </c>
      <c r="M1141" s="12" t="str">
        <f>VLOOKUP(K1141,[2]Hoja4!$A$2:$C$443,3,FALSE)</f>
        <v>At home</v>
      </c>
      <c r="N1141" s="1">
        <v>8</v>
      </c>
      <c r="O1141" s="1">
        <v>10.6</v>
      </c>
      <c r="P1141" s="1">
        <v>9.1</v>
      </c>
      <c r="Q1141" s="1">
        <v>981.8</v>
      </c>
      <c r="R1141" s="1">
        <v>0</v>
      </c>
      <c r="S1141" s="1">
        <v>90.2</v>
      </c>
      <c r="T1141" s="5">
        <v>0.1235</v>
      </c>
      <c r="U1141" s="10">
        <v>6.0000000000000001E-3</v>
      </c>
    </row>
    <row r="1142" spans="1:21" customFormat="1">
      <c r="A1142">
        <v>1</v>
      </c>
      <c r="B1142">
        <v>32</v>
      </c>
      <c r="C1142">
        <v>15</v>
      </c>
      <c r="D1142">
        <v>9</v>
      </c>
      <c r="E1142">
        <v>2020</v>
      </c>
      <c r="F1142">
        <v>6310</v>
      </c>
      <c r="G1142" t="str">
        <f>VLOOKUP(F1142,'[1]Sheet 1'!$B$2:$E$347,2,FALSE)</f>
        <v>Libertador General Bernardo O'Higgins</v>
      </c>
      <c r="H1142" t="str">
        <f>VLOOKUP(F1142,'[1]Sheet 1'!$B$2:$E$347,3,FALSE)</f>
        <v>Colchagua</v>
      </c>
      <c r="I1142" t="str">
        <f>VLOOKUP(F1142,'[1]Sheet 1'!$B$2:$E$347,4,FALSE)</f>
        <v>Santa Cruz</v>
      </c>
      <c r="J1142" t="s">
        <v>136</v>
      </c>
      <c r="K1142" s="3" t="s">
        <v>0</v>
      </c>
      <c r="L1142" s="12" t="str">
        <f>VLOOKUP(K1142,[2]Hoja4!$A$2:$C$443,2,FALSE)</f>
        <v>Intentional self-harm by hanging, strangulation and suffocation</v>
      </c>
      <c r="M1142" s="12" t="str">
        <f>VLOOKUP(K1142,[2]Hoja4!$A$2:$C$443,3,FALSE)</f>
        <v>Unspecified place</v>
      </c>
      <c r="N1142" s="1">
        <v>3.1</v>
      </c>
      <c r="O1142" s="1">
        <v>17</v>
      </c>
      <c r="P1142" s="1">
        <v>9.1999999999999993</v>
      </c>
      <c r="Q1142" s="1">
        <v>985.3</v>
      </c>
      <c r="R1142" s="1">
        <v>0</v>
      </c>
      <c r="S1142" s="1">
        <v>83.8</v>
      </c>
      <c r="T1142" s="5">
        <v>0.1235</v>
      </c>
      <c r="U1142" s="10">
        <v>6.0000000000000001E-3</v>
      </c>
    </row>
    <row r="1143" spans="1:21" customFormat="1">
      <c r="A1143">
        <v>2</v>
      </c>
      <c r="B1143">
        <v>28</v>
      </c>
      <c r="C1143">
        <v>15</v>
      </c>
      <c r="D1143">
        <v>9</v>
      </c>
      <c r="E1143">
        <v>2020</v>
      </c>
      <c r="F1143">
        <v>13127</v>
      </c>
      <c r="G1143" t="str">
        <f>VLOOKUP(F1143,'[1]Sheet 1'!$B$2:$E$347,2,FALSE)</f>
        <v>Metropolitana de Santiago</v>
      </c>
      <c r="H1143" t="str">
        <f>VLOOKUP(F1143,'[1]Sheet 1'!$B$2:$E$347,3,FALSE)</f>
        <v>Santiago</v>
      </c>
      <c r="I1143" t="str">
        <f>VLOOKUP(F1143,'[1]Sheet 1'!$B$2:$E$347,4,FALSE)</f>
        <v>Recoleta</v>
      </c>
      <c r="J1143" t="s">
        <v>136</v>
      </c>
      <c r="K1143" s="3" t="s">
        <v>0</v>
      </c>
      <c r="L1143" s="12" t="str">
        <f>VLOOKUP(K1143,[2]Hoja4!$A$2:$C$443,2,FALSE)</f>
        <v>Intentional self-harm by hanging, strangulation and suffocation</v>
      </c>
      <c r="M1143" s="12" t="str">
        <f>VLOOKUP(K1143,[2]Hoja4!$A$2:$C$443,3,FALSE)</f>
        <v>Unspecified place</v>
      </c>
      <c r="N1143" s="1">
        <v>5.4</v>
      </c>
      <c r="O1143" s="1">
        <v>17</v>
      </c>
      <c r="P1143" s="1">
        <v>11</v>
      </c>
      <c r="Q1143" s="1">
        <v>959.7</v>
      </c>
      <c r="R1143" s="1"/>
      <c r="S1143" s="1">
        <v>83.5</v>
      </c>
      <c r="T1143" s="5">
        <v>0.1235</v>
      </c>
      <c r="U1143" s="10">
        <v>6.0000000000000001E-3</v>
      </c>
    </row>
    <row r="1144" spans="1:21" customFormat="1">
      <c r="A1144">
        <v>2</v>
      </c>
      <c r="B1144">
        <v>22</v>
      </c>
      <c r="C1144">
        <v>15</v>
      </c>
      <c r="D1144">
        <v>9</v>
      </c>
      <c r="E1144">
        <v>2020</v>
      </c>
      <c r="F1144">
        <v>5109</v>
      </c>
      <c r="G1144" t="str">
        <f>VLOOKUP(F1144,'[1]Sheet 1'!$B$2:$E$347,2,FALSE)</f>
        <v>Valparaíso</v>
      </c>
      <c r="H1144" t="str">
        <f>VLOOKUP(F1144,'[1]Sheet 1'!$B$2:$E$347,3,FALSE)</f>
        <v>Valparaíso</v>
      </c>
      <c r="I1144" t="str">
        <f>VLOOKUP(F1144,'[1]Sheet 1'!$B$2:$E$347,4,FALSE)</f>
        <v>Viña del Mar</v>
      </c>
      <c r="J1144" t="s">
        <v>170</v>
      </c>
      <c r="K1144" s="3" t="s">
        <v>5</v>
      </c>
      <c r="L1144" s="12" t="str">
        <f>VLOOKUP(K1144,[2]Hoja4!$A$2:$C$443,2,FALSE)</f>
        <v>Intentional self-harm by other and unspecified firearm discharge</v>
      </c>
      <c r="M1144" s="12" t="str">
        <f>VLOOKUP(K1144,[2]Hoja4!$A$2:$C$443,3,FALSE)</f>
        <v>At home</v>
      </c>
      <c r="N1144" s="1">
        <v>8</v>
      </c>
      <c r="O1144" s="1">
        <v>10.6</v>
      </c>
      <c r="P1144" s="1">
        <v>9.1</v>
      </c>
      <c r="Q1144" s="1">
        <v>981.8</v>
      </c>
      <c r="R1144" s="1">
        <v>0</v>
      </c>
      <c r="S1144" s="1">
        <v>90.2</v>
      </c>
      <c r="T1144" s="5">
        <v>0.1235</v>
      </c>
      <c r="U1144" s="10">
        <v>6.0000000000000001E-3</v>
      </c>
    </row>
    <row r="1145" spans="1:21" customFormat="1">
      <c r="A1145">
        <v>1</v>
      </c>
      <c r="B1145">
        <v>26</v>
      </c>
      <c r="C1145">
        <v>15</v>
      </c>
      <c r="D1145">
        <v>9</v>
      </c>
      <c r="E1145">
        <v>2020</v>
      </c>
      <c r="F1145">
        <v>13101</v>
      </c>
      <c r="G1145" t="str">
        <f>VLOOKUP(F1145,'[1]Sheet 1'!$B$2:$E$347,2,FALSE)</f>
        <v>Metropolitana de Santiago</v>
      </c>
      <c r="H1145" t="str">
        <f>VLOOKUP(F1145,'[1]Sheet 1'!$B$2:$E$347,3,FALSE)</f>
        <v>Santiago</v>
      </c>
      <c r="I1145" t="str">
        <f>VLOOKUP(F1145,'[1]Sheet 1'!$B$2:$E$347,4,FALSE)</f>
        <v>Santiago</v>
      </c>
      <c r="J1145" t="s">
        <v>136</v>
      </c>
      <c r="K1145" s="3" t="s">
        <v>0</v>
      </c>
      <c r="L1145" s="12" t="str">
        <f>VLOOKUP(K1145,[2]Hoja4!$A$2:$C$443,2,FALSE)</f>
        <v>Intentional self-harm by hanging, strangulation and suffocation</v>
      </c>
      <c r="M1145" s="12" t="str">
        <f>VLOOKUP(K1145,[2]Hoja4!$A$2:$C$443,3,FALSE)</f>
        <v>Unspecified place</v>
      </c>
      <c r="N1145" s="1">
        <v>5.4</v>
      </c>
      <c r="O1145" s="1">
        <v>17</v>
      </c>
      <c r="P1145" s="1">
        <v>11</v>
      </c>
      <c r="Q1145" s="1">
        <v>959.7</v>
      </c>
      <c r="R1145" s="1"/>
      <c r="S1145" s="1">
        <v>83.5</v>
      </c>
      <c r="T1145" s="5">
        <v>0.1235</v>
      </c>
      <c r="U1145" s="10">
        <v>6.0000000000000001E-3</v>
      </c>
    </row>
    <row r="1146" spans="1:21" customFormat="1">
      <c r="A1146">
        <v>1</v>
      </c>
      <c r="B1146">
        <v>27</v>
      </c>
      <c r="C1146">
        <v>16</v>
      </c>
      <c r="D1146">
        <v>9</v>
      </c>
      <c r="E1146">
        <v>2020</v>
      </c>
      <c r="F1146">
        <v>13105</v>
      </c>
      <c r="G1146" t="str">
        <f>VLOOKUP(F1146,'[1]Sheet 1'!$B$2:$E$347,2,FALSE)</f>
        <v>Metropolitana de Santiago</v>
      </c>
      <c r="H1146" t="str">
        <f>VLOOKUP(F1146,'[1]Sheet 1'!$B$2:$E$347,3,FALSE)</f>
        <v>Santiago</v>
      </c>
      <c r="I1146" t="str">
        <f>VLOOKUP(F1146,'[1]Sheet 1'!$B$2:$E$347,4,FALSE)</f>
        <v>El Bosque</v>
      </c>
      <c r="J1146" t="s">
        <v>136</v>
      </c>
      <c r="K1146" s="3" t="s">
        <v>4</v>
      </c>
      <c r="L1146" s="12" t="str">
        <f>VLOOKUP(K1146,[2]Hoja4!$A$2:$C$443,2,FALSE)</f>
        <v>Intentional self-harm by hanging, strangulation and suffocation</v>
      </c>
      <c r="M1146" s="12" t="str">
        <f>VLOOKUP(K1146,[2]Hoja4!$A$2:$C$443,3,FALSE)</f>
        <v>At home</v>
      </c>
      <c r="N1146" s="1">
        <v>8.6</v>
      </c>
      <c r="O1146" s="1">
        <v>22.8</v>
      </c>
      <c r="P1146" s="1">
        <v>13.6</v>
      </c>
      <c r="Q1146" s="1">
        <v>960.2</v>
      </c>
      <c r="R1146" s="1"/>
      <c r="S1146" s="1">
        <v>67</v>
      </c>
      <c r="T1146" s="5">
        <v>0.1235</v>
      </c>
      <c r="U1146" s="10">
        <v>6.0000000000000001E-3</v>
      </c>
    </row>
    <row r="1147" spans="1:21" customFormat="1">
      <c r="A1147">
        <v>1</v>
      </c>
      <c r="B1147">
        <v>42</v>
      </c>
      <c r="C1147">
        <v>18</v>
      </c>
      <c r="D1147">
        <v>9</v>
      </c>
      <c r="E1147">
        <v>2020</v>
      </c>
      <c r="F1147">
        <v>13126</v>
      </c>
      <c r="G1147" t="str">
        <f>VLOOKUP(F1147,'[1]Sheet 1'!$B$2:$E$347,2,FALSE)</f>
        <v>Metropolitana de Santiago</v>
      </c>
      <c r="H1147" t="str">
        <f>VLOOKUP(F1147,'[1]Sheet 1'!$B$2:$E$347,3,FALSE)</f>
        <v>Santiago</v>
      </c>
      <c r="I1147" t="str">
        <f>VLOOKUP(F1147,'[1]Sheet 1'!$B$2:$E$347,4,FALSE)</f>
        <v>Quinta Normal</v>
      </c>
      <c r="J1147" t="s">
        <v>136</v>
      </c>
      <c r="K1147" s="3" t="s">
        <v>0</v>
      </c>
      <c r="L1147" s="12" t="str">
        <f>VLOOKUP(K1147,[2]Hoja4!$A$2:$C$443,2,FALSE)</f>
        <v>Intentional self-harm by hanging, strangulation and suffocation</v>
      </c>
      <c r="M1147" s="12" t="str">
        <f>VLOOKUP(K1147,[2]Hoja4!$A$2:$C$443,3,FALSE)</f>
        <v>Unspecified place</v>
      </c>
      <c r="N1147" s="1">
        <v>6.6</v>
      </c>
      <c r="O1147" s="1">
        <v>26.8</v>
      </c>
      <c r="P1147" s="1">
        <v>15.9</v>
      </c>
      <c r="Q1147" s="1">
        <v>956.6</v>
      </c>
      <c r="R1147" s="1"/>
      <c r="S1147" s="1">
        <v>63</v>
      </c>
      <c r="T1147" s="5">
        <v>0.1235</v>
      </c>
      <c r="U1147" s="10">
        <v>6.0000000000000001E-3</v>
      </c>
    </row>
    <row r="1148" spans="1:21" customFormat="1">
      <c r="A1148">
        <v>1</v>
      </c>
      <c r="B1148">
        <v>33</v>
      </c>
      <c r="C1148">
        <v>18</v>
      </c>
      <c r="D1148">
        <v>9</v>
      </c>
      <c r="E1148">
        <v>2020</v>
      </c>
      <c r="F1148">
        <v>2201</v>
      </c>
      <c r="G1148" t="str">
        <f>VLOOKUP(F1148,'[1]Sheet 1'!$B$2:$E$347,2,FALSE)</f>
        <v>Antofagasta</v>
      </c>
      <c r="H1148" t="str">
        <f>VLOOKUP(F1148,'[1]Sheet 1'!$B$2:$E$347,3,FALSE)</f>
        <v>El Loa</v>
      </c>
      <c r="I1148" t="str">
        <f>VLOOKUP(F1148,'[1]Sheet 1'!$B$2:$E$347,4,FALSE)</f>
        <v>Calama</v>
      </c>
      <c r="J1148" t="s">
        <v>136</v>
      </c>
      <c r="K1148" s="3" t="s">
        <v>0</v>
      </c>
      <c r="L1148" s="12" t="str">
        <f>VLOOKUP(K1148,[2]Hoja4!$A$2:$C$443,2,FALSE)</f>
        <v>Intentional self-harm by hanging, strangulation and suffocation</v>
      </c>
      <c r="M1148" s="12" t="str">
        <f>VLOOKUP(K1148,[2]Hoja4!$A$2:$C$443,3,FALSE)</f>
        <v>Unspecified place</v>
      </c>
      <c r="N1148" s="1">
        <v>3.7</v>
      </c>
      <c r="O1148" s="1">
        <v>24.6</v>
      </c>
      <c r="P1148" s="1">
        <v>13.6</v>
      </c>
      <c r="Q1148" s="1">
        <v>773.3</v>
      </c>
      <c r="R1148" s="1">
        <v>0</v>
      </c>
      <c r="S1148" s="1">
        <v>13.5</v>
      </c>
      <c r="T1148" s="5">
        <v>0.1235</v>
      </c>
      <c r="U1148" s="10">
        <v>6.0000000000000001E-3</v>
      </c>
    </row>
    <row r="1149" spans="1:21" customFormat="1">
      <c r="A1149">
        <v>2</v>
      </c>
      <c r="B1149">
        <v>32</v>
      </c>
      <c r="C1149">
        <v>18</v>
      </c>
      <c r="D1149">
        <v>9</v>
      </c>
      <c r="E1149">
        <v>2020</v>
      </c>
      <c r="F1149">
        <v>16107</v>
      </c>
      <c r="G1149" t="str">
        <f>VLOOKUP(F1149,'[1]Sheet 1'!$B$2:$E$347,2,FALSE)</f>
        <v>Ñuble</v>
      </c>
      <c r="H1149" t="str">
        <f>VLOOKUP(F1149,'[1]Sheet 1'!$B$2:$E$347,3,FALSE)</f>
        <v>Diguillín</v>
      </c>
      <c r="I1149" t="str">
        <f>VLOOKUP(F1149,'[1]Sheet 1'!$B$2:$E$347,4,FALSE)</f>
        <v>Quillón</v>
      </c>
      <c r="J1149" t="s">
        <v>141</v>
      </c>
      <c r="K1149" s="3" t="s">
        <v>21</v>
      </c>
      <c r="L1149" s="12" t="str">
        <f>VLOOKUP(K1149,[2]Hoja4!$A$2:$C$443,2,FALSE)</f>
        <v>Intentional self-harm by other and unspecified firearm discharge</v>
      </c>
      <c r="M1149" s="12" t="str">
        <f>VLOOKUP(K1149,[2]Hoja4!$A$2:$C$443,3,FALSE)</f>
        <v>Street and highway</v>
      </c>
      <c r="N1149" s="1">
        <v>6.5</v>
      </c>
      <c r="O1149" s="1">
        <v>17.899999999999999</v>
      </c>
      <c r="P1149" s="1">
        <v>11.7</v>
      </c>
      <c r="Q1149" s="1">
        <v>1003.6</v>
      </c>
      <c r="R1149" s="1">
        <v>0</v>
      </c>
      <c r="S1149" s="1">
        <v>67.2</v>
      </c>
      <c r="T1149" s="5">
        <v>0.1235</v>
      </c>
      <c r="U1149" s="10">
        <v>6.0000000000000001E-3</v>
      </c>
    </row>
    <row r="1150" spans="1:21" customFormat="1">
      <c r="A1150">
        <v>2</v>
      </c>
      <c r="B1150">
        <v>32</v>
      </c>
      <c r="C1150">
        <v>18</v>
      </c>
      <c r="D1150">
        <v>9</v>
      </c>
      <c r="E1150">
        <v>2020</v>
      </c>
      <c r="F1150">
        <v>9108</v>
      </c>
      <c r="G1150" t="str">
        <f>VLOOKUP(F1150,'[1]Sheet 1'!$B$2:$E$347,2,FALSE)</f>
        <v>La Araucanía</v>
      </c>
      <c r="H1150" t="str">
        <f>VLOOKUP(F1150,'[1]Sheet 1'!$B$2:$E$347,3,FALSE)</f>
        <v>Cautín</v>
      </c>
      <c r="I1150" t="str">
        <f>VLOOKUP(F1150,'[1]Sheet 1'!$B$2:$E$347,4,FALSE)</f>
        <v>Lautaro</v>
      </c>
      <c r="J1150" t="s">
        <v>136</v>
      </c>
      <c r="K1150" s="3" t="s">
        <v>0</v>
      </c>
      <c r="L1150" s="12" t="str">
        <f>VLOOKUP(K1150,[2]Hoja4!$A$2:$C$443,2,FALSE)</f>
        <v>Intentional self-harm by hanging, strangulation and suffocation</v>
      </c>
      <c r="M1150" s="12" t="str">
        <f>VLOOKUP(K1150,[2]Hoja4!$A$2:$C$443,3,FALSE)</f>
        <v>Unspecified place</v>
      </c>
      <c r="N1150" s="1">
        <v>3.4</v>
      </c>
      <c r="O1150" s="1">
        <v>14.4</v>
      </c>
      <c r="P1150" s="1">
        <v>9.1</v>
      </c>
      <c r="Q1150" s="1">
        <v>1014.4</v>
      </c>
      <c r="R1150" s="1">
        <v>0</v>
      </c>
      <c r="S1150" s="1">
        <v>90</v>
      </c>
      <c r="T1150" s="5">
        <v>0.1235</v>
      </c>
      <c r="U1150" s="10">
        <v>6.0000000000000001E-3</v>
      </c>
    </row>
    <row r="1151" spans="1:21" customFormat="1">
      <c r="A1151">
        <v>1</v>
      </c>
      <c r="B1151">
        <v>21</v>
      </c>
      <c r="C1151">
        <v>18</v>
      </c>
      <c r="D1151">
        <v>9</v>
      </c>
      <c r="E1151">
        <v>2020</v>
      </c>
      <c r="F1151">
        <v>10106</v>
      </c>
      <c r="G1151" t="str">
        <f>VLOOKUP(F1151,'[1]Sheet 1'!$B$2:$E$347,2,FALSE)</f>
        <v>Los Lagos</v>
      </c>
      <c r="H1151" t="str">
        <f>VLOOKUP(F1151,'[1]Sheet 1'!$B$2:$E$347,3,FALSE)</f>
        <v>Llanquihue</v>
      </c>
      <c r="I1151" t="str">
        <f>VLOOKUP(F1151,'[1]Sheet 1'!$B$2:$E$347,4,FALSE)</f>
        <v>Los Muermos</v>
      </c>
      <c r="J1151" t="s">
        <v>136</v>
      </c>
      <c r="K1151" s="3" t="s">
        <v>4</v>
      </c>
      <c r="L1151" s="12" t="str">
        <f>VLOOKUP(K1151,[2]Hoja4!$A$2:$C$443,2,FALSE)</f>
        <v>Intentional self-harm by hanging, strangulation and suffocation</v>
      </c>
      <c r="M1151" s="12" t="str">
        <f>VLOOKUP(K1151,[2]Hoja4!$A$2:$C$443,3,FALSE)</f>
        <v>At home</v>
      </c>
      <c r="N1151" s="1">
        <v>6</v>
      </c>
      <c r="O1151" s="1">
        <v>12.2</v>
      </c>
      <c r="P1151" s="1">
        <v>8</v>
      </c>
      <c r="Q1151" s="1">
        <v>1016.8</v>
      </c>
      <c r="R1151" s="1">
        <v>0.6</v>
      </c>
      <c r="S1151" s="1">
        <v>88.5</v>
      </c>
      <c r="T1151" s="5">
        <v>0.1235</v>
      </c>
      <c r="U1151" s="10">
        <v>6.0000000000000001E-3</v>
      </c>
    </row>
    <row r="1152" spans="1:21" customFormat="1">
      <c r="A1152">
        <v>1</v>
      </c>
      <c r="B1152">
        <v>48</v>
      </c>
      <c r="C1152">
        <v>19</v>
      </c>
      <c r="D1152">
        <v>9</v>
      </c>
      <c r="E1152">
        <v>2020</v>
      </c>
      <c r="F1152">
        <v>9203</v>
      </c>
      <c r="G1152" t="str">
        <f>VLOOKUP(F1152,'[1]Sheet 1'!$B$2:$E$347,2,FALSE)</f>
        <v>La Araucanía</v>
      </c>
      <c r="H1152" t="str">
        <f>VLOOKUP(F1152,'[1]Sheet 1'!$B$2:$E$347,3,FALSE)</f>
        <v>Malleco</v>
      </c>
      <c r="I1152" t="str">
        <f>VLOOKUP(F1152,'[1]Sheet 1'!$B$2:$E$347,4,FALSE)</f>
        <v>Curacautín</v>
      </c>
      <c r="J1152" t="s">
        <v>136</v>
      </c>
      <c r="K1152" s="3" t="s">
        <v>0</v>
      </c>
      <c r="L1152" s="12" t="str">
        <f>VLOOKUP(K1152,[2]Hoja4!$A$2:$C$443,2,FALSE)</f>
        <v>Intentional self-harm by hanging, strangulation and suffocation</v>
      </c>
      <c r="M1152" s="12" t="str">
        <f>VLOOKUP(K1152,[2]Hoja4!$A$2:$C$443,3,FALSE)</f>
        <v>Unspecified place</v>
      </c>
      <c r="N1152" s="1">
        <v>6.9</v>
      </c>
      <c r="O1152" s="1">
        <v>20.5</v>
      </c>
      <c r="P1152" s="1">
        <v>12.5</v>
      </c>
      <c r="Q1152" s="1">
        <v>502</v>
      </c>
      <c r="R1152" s="1">
        <v>0</v>
      </c>
      <c r="S1152" s="1">
        <v>44.8</v>
      </c>
      <c r="T1152" s="5">
        <v>0.1235</v>
      </c>
      <c r="U1152" s="10">
        <v>6.0000000000000001E-3</v>
      </c>
    </row>
    <row r="1153" spans="1:21" customFormat="1">
      <c r="A1153">
        <v>1</v>
      </c>
      <c r="B1153">
        <v>48</v>
      </c>
      <c r="C1153">
        <v>19</v>
      </c>
      <c r="D1153">
        <v>9</v>
      </c>
      <c r="E1153">
        <v>2020</v>
      </c>
      <c r="F1153">
        <v>7307</v>
      </c>
      <c r="G1153" t="str">
        <f>VLOOKUP(F1153,'[1]Sheet 1'!$B$2:$E$347,2,FALSE)</f>
        <v>Maule</v>
      </c>
      <c r="H1153" t="str">
        <f>VLOOKUP(F1153,'[1]Sheet 1'!$B$2:$E$347,3,FALSE)</f>
        <v>Curicó</v>
      </c>
      <c r="I1153" t="str">
        <f>VLOOKUP(F1153,'[1]Sheet 1'!$B$2:$E$347,4,FALSE)</f>
        <v>Sagrada Familia</v>
      </c>
      <c r="J1153" t="s">
        <v>136</v>
      </c>
      <c r="K1153" s="3" t="s">
        <v>0</v>
      </c>
      <c r="L1153" s="12" t="str">
        <f>VLOOKUP(K1153,[2]Hoja4!$A$2:$C$443,2,FALSE)</f>
        <v>Intentional self-harm by hanging, strangulation and suffocation</v>
      </c>
      <c r="M1153" s="12" t="str">
        <f>VLOOKUP(K1153,[2]Hoja4!$A$2:$C$443,3,FALSE)</f>
        <v>Unspecified place</v>
      </c>
      <c r="N1153" s="1">
        <v>3.7</v>
      </c>
      <c r="O1153" s="1">
        <v>22.7</v>
      </c>
      <c r="P1153" s="1">
        <v>11.8</v>
      </c>
      <c r="Q1153" s="1">
        <v>990</v>
      </c>
      <c r="R1153" s="1">
        <v>0</v>
      </c>
      <c r="S1153" s="1">
        <v>70.8</v>
      </c>
      <c r="T1153" s="5">
        <v>0.1235</v>
      </c>
      <c r="U1153" s="10">
        <v>6.0000000000000001E-3</v>
      </c>
    </row>
    <row r="1154" spans="1:21" customFormat="1">
      <c r="A1154">
        <v>1</v>
      </c>
      <c r="B1154">
        <v>43</v>
      </c>
      <c r="C1154">
        <v>19</v>
      </c>
      <c r="D1154">
        <v>9</v>
      </c>
      <c r="E1154">
        <v>2020</v>
      </c>
      <c r="F1154">
        <v>8205</v>
      </c>
      <c r="G1154" t="str">
        <f>VLOOKUP(F1154,'[1]Sheet 1'!$B$2:$E$347,2,FALSE)</f>
        <v>Biobío</v>
      </c>
      <c r="H1154" t="str">
        <f>VLOOKUP(F1154,'[1]Sheet 1'!$B$2:$E$347,3,FALSE)</f>
        <v>Arauco</v>
      </c>
      <c r="I1154" t="str">
        <f>VLOOKUP(F1154,'[1]Sheet 1'!$B$2:$E$347,4,FALSE)</f>
        <v>Curanilahue</v>
      </c>
      <c r="J1154" t="s">
        <v>136</v>
      </c>
      <c r="K1154" s="3" t="s">
        <v>0</v>
      </c>
      <c r="L1154" s="12" t="str">
        <f>VLOOKUP(K1154,[2]Hoja4!$A$2:$C$443,2,FALSE)</f>
        <v>Intentional self-harm by hanging, strangulation and suffocation</v>
      </c>
      <c r="M1154" s="12" t="str">
        <f>VLOOKUP(K1154,[2]Hoja4!$A$2:$C$443,3,FALSE)</f>
        <v>Unspecified place</v>
      </c>
      <c r="N1154" s="1">
        <v>7.2</v>
      </c>
      <c r="O1154" s="1">
        <v>24.8</v>
      </c>
      <c r="P1154" s="1">
        <v>14.2</v>
      </c>
      <c r="Q1154" s="1">
        <v>1018.8</v>
      </c>
      <c r="R1154" s="1">
        <v>0</v>
      </c>
      <c r="S1154" s="1">
        <v>44.8</v>
      </c>
      <c r="T1154" s="5">
        <v>0.1235</v>
      </c>
      <c r="U1154" s="10">
        <v>6.0000000000000001E-3</v>
      </c>
    </row>
    <row r="1155" spans="1:21" customFormat="1">
      <c r="A1155">
        <v>1</v>
      </c>
      <c r="B1155">
        <v>32</v>
      </c>
      <c r="C1155">
        <v>19</v>
      </c>
      <c r="D1155">
        <v>9</v>
      </c>
      <c r="E1155">
        <v>2020</v>
      </c>
      <c r="F1155">
        <v>13302</v>
      </c>
      <c r="G1155" t="str">
        <f>VLOOKUP(F1155,'[1]Sheet 1'!$B$2:$E$347,2,FALSE)</f>
        <v>Metropolitana de Santiago</v>
      </c>
      <c r="H1155" t="str">
        <f>VLOOKUP(F1155,'[1]Sheet 1'!$B$2:$E$347,3,FALSE)</f>
        <v>Chacabuco</v>
      </c>
      <c r="I1155" t="str">
        <f>VLOOKUP(F1155,'[1]Sheet 1'!$B$2:$E$347,4,FALSE)</f>
        <v>Lampa</v>
      </c>
      <c r="J1155" t="s">
        <v>136</v>
      </c>
      <c r="K1155" s="3" t="s">
        <v>0</v>
      </c>
      <c r="L1155" s="12" t="str">
        <f>VLOOKUP(K1155,[2]Hoja4!$A$2:$C$443,2,FALSE)</f>
        <v>Intentional self-harm by hanging, strangulation and suffocation</v>
      </c>
      <c r="M1155" s="12" t="str">
        <f>VLOOKUP(K1155,[2]Hoja4!$A$2:$C$443,3,FALSE)</f>
        <v>Unspecified place</v>
      </c>
      <c r="N1155" s="1">
        <v>4.0999999999999996</v>
      </c>
      <c r="O1155" s="1">
        <v>29</v>
      </c>
      <c r="P1155" s="1">
        <v>16.7</v>
      </c>
      <c r="Q1155" s="1">
        <v>943</v>
      </c>
      <c r="R1155" s="1"/>
      <c r="S1155" s="1">
        <v>74.8</v>
      </c>
      <c r="T1155" s="5">
        <v>0.1235</v>
      </c>
      <c r="U1155" s="10">
        <v>6.0000000000000001E-3</v>
      </c>
    </row>
    <row r="1156" spans="1:21" customFormat="1">
      <c r="A1156">
        <v>1</v>
      </c>
      <c r="B1156">
        <v>31</v>
      </c>
      <c r="C1156">
        <v>19</v>
      </c>
      <c r="D1156">
        <v>9</v>
      </c>
      <c r="E1156">
        <v>2020</v>
      </c>
      <c r="F1156">
        <v>13115</v>
      </c>
      <c r="G1156" t="str">
        <f>VLOOKUP(F1156,'[1]Sheet 1'!$B$2:$E$347,2,FALSE)</f>
        <v>Metropolitana de Santiago</v>
      </c>
      <c r="H1156" t="str">
        <f>VLOOKUP(F1156,'[1]Sheet 1'!$B$2:$E$347,3,FALSE)</f>
        <v>Santiago</v>
      </c>
      <c r="I1156" t="str">
        <f>VLOOKUP(F1156,'[1]Sheet 1'!$B$2:$E$347,4,FALSE)</f>
        <v>Lo Barnechea</v>
      </c>
      <c r="J1156" t="s">
        <v>136</v>
      </c>
      <c r="K1156" s="3" t="s">
        <v>0</v>
      </c>
      <c r="L1156" s="12" t="str">
        <f>VLOOKUP(K1156,[2]Hoja4!$A$2:$C$443,2,FALSE)</f>
        <v>Intentional self-harm by hanging, strangulation and suffocation</v>
      </c>
      <c r="M1156" s="12" t="str">
        <f>VLOOKUP(K1156,[2]Hoja4!$A$2:$C$443,3,FALSE)</f>
        <v>Unspecified place</v>
      </c>
      <c r="N1156" s="1">
        <v>5.7</v>
      </c>
      <c r="O1156" s="1">
        <v>28.3</v>
      </c>
      <c r="P1156" s="1">
        <v>16.100000000000001</v>
      </c>
      <c r="Q1156" s="1">
        <v>955.1</v>
      </c>
      <c r="R1156" s="1"/>
      <c r="S1156" s="1">
        <v>59.5</v>
      </c>
      <c r="T1156" s="5">
        <v>0.1235</v>
      </c>
      <c r="U1156" s="10">
        <v>6.0000000000000001E-3</v>
      </c>
    </row>
    <row r="1157" spans="1:21" customFormat="1">
      <c r="A1157">
        <v>1</v>
      </c>
      <c r="B1157">
        <v>29</v>
      </c>
      <c r="C1157">
        <v>19</v>
      </c>
      <c r="D1157">
        <v>9</v>
      </c>
      <c r="E1157">
        <v>2020</v>
      </c>
      <c r="F1157">
        <v>2101</v>
      </c>
      <c r="G1157" t="str">
        <f>VLOOKUP(F1157,'[1]Sheet 1'!$B$2:$E$347,2,FALSE)</f>
        <v>Antofagasta</v>
      </c>
      <c r="H1157" t="str">
        <f>VLOOKUP(F1157,'[1]Sheet 1'!$B$2:$E$347,3,FALSE)</f>
        <v>Antofagasta</v>
      </c>
      <c r="I1157" t="str">
        <f>VLOOKUP(F1157,'[1]Sheet 1'!$B$2:$E$347,4,FALSE)</f>
        <v>Antofagasta</v>
      </c>
      <c r="J1157" t="s">
        <v>136</v>
      </c>
      <c r="K1157" s="3" t="s">
        <v>4</v>
      </c>
      <c r="L1157" s="12" t="str">
        <f>VLOOKUP(K1157,[2]Hoja4!$A$2:$C$443,2,FALSE)</f>
        <v>Intentional self-harm by hanging, strangulation and suffocation</v>
      </c>
      <c r="M1157" s="12" t="str">
        <f>VLOOKUP(K1157,[2]Hoja4!$A$2:$C$443,3,FALSE)</f>
        <v>At home</v>
      </c>
      <c r="N1157" s="1">
        <v>13</v>
      </c>
      <c r="O1157" s="1">
        <v>18.7</v>
      </c>
      <c r="P1157" s="1">
        <v>14.8</v>
      </c>
      <c r="Q1157" s="1">
        <v>999.6</v>
      </c>
      <c r="R1157" s="1">
        <v>0</v>
      </c>
      <c r="S1157" s="1">
        <v>71.2</v>
      </c>
      <c r="T1157" s="5">
        <v>0.1235</v>
      </c>
      <c r="U1157" s="10">
        <v>6.0000000000000001E-3</v>
      </c>
    </row>
    <row r="1158" spans="1:21" customFormat="1">
      <c r="A1158">
        <v>1</v>
      </c>
      <c r="B1158">
        <v>20</v>
      </c>
      <c r="C1158">
        <v>19</v>
      </c>
      <c r="D1158">
        <v>9</v>
      </c>
      <c r="E1158">
        <v>2020</v>
      </c>
      <c r="F1158">
        <v>13110</v>
      </c>
      <c r="G1158" t="str">
        <f>VLOOKUP(F1158,'[1]Sheet 1'!$B$2:$E$347,2,FALSE)</f>
        <v>Metropolitana de Santiago</v>
      </c>
      <c r="H1158" t="str">
        <f>VLOOKUP(F1158,'[1]Sheet 1'!$B$2:$E$347,3,FALSE)</f>
        <v>Santiago</v>
      </c>
      <c r="I1158" t="str">
        <f>VLOOKUP(F1158,'[1]Sheet 1'!$B$2:$E$347,4,FALSE)</f>
        <v>La Florida</v>
      </c>
      <c r="J1158" t="s">
        <v>136</v>
      </c>
      <c r="K1158" s="3" t="s">
        <v>0</v>
      </c>
      <c r="L1158" s="12" t="str">
        <f>VLOOKUP(K1158,[2]Hoja4!$A$2:$C$443,2,FALSE)</f>
        <v>Intentional self-harm by hanging, strangulation and suffocation</v>
      </c>
      <c r="M1158" s="12" t="str">
        <f>VLOOKUP(K1158,[2]Hoja4!$A$2:$C$443,3,FALSE)</f>
        <v>Unspecified place</v>
      </c>
      <c r="N1158" s="1">
        <v>5.7</v>
      </c>
      <c r="O1158" s="1">
        <v>28.3</v>
      </c>
      <c r="P1158" s="1">
        <v>16.100000000000001</v>
      </c>
      <c r="Q1158" s="1">
        <v>955.1</v>
      </c>
      <c r="R1158" s="1"/>
      <c r="S1158" s="1">
        <v>59.5</v>
      </c>
      <c r="T1158" s="5">
        <v>0.1235</v>
      </c>
      <c r="U1158" s="10">
        <v>6.0000000000000001E-3</v>
      </c>
    </row>
    <row r="1159" spans="1:21" customFormat="1">
      <c r="A1159">
        <v>1</v>
      </c>
      <c r="B1159">
        <v>21</v>
      </c>
      <c r="C1159">
        <v>19</v>
      </c>
      <c r="D1159">
        <v>9</v>
      </c>
      <c r="E1159">
        <v>2020</v>
      </c>
      <c r="F1159">
        <v>13105</v>
      </c>
      <c r="G1159" t="str">
        <f>VLOOKUP(F1159,'[1]Sheet 1'!$B$2:$E$347,2,FALSE)</f>
        <v>Metropolitana de Santiago</v>
      </c>
      <c r="H1159" t="str">
        <f>VLOOKUP(F1159,'[1]Sheet 1'!$B$2:$E$347,3,FALSE)</f>
        <v>Santiago</v>
      </c>
      <c r="I1159" t="str">
        <f>VLOOKUP(F1159,'[1]Sheet 1'!$B$2:$E$347,4,FALSE)</f>
        <v>El Bosque</v>
      </c>
      <c r="J1159" t="s">
        <v>136</v>
      </c>
      <c r="K1159" s="3" t="s">
        <v>0</v>
      </c>
      <c r="L1159" s="12" t="str">
        <f>VLOOKUP(K1159,[2]Hoja4!$A$2:$C$443,2,FALSE)</f>
        <v>Intentional self-harm by hanging, strangulation and suffocation</v>
      </c>
      <c r="M1159" s="12" t="str">
        <f>VLOOKUP(K1159,[2]Hoja4!$A$2:$C$443,3,FALSE)</f>
        <v>Unspecified place</v>
      </c>
      <c r="N1159" s="1">
        <v>5.7</v>
      </c>
      <c r="O1159" s="1">
        <v>28.3</v>
      </c>
      <c r="P1159" s="1">
        <v>16.100000000000001</v>
      </c>
      <c r="Q1159" s="1">
        <v>955.1</v>
      </c>
      <c r="R1159" s="1"/>
      <c r="S1159" s="1">
        <v>59.5</v>
      </c>
      <c r="T1159" s="5">
        <v>0.1235</v>
      </c>
      <c r="U1159" s="10">
        <v>6.0000000000000001E-3</v>
      </c>
    </row>
    <row r="1160" spans="1:21" customFormat="1">
      <c r="A1160">
        <v>1</v>
      </c>
      <c r="B1160">
        <v>22</v>
      </c>
      <c r="C1160">
        <v>19</v>
      </c>
      <c r="D1160">
        <v>9</v>
      </c>
      <c r="E1160">
        <v>2020</v>
      </c>
      <c r="F1160">
        <v>13127</v>
      </c>
      <c r="G1160" t="str">
        <f>VLOOKUP(F1160,'[1]Sheet 1'!$B$2:$E$347,2,FALSE)</f>
        <v>Metropolitana de Santiago</v>
      </c>
      <c r="H1160" t="str">
        <f>VLOOKUP(F1160,'[1]Sheet 1'!$B$2:$E$347,3,FALSE)</f>
        <v>Santiago</v>
      </c>
      <c r="I1160" t="str">
        <f>VLOOKUP(F1160,'[1]Sheet 1'!$B$2:$E$347,4,FALSE)</f>
        <v>Recoleta</v>
      </c>
      <c r="J1160" t="s">
        <v>136</v>
      </c>
      <c r="K1160" s="3" t="s">
        <v>0</v>
      </c>
      <c r="L1160" s="12" t="str">
        <f>VLOOKUP(K1160,[2]Hoja4!$A$2:$C$443,2,FALSE)</f>
        <v>Intentional self-harm by hanging, strangulation and suffocation</v>
      </c>
      <c r="M1160" s="12" t="str">
        <f>VLOOKUP(K1160,[2]Hoja4!$A$2:$C$443,3,FALSE)</f>
        <v>Unspecified place</v>
      </c>
      <c r="N1160" s="1">
        <v>5.7</v>
      </c>
      <c r="O1160" s="1">
        <v>28.3</v>
      </c>
      <c r="P1160" s="1">
        <v>16.100000000000001</v>
      </c>
      <c r="Q1160" s="1">
        <v>955.1</v>
      </c>
      <c r="R1160" s="1"/>
      <c r="S1160" s="1">
        <v>59.5</v>
      </c>
      <c r="T1160" s="5">
        <v>0.1235</v>
      </c>
      <c r="U1160" s="10">
        <v>6.0000000000000001E-3</v>
      </c>
    </row>
    <row r="1161" spans="1:21" customFormat="1">
      <c r="A1161">
        <v>1</v>
      </c>
      <c r="B1161">
        <v>27</v>
      </c>
      <c r="C1161">
        <v>19</v>
      </c>
      <c r="D1161">
        <v>9</v>
      </c>
      <c r="E1161">
        <v>2020</v>
      </c>
      <c r="F1161">
        <v>13112</v>
      </c>
      <c r="G1161" t="str">
        <f>VLOOKUP(F1161,'[1]Sheet 1'!$B$2:$E$347,2,FALSE)</f>
        <v>Metropolitana de Santiago</v>
      </c>
      <c r="H1161" t="str">
        <f>VLOOKUP(F1161,'[1]Sheet 1'!$B$2:$E$347,3,FALSE)</f>
        <v>Santiago</v>
      </c>
      <c r="I1161" t="str">
        <f>VLOOKUP(F1161,'[1]Sheet 1'!$B$2:$E$347,4,FALSE)</f>
        <v>La Pintana</v>
      </c>
      <c r="J1161" t="s">
        <v>136</v>
      </c>
      <c r="K1161" s="3" t="s">
        <v>0</v>
      </c>
      <c r="L1161" s="12" t="str">
        <f>VLOOKUP(K1161,[2]Hoja4!$A$2:$C$443,2,FALSE)</f>
        <v>Intentional self-harm by hanging, strangulation and suffocation</v>
      </c>
      <c r="M1161" s="12" t="str">
        <f>VLOOKUP(K1161,[2]Hoja4!$A$2:$C$443,3,FALSE)</f>
        <v>Unspecified place</v>
      </c>
      <c r="N1161" s="1">
        <v>5.7</v>
      </c>
      <c r="O1161" s="1">
        <v>28.3</v>
      </c>
      <c r="P1161" s="1">
        <v>16.100000000000001</v>
      </c>
      <c r="Q1161" s="1">
        <v>955.1</v>
      </c>
      <c r="R1161" s="1"/>
      <c r="S1161" s="1">
        <v>59.5</v>
      </c>
      <c r="T1161" s="5">
        <v>0.1235</v>
      </c>
      <c r="U1161" s="10">
        <v>6.0000000000000001E-3</v>
      </c>
    </row>
    <row r="1162" spans="1:21" customFormat="1">
      <c r="A1162">
        <v>1</v>
      </c>
      <c r="B1162">
        <v>47</v>
      </c>
      <c r="C1162">
        <v>20</v>
      </c>
      <c r="D1162">
        <v>9</v>
      </c>
      <c r="E1162">
        <v>2020</v>
      </c>
      <c r="F1162">
        <v>13201</v>
      </c>
      <c r="G1162" t="str">
        <f>VLOOKUP(F1162,'[1]Sheet 1'!$B$2:$E$347,2,FALSE)</f>
        <v>Metropolitana de Santiago</v>
      </c>
      <c r="H1162" t="str">
        <f>VLOOKUP(F1162,'[1]Sheet 1'!$B$2:$E$347,3,FALSE)</f>
        <v>Cordillera</v>
      </c>
      <c r="I1162" t="str">
        <f>VLOOKUP(F1162,'[1]Sheet 1'!$B$2:$E$347,4,FALSE)</f>
        <v>Puente Alto</v>
      </c>
      <c r="J1162" t="s">
        <v>136</v>
      </c>
      <c r="K1162" s="3" t="s">
        <v>0</v>
      </c>
      <c r="L1162" s="12" t="str">
        <f>VLOOKUP(K1162,[2]Hoja4!$A$2:$C$443,2,FALSE)</f>
        <v>Intentional self-harm by hanging, strangulation and suffocation</v>
      </c>
      <c r="M1162" s="12" t="str">
        <f>VLOOKUP(K1162,[2]Hoja4!$A$2:$C$443,3,FALSE)</f>
        <v>Unspecified place</v>
      </c>
      <c r="N1162" s="1">
        <v>2.6</v>
      </c>
      <c r="O1162" s="1">
        <v>26.7</v>
      </c>
      <c r="P1162" s="1">
        <v>14.2</v>
      </c>
      <c r="Q1162" s="1">
        <v>939.1</v>
      </c>
      <c r="R1162" s="1">
        <v>0</v>
      </c>
      <c r="S1162" s="1">
        <v>61.8</v>
      </c>
      <c r="T1162" s="5">
        <v>0.1235</v>
      </c>
      <c r="U1162" s="10">
        <v>6.0000000000000001E-3</v>
      </c>
    </row>
    <row r="1163" spans="1:21" customFormat="1">
      <c r="A1163">
        <v>1</v>
      </c>
      <c r="B1163">
        <v>33</v>
      </c>
      <c r="C1163">
        <v>20</v>
      </c>
      <c r="D1163">
        <v>9</v>
      </c>
      <c r="E1163">
        <v>2020</v>
      </c>
      <c r="F1163">
        <v>13401</v>
      </c>
      <c r="G1163" t="str">
        <f>VLOOKUP(F1163,'[1]Sheet 1'!$B$2:$E$347,2,FALSE)</f>
        <v>Metropolitana de Santiago</v>
      </c>
      <c r="H1163" t="str">
        <f>VLOOKUP(F1163,'[1]Sheet 1'!$B$2:$E$347,3,FALSE)</f>
        <v>Maipo</v>
      </c>
      <c r="I1163" t="str">
        <f>VLOOKUP(F1163,'[1]Sheet 1'!$B$2:$E$347,4,FALSE)</f>
        <v>San Bernardo</v>
      </c>
      <c r="J1163" t="s">
        <v>136</v>
      </c>
      <c r="K1163" s="3" t="s">
        <v>0</v>
      </c>
      <c r="L1163" s="12" t="str">
        <f>VLOOKUP(K1163,[2]Hoja4!$A$2:$C$443,2,FALSE)</f>
        <v>Intentional self-harm by hanging, strangulation and suffocation</v>
      </c>
      <c r="M1163" s="12" t="str">
        <f>VLOOKUP(K1163,[2]Hoja4!$A$2:$C$443,3,FALSE)</f>
        <v>Unspecified place</v>
      </c>
      <c r="N1163" s="1">
        <v>4</v>
      </c>
      <c r="O1163" s="1">
        <v>25.9</v>
      </c>
      <c r="P1163" s="1">
        <v>14.1</v>
      </c>
      <c r="Q1163" s="1">
        <v>964.7</v>
      </c>
      <c r="R1163" s="1">
        <v>0.1</v>
      </c>
      <c r="S1163" s="1">
        <v>67.8</v>
      </c>
      <c r="T1163" s="5">
        <v>0.1235</v>
      </c>
      <c r="U1163" s="10">
        <v>6.0000000000000001E-3</v>
      </c>
    </row>
    <row r="1164" spans="1:21" customFormat="1">
      <c r="A1164">
        <v>1</v>
      </c>
      <c r="B1164">
        <v>24</v>
      </c>
      <c r="C1164">
        <v>20</v>
      </c>
      <c r="D1164">
        <v>9</v>
      </c>
      <c r="E1164">
        <v>2020</v>
      </c>
      <c r="F1164">
        <v>9208</v>
      </c>
      <c r="G1164" t="str">
        <f>VLOOKUP(F1164,'[1]Sheet 1'!$B$2:$E$347,2,FALSE)</f>
        <v>La Araucanía</v>
      </c>
      <c r="H1164" t="str">
        <f>VLOOKUP(F1164,'[1]Sheet 1'!$B$2:$E$347,3,FALSE)</f>
        <v>Malleco</v>
      </c>
      <c r="I1164" t="str">
        <f>VLOOKUP(F1164,'[1]Sheet 1'!$B$2:$E$347,4,FALSE)</f>
        <v>Purén</v>
      </c>
      <c r="J1164" t="s">
        <v>136</v>
      </c>
      <c r="K1164" s="3" t="s">
        <v>0</v>
      </c>
      <c r="L1164" s="12" t="str">
        <f>VLOOKUP(K1164,[2]Hoja4!$A$2:$C$443,2,FALSE)</f>
        <v>Intentional self-harm by hanging, strangulation and suffocation</v>
      </c>
      <c r="M1164" s="12" t="str">
        <f>VLOOKUP(K1164,[2]Hoja4!$A$2:$C$443,3,FALSE)</f>
        <v>Unspecified place</v>
      </c>
      <c r="N1164" s="1">
        <v>11.1</v>
      </c>
      <c r="O1164" s="1">
        <v>23.7</v>
      </c>
      <c r="P1164" s="1">
        <v>16.3</v>
      </c>
      <c r="Q1164" s="1">
        <v>502.1</v>
      </c>
      <c r="R1164" s="1">
        <v>0</v>
      </c>
      <c r="S1164" s="1">
        <v>42.4</v>
      </c>
      <c r="T1164" s="5">
        <v>0.1235</v>
      </c>
      <c r="U1164" s="10">
        <v>6.0000000000000001E-3</v>
      </c>
    </row>
    <row r="1165" spans="1:21" customFormat="1">
      <c r="A1165">
        <v>1</v>
      </c>
      <c r="B1165">
        <v>77</v>
      </c>
      <c r="C1165">
        <v>21</v>
      </c>
      <c r="D1165">
        <v>9</v>
      </c>
      <c r="E1165">
        <v>2020</v>
      </c>
      <c r="F1165">
        <v>13128</v>
      </c>
      <c r="G1165" t="str">
        <f>VLOOKUP(F1165,'[1]Sheet 1'!$B$2:$E$347,2,FALSE)</f>
        <v>Metropolitana de Santiago</v>
      </c>
      <c r="H1165" t="str">
        <f>VLOOKUP(F1165,'[1]Sheet 1'!$B$2:$E$347,3,FALSE)</f>
        <v>Santiago</v>
      </c>
      <c r="I1165" t="str">
        <f>VLOOKUP(F1165,'[1]Sheet 1'!$B$2:$E$347,4,FALSE)</f>
        <v>Renca</v>
      </c>
      <c r="J1165" t="s">
        <v>136</v>
      </c>
      <c r="K1165" s="3" t="s">
        <v>0</v>
      </c>
      <c r="L1165" s="12" t="str">
        <f>VLOOKUP(K1165,[2]Hoja4!$A$2:$C$443,2,FALSE)</f>
        <v>Intentional self-harm by hanging, strangulation and suffocation</v>
      </c>
      <c r="M1165" s="12" t="str">
        <f>VLOOKUP(K1165,[2]Hoja4!$A$2:$C$443,3,FALSE)</f>
        <v>Unspecified place</v>
      </c>
      <c r="N1165" s="1">
        <v>6.4</v>
      </c>
      <c r="O1165" s="1">
        <v>27.1</v>
      </c>
      <c r="P1165" s="1">
        <v>15</v>
      </c>
      <c r="Q1165" s="1">
        <v>956</v>
      </c>
      <c r="R1165" s="1"/>
      <c r="S1165" s="1">
        <v>69.8</v>
      </c>
      <c r="T1165" s="5">
        <v>0.1235</v>
      </c>
      <c r="U1165" s="10">
        <v>6.0000000000000001E-3</v>
      </c>
    </row>
    <row r="1166" spans="1:21" customFormat="1">
      <c r="A1166">
        <v>1</v>
      </c>
      <c r="B1166">
        <v>48</v>
      </c>
      <c r="C1166">
        <v>21</v>
      </c>
      <c r="D1166">
        <v>9</v>
      </c>
      <c r="E1166">
        <v>2020</v>
      </c>
      <c r="F1166">
        <v>13605</v>
      </c>
      <c r="G1166" t="str">
        <f>VLOOKUP(F1166,'[1]Sheet 1'!$B$2:$E$347,2,FALSE)</f>
        <v>Metropolitana de Santiago</v>
      </c>
      <c r="H1166" t="str">
        <f>VLOOKUP(F1166,'[1]Sheet 1'!$B$2:$E$347,3,FALSE)</f>
        <v>Talagante</v>
      </c>
      <c r="I1166" t="str">
        <f>VLOOKUP(F1166,'[1]Sheet 1'!$B$2:$E$347,4,FALSE)</f>
        <v>Peñaflor</v>
      </c>
      <c r="J1166" t="s">
        <v>136</v>
      </c>
      <c r="K1166" s="3" t="s">
        <v>4</v>
      </c>
      <c r="L1166" s="12" t="str">
        <f>VLOOKUP(K1166,[2]Hoja4!$A$2:$C$443,2,FALSE)</f>
        <v>Intentional self-harm by hanging, strangulation and suffocation</v>
      </c>
      <c r="M1166" s="12" t="str">
        <f>VLOOKUP(K1166,[2]Hoja4!$A$2:$C$443,3,FALSE)</f>
        <v>At home</v>
      </c>
      <c r="N1166" s="1">
        <v>7.8</v>
      </c>
      <c r="O1166" s="1">
        <v>24.1</v>
      </c>
      <c r="P1166" s="1">
        <v>14.1</v>
      </c>
      <c r="Q1166" s="1">
        <v>1015</v>
      </c>
      <c r="R1166" s="1">
        <v>0</v>
      </c>
      <c r="S1166" s="1">
        <v>64.2</v>
      </c>
      <c r="T1166" s="5">
        <v>0.1235</v>
      </c>
      <c r="U1166" s="10">
        <v>6.0000000000000001E-3</v>
      </c>
    </row>
    <row r="1167" spans="1:21" customFormat="1">
      <c r="A1167">
        <v>1</v>
      </c>
      <c r="B1167">
        <v>56</v>
      </c>
      <c r="C1167">
        <v>21</v>
      </c>
      <c r="D1167">
        <v>9</v>
      </c>
      <c r="E1167">
        <v>2020</v>
      </c>
      <c r="F1167">
        <v>15101</v>
      </c>
      <c r="G1167" t="str">
        <f>VLOOKUP(F1167,'[1]Sheet 1'!$B$2:$E$347,2,FALSE)</f>
        <v>Arica y Parinacota</v>
      </c>
      <c r="H1167" t="str">
        <f>VLOOKUP(F1167,'[1]Sheet 1'!$B$2:$E$347,3,FALSE)</f>
        <v>Arica</v>
      </c>
      <c r="I1167" t="str">
        <f>VLOOKUP(F1167,'[1]Sheet 1'!$B$2:$E$347,4,FALSE)</f>
        <v>Arica</v>
      </c>
      <c r="J1167" t="s">
        <v>169</v>
      </c>
      <c r="K1167" s="3" t="s">
        <v>6</v>
      </c>
      <c r="L1167" s="12" t="str">
        <f>VLOOKUP(K1167,[2]Hoja4!$A$2:$C$443,2,FALSE)</f>
        <v>Intentional self-harm by sharp object</v>
      </c>
      <c r="M1167" s="12" t="str">
        <f>VLOOKUP(K1167,[2]Hoja4!$A$2:$C$443,3,FALSE)</f>
        <v>At home</v>
      </c>
      <c r="N1167" s="1">
        <v>14.7</v>
      </c>
      <c r="O1167" s="1">
        <v>17.7</v>
      </c>
      <c r="P1167" s="1">
        <v>16.2</v>
      </c>
      <c r="Q1167" s="1">
        <v>1009.8</v>
      </c>
      <c r="R1167" s="1">
        <v>0</v>
      </c>
      <c r="S1167" s="1">
        <v>72.8</v>
      </c>
      <c r="T1167" s="5">
        <v>0.1235</v>
      </c>
      <c r="U1167" s="10">
        <v>6.0000000000000001E-3</v>
      </c>
    </row>
    <row r="1168" spans="1:21" customFormat="1">
      <c r="A1168">
        <v>2</v>
      </c>
      <c r="B1168">
        <v>51</v>
      </c>
      <c r="C1168">
        <v>21</v>
      </c>
      <c r="D1168">
        <v>9</v>
      </c>
      <c r="E1168">
        <v>2020</v>
      </c>
      <c r="F1168">
        <v>5501</v>
      </c>
      <c r="G1168" t="str">
        <f>VLOOKUP(F1168,'[1]Sheet 1'!$B$2:$E$347,2,FALSE)</f>
        <v>Valparaíso</v>
      </c>
      <c r="H1168" t="str">
        <f>VLOOKUP(F1168,'[1]Sheet 1'!$B$2:$E$347,3,FALSE)</f>
        <v>Quillota</v>
      </c>
      <c r="I1168" t="str">
        <f>VLOOKUP(F1168,'[1]Sheet 1'!$B$2:$E$347,4,FALSE)</f>
        <v>Quillota</v>
      </c>
      <c r="J1168" t="s">
        <v>136</v>
      </c>
      <c r="K1168" s="3" t="s">
        <v>0</v>
      </c>
      <c r="L1168" s="12" t="str">
        <f>VLOOKUP(K1168,[2]Hoja4!$A$2:$C$443,2,FALSE)</f>
        <v>Intentional self-harm by hanging, strangulation and suffocation</v>
      </c>
      <c r="M1168" s="12" t="str">
        <f>VLOOKUP(K1168,[2]Hoja4!$A$2:$C$443,3,FALSE)</f>
        <v>Unspecified place</v>
      </c>
      <c r="N1168" s="1">
        <v>10.7</v>
      </c>
      <c r="O1168" s="1">
        <v>21.9</v>
      </c>
      <c r="P1168" s="1">
        <v>16.3</v>
      </c>
      <c r="Q1168" s="1">
        <v>996.7</v>
      </c>
      <c r="R1168" s="1">
        <v>0</v>
      </c>
      <c r="S1168" s="1">
        <v>74.099999999999994</v>
      </c>
      <c r="T1168" s="5">
        <v>0.1235</v>
      </c>
      <c r="U1168" s="10">
        <v>6.0000000000000001E-3</v>
      </c>
    </row>
    <row r="1169" spans="1:21 16384:16384" customFormat="1">
      <c r="A1169">
        <v>1</v>
      </c>
      <c r="B1169">
        <v>42</v>
      </c>
      <c r="C1169">
        <v>21</v>
      </c>
      <c r="D1169">
        <v>9</v>
      </c>
      <c r="E1169">
        <v>2020</v>
      </c>
      <c r="F1169">
        <v>6301</v>
      </c>
      <c r="G1169" t="str">
        <f>VLOOKUP(F1169,'[1]Sheet 1'!$B$2:$E$347,2,FALSE)</f>
        <v>Libertador General Bernardo O'Higgins</v>
      </c>
      <c r="H1169" t="str">
        <f>VLOOKUP(F1169,'[1]Sheet 1'!$B$2:$E$347,3,FALSE)</f>
        <v>Colchagua</v>
      </c>
      <c r="I1169" t="str">
        <f>VLOOKUP(F1169,'[1]Sheet 1'!$B$2:$E$347,4,FALSE)</f>
        <v>San Fernando</v>
      </c>
      <c r="J1169" t="s">
        <v>136</v>
      </c>
      <c r="K1169" s="3" t="s">
        <v>0</v>
      </c>
      <c r="L1169" s="12" t="str">
        <f>VLOOKUP(K1169,[2]Hoja4!$A$2:$C$443,2,FALSE)</f>
        <v>Intentional self-harm by hanging, strangulation and suffocation</v>
      </c>
      <c r="M1169" s="12" t="str">
        <f>VLOOKUP(K1169,[2]Hoja4!$A$2:$C$443,3,FALSE)</f>
        <v>Unspecified place</v>
      </c>
      <c r="N1169" s="1">
        <v>3.9</v>
      </c>
      <c r="O1169" s="1">
        <v>24.3</v>
      </c>
      <c r="P1169" s="1">
        <v>13.3</v>
      </c>
      <c r="Q1169" s="1">
        <v>981.5</v>
      </c>
      <c r="R1169" s="1">
        <v>0</v>
      </c>
      <c r="S1169" s="1">
        <v>74.5</v>
      </c>
      <c r="T1169" s="5">
        <v>0.1235</v>
      </c>
      <c r="U1169" s="10">
        <v>6.0000000000000001E-3</v>
      </c>
    </row>
    <row r="1170" spans="1:21 16384:16384" customFormat="1">
      <c r="A1170">
        <v>2</v>
      </c>
      <c r="B1170">
        <v>20</v>
      </c>
      <c r="C1170">
        <v>21</v>
      </c>
      <c r="D1170">
        <v>9</v>
      </c>
      <c r="E1170">
        <v>2020</v>
      </c>
      <c r="F1170">
        <v>6310</v>
      </c>
      <c r="G1170" t="str">
        <f>VLOOKUP(F1170,'[1]Sheet 1'!$B$2:$E$347,2,FALSE)</f>
        <v>Libertador General Bernardo O'Higgins</v>
      </c>
      <c r="H1170" t="str">
        <f>VLOOKUP(F1170,'[1]Sheet 1'!$B$2:$E$347,3,FALSE)</f>
        <v>Colchagua</v>
      </c>
      <c r="I1170" t="str">
        <f>VLOOKUP(F1170,'[1]Sheet 1'!$B$2:$E$347,4,FALSE)</f>
        <v>Santa Cruz</v>
      </c>
      <c r="J1170" t="s">
        <v>136</v>
      </c>
      <c r="K1170" s="3" t="s">
        <v>0</v>
      </c>
      <c r="L1170" s="12" t="str">
        <f>VLOOKUP(K1170,[2]Hoja4!$A$2:$C$443,2,FALSE)</f>
        <v>Intentional self-harm by hanging, strangulation and suffocation</v>
      </c>
      <c r="M1170" s="12" t="str">
        <f>VLOOKUP(K1170,[2]Hoja4!$A$2:$C$443,3,FALSE)</f>
        <v>Unspecified place</v>
      </c>
      <c r="N1170" s="1">
        <v>3.9</v>
      </c>
      <c r="O1170" s="1">
        <v>24.3</v>
      </c>
      <c r="P1170" s="1">
        <v>13.3</v>
      </c>
      <c r="Q1170" s="1">
        <v>981.5</v>
      </c>
      <c r="R1170" s="1">
        <v>0</v>
      </c>
      <c r="S1170" s="1">
        <v>74.5</v>
      </c>
      <c r="T1170" s="5">
        <v>0.1235</v>
      </c>
      <c r="U1170" s="10">
        <v>6.0000000000000001E-3</v>
      </c>
    </row>
    <row r="1171" spans="1:21 16384:16384" customFormat="1">
      <c r="A1171">
        <v>1</v>
      </c>
      <c r="B1171">
        <v>20</v>
      </c>
      <c r="C1171">
        <v>21</v>
      </c>
      <c r="D1171">
        <v>9</v>
      </c>
      <c r="E1171">
        <v>2020</v>
      </c>
      <c r="F1171">
        <v>5101</v>
      </c>
      <c r="G1171" t="str">
        <f>VLOOKUP(F1171,'[1]Sheet 1'!$B$2:$E$347,2,FALSE)</f>
        <v>Valparaíso</v>
      </c>
      <c r="H1171" t="str">
        <f>VLOOKUP(F1171,'[1]Sheet 1'!$B$2:$E$347,3,FALSE)</f>
        <v>Valparaíso</v>
      </c>
      <c r="I1171" t="str">
        <f>VLOOKUP(F1171,'[1]Sheet 1'!$B$2:$E$347,4,FALSE)</f>
        <v>Valparaíso</v>
      </c>
      <c r="J1171" t="s">
        <v>136</v>
      </c>
      <c r="K1171" s="3" t="s">
        <v>0</v>
      </c>
      <c r="L1171" s="12" t="str">
        <f>VLOOKUP(K1171,[2]Hoja4!$A$2:$C$443,2,FALSE)</f>
        <v>Intentional self-harm by hanging, strangulation and suffocation</v>
      </c>
      <c r="M1171" s="12" t="str">
        <f>VLOOKUP(K1171,[2]Hoja4!$A$2:$C$443,3,FALSE)</f>
        <v>Unspecified place</v>
      </c>
      <c r="N1171" s="1">
        <v>8.9</v>
      </c>
      <c r="O1171" s="1">
        <v>16.399999999999999</v>
      </c>
      <c r="P1171" s="1">
        <v>10.7</v>
      </c>
      <c r="Q1171" s="1">
        <v>977.6</v>
      </c>
      <c r="R1171" s="1">
        <v>0.1</v>
      </c>
      <c r="S1171" s="1">
        <v>95.8</v>
      </c>
      <c r="T1171" s="5">
        <v>0.1235</v>
      </c>
      <c r="U1171" s="10">
        <v>6.0000000000000001E-3</v>
      </c>
    </row>
    <row r="1172" spans="1:21 16384:16384" customFormat="1">
      <c r="A1172">
        <v>2</v>
      </c>
      <c r="B1172">
        <v>15</v>
      </c>
      <c r="C1172">
        <v>22</v>
      </c>
      <c r="D1172">
        <v>9</v>
      </c>
      <c r="E1172">
        <v>2020</v>
      </c>
      <c r="F1172">
        <v>10210</v>
      </c>
      <c r="G1172" t="str">
        <f>VLOOKUP(F1172,'[1]Sheet 1'!$B$2:$E$347,2,FALSE)</f>
        <v>Los Lagos</v>
      </c>
      <c r="H1172" t="str">
        <f>VLOOKUP(F1172,'[1]Sheet 1'!$B$2:$E$347,3,FALSE)</f>
        <v>Chiloé</v>
      </c>
      <c r="I1172" t="str">
        <f>VLOOKUP(F1172,'[1]Sheet 1'!$B$2:$E$347,4,FALSE)</f>
        <v>Quinchao</v>
      </c>
      <c r="J1172" t="s">
        <v>136</v>
      </c>
      <c r="K1172" s="3" t="s">
        <v>0</v>
      </c>
      <c r="L1172" s="12" t="str">
        <f>VLOOKUP(K1172,[2]Hoja4!$A$2:$C$443,2,FALSE)</f>
        <v>Intentional self-harm by hanging, strangulation and suffocation</v>
      </c>
      <c r="M1172" s="12" t="str">
        <f>VLOOKUP(K1172,[2]Hoja4!$A$2:$C$443,3,FALSE)</f>
        <v>Unspecified place</v>
      </c>
      <c r="N1172" s="1"/>
      <c r="O1172" s="1"/>
      <c r="P1172" s="1"/>
      <c r="Q1172" s="1">
        <v>1001.1</v>
      </c>
      <c r="R1172" s="1"/>
      <c r="S1172" s="1">
        <v>89.9</v>
      </c>
      <c r="T1172" s="5">
        <v>0.1235</v>
      </c>
      <c r="U1172" s="10">
        <v>6.0000000000000001E-3</v>
      </c>
    </row>
    <row r="1173" spans="1:21 16384:16384" customFormat="1">
      <c r="A1173">
        <v>2</v>
      </c>
      <c r="B1173">
        <v>21</v>
      </c>
      <c r="C1173">
        <v>22</v>
      </c>
      <c r="D1173">
        <v>9</v>
      </c>
      <c r="E1173">
        <v>2020</v>
      </c>
      <c r="F1173">
        <v>13201</v>
      </c>
      <c r="G1173" t="str">
        <f>VLOOKUP(F1173,'[1]Sheet 1'!$B$2:$E$347,2,FALSE)</f>
        <v>Metropolitana de Santiago</v>
      </c>
      <c r="H1173" t="str">
        <f>VLOOKUP(F1173,'[1]Sheet 1'!$B$2:$E$347,3,FALSE)</f>
        <v>Cordillera</v>
      </c>
      <c r="I1173" t="str">
        <f>VLOOKUP(F1173,'[1]Sheet 1'!$B$2:$E$347,4,FALSE)</f>
        <v>Puente Alto</v>
      </c>
      <c r="J1173" t="s">
        <v>136</v>
      </c>
      <c r="K1173" s="3" t="s">
        <v>0</v>
      </c>
      <c r="L1173" s="12" t="str">
        <f>VLOOKUP(K1173,[2]Hoja4!$A$2:$C$443,2,FALSE)</f>
        <v>Intentional self-harm by hanging, strangulation and suffocation</v>
      </c>
      <c r="M1173" s="12" t="str">
        <f>VLOOKUP(K1173,[2]Hoja4!$A$2:$C$443,3,FALSE)</f>
        <v>Unspecified place</v>
      </c>
      <c r="N1173" s="1">
        <v>4.7</v>
      </c>
      <c r="O1173" s="1">
        <v>26.8</v>
      </c>
      <c r="P1173" s="1">
        <v>16</v>
      </c>
      <c r="Q1173" s="1">
        <v>940.5</v>
      </c>
      <c r="R1173" s="1">
        <v>0</v>
      </c>
      <c r="S1173" s="1">
        <v>60.4</v>
      </c>
      <c r="T1173" s="5">
        <v>0.1235</v>
      </c>
      <c r="U1173" s="10">
        <v>6.0000000000000001E-3</v>
      </c>
    </row>
    <row r="1174" spans="1:21 16384:16384" customFormat="1">
      <c r="A1174">
        <v>1</v>
      </c>
      <c r="B1174">
        <v>63</v>
      </c>
      <c r="C1174">
        <v>23</v>
      </c>
      <c r="D1174">
        <v>9</v>
      </c>
      <c r="E1174">
        <v>2020</v>
      </c>
      <c r="F1174">
        <v>13108</v>
      </c>
      <c r="G1174" t="str">
        <f>VLOOKUP(F1174,'[1]Sheet 1'!$B$2:$E$347,2,FALSE)</f>
        <v>Metropolitana de Santiago</v>
      </c>
      <c r="H1174" t="str">
        <f>VLOOKUP(F1174,'[1]Sheet 1'!$B$2:$E$347,3,FALSE)</f>
        <v>Santiago</v>
      </c>
      <c r="I1174" t="str">
        <f>VLOOKUP(F1174,'[1]Sheet 1'!$B$2:$E$347,4,FALSE)</f>
        <v>Independencia</v>
      </c>
      <c r="J1174" t="s">
        <v>136</v>
      </c>
      <c r="K1174" s="3" t="s">
        <v>0</v>
      </c>
      <c r="L1174" s="12" t="str">
        <f>VLOOKUP(K1174,[2]Hoja4!$A$2:$C$443,2,FALSE)</f>
        <v>Intentional self-harm by hanging, strangulation and suffocation</v>
      </c>
      <c r="M1174" s="12" t="str">
        <f>VLOOKUP(K1174,[2]Hoja4!$A$2:$C$443,3,FALSE)</f>
        <v>Unspecified place</v>
      </c>
      <c r="N1174" s="1">
        <v>8.1999999999999993</v>
      </c>
      <c r="O1174" s="1">
        <v>28.2</v>
      </c>
      <c r="P1174" s="1">
        <v>17.5</v>
      </c>
      <c r="Q1174" s="1">
        <v>955.1</v>
      </c>
      <c r="R1174" s="1"/>
      <c r="S1174" s="1">
        <v>54.5</v>
      </c>
      <c r="T1174" s="5">
        <v>0.1235</v>
      </c>
      <c r="U1174" s="10">
        <v>6.0000000000000001E-3</v>
      </c>
    </row>
    <row r="1175" spans="1:21 16384:16384" customFormat="1">
      <c r="A1175">
        <v>1</v>
      </c>
      <c r="B1175">
        <v>36</v>
      </c>
      <c r="C1175">
        <v>23</v>
      </c>
      <c r="D1175">
        <v>9</v>
      </c>
      <c r="E1175">
        <v>2020</v>
      </c>
      <c r="F1175">
        <v>8202</v>
      </c>
      <c r="G1175" t="str">
        <f>VLOOKUP(F1175,'[1]Sheet 1'!$B$2:$E$347,2,FALSE)</f>
        <v>Biobío</v>
      </c>
      <c r="H1175" t="str">
        <f>VLOOKUP(F1175,'[1]Sheet 1'!$B$2:$E$347,3,FALSE)</f>
        <v>Arauco</v>
      </c>
      <c r="I1175" t="str">
        <f>VLOOKUP(F1175,'[1]Sheet 1'!$B$2:$E$347,4,FALSE)</f>
        <v>Arauco</v>
      </c>
      <c r="J1175" t="s">
        <v>136</v>
      </c>
      <c r="K1175" s="3" t="s">
        <v>4</v>
      </c>
      <c r="L1175" s="12" t="str">
        <f>VLOOKUP(K1175,[2]Hoja4!$A$2:$C$443,2,FALSE)</f>
        <v>Intentional self-harm by hanging, strangulation and suffocation</v>
      </c>
      <c r="M1175" s="12" t="str">
        <f>VLOOKUP(K1175,[2]Hoja4!$A$2:$C$443,3,FALSE)</f>
        <v>At home</v>
      </c>
      <c r="N1175" s="1">
        <v>6.5</v>
      </c>
      <c r="O1175" s="1">
        <v>17.399999999999999</v>
      </c>
      <c r="P1175" s="1">
        <v>11.7</v>
      </c>
      <c r="Q1175" s="1">
        <v>1016.4</v>
      </c>
      <c r="R1175" s="1">
        <v>0</v>
      </c>
      <c r="S1175" s="1">
        <v>73.5</v>
      </c>
      <c r="T1175" s="5">
        <v>0.1235</v>
      </c>
      <c r="U1175" s="10">
        <v>6.0000000000000001E-3</v>
      </c>
    </row>
    <row r="1176" spans="1:21 16384:16384" customFormat="1">
      <c r="A1176">
        <v>1</v>
      </c>
      <c r="B1176">
        <v>17</v>
      </c>
      <c r="C1176">
        <v>23</v>
      </c>
      <c r="D1176">
        <v>9</v>
      </c>
      <c r="E1176">
        <v>2020</v>
      </c>
      <c r="F1176">
        <v>16101</v>
      </c>
      <c r="G1176" t="str">
        <f>VLOOKUP(F1176,'[1]Sheet 1'!$B$2:$E$347,2,FALSE)</f>
        <v>Ñuble</v>
      </c>
      <c r="H1176" t="str">
        <f>VLOOKUP(F1176,'[1]Sheet 1'!$B$2:$E$347,3,FALSE)</f>
        <v>Diguillín</v>
      </c>
      <c r="I1176" t="str">
        <f>VLOOKUP(F1176,'[1]Sheet 1'!$B$2:$E$347,4,FALSE)</f>
        <v>Chillán</v>
      </c>
      <c r="J1176" t="s">
        <v>136</v>
      </c>
      <c r="K1176" s="3" t="s">
        <v>4</v>
      </c>
      <c r="L1176" s="12" t="str">
        <f>VLOOKUP(K1176,[2]Hoja4!$A$2:$C$443,2,FALSE)</f>
        <v>Intentional self-harm by hanging, strangulation and suffocation</v>
      </c>
      <c r="M1176" s="12" t="str">
        <f>VLOOKUP(K1176,[2]Hoja4!$A$2:$C$443,3,FALSE)</f>
        <v>At home</v>
      </c>
      <c r="N1176" s="1">
        <v>3.2</v>
      </c>
      <c r="O1176" s="1">
        <v>23.5</v>
      </c>
      <c r="P1176" s="1">
        <v>12.4</v>
      </c>
      <c r="Q1176" s="1">
        <v>998.4</v>
      </c>
      <c r="R1176" s="1">
        <v>0</v>
      </c>
      <c r="S1176" s="1">
        <v>72.5</v>
      </c>
      <c r="T1176" s="5">
        <v>0.1235</v>
      </c>
      <c r="U1176" s="10">
        <v>6.0000000000000001E-3</v>
      </c>
    </row>
    <row r="1177" spans="1:21 16384:16384" customFormat="1">
      <c r="A1177">
        <v>2</v>
      </c>
      <c r="B1177">
        <v>68</v>
      </c>
      <c r="C1177">
        <v>24</v>
      </c>
      <c r="D1177">
        <v>9</v>
      </c>
      <c r="E1177">
        <v>2020</v>
      </c>
      <c r="F1177">
        <v>8101</v>
      </c>
      <c r="G1177" t="str">
        <f>VLOOKUP(F1177,'[1]Sheet 1'!$B$2:$E$347,2,FALSE)</f>
        <v>Biobío</v>
      </c>
      <c r="H1177" t="str">
        <f>VLOOKUP(F1177,'[1]Sheet 1'!$B$2:$E$347,3,FALSE)</f>
        <v>Concepción</v>
      </c>
      <c r="I1177" t="str">
        <f>VLOOKUP(F1177,'[1]Sheet 1'!$B$2:$E$347,4,FALSE)</f>
        <v>Concepción</v>
      </c>
      <c r="J1177" t="s">
        <v>136</v>
      </c>
      <c r="K1177" s="3" t="s">
        <v>4</v>
      </c>
      <c r="L1177" s="12" t="str">
        <f>VLOOKUP(K1177,[2]Hoja4!$A$2:$C$443,2,FALSE)</f>
        <v>Intentional self-harm by hanging, strangulation and suffocation</v>
      </c>
      <c r="M1177" s="12" t="str">
        <f>VLOOKUP(K1177,[2]Hoja4!$A$2:$C$443,3,FALSE)</f>
        <v>At home</v>
      </c>
      <c r="N1177" s="1">
        <v>4.8</v>
      </c>
      <c r="O1177" s="1">
        <v>18</v>
      </c>
      <c r="P1177" s="1">
        <v>11.4</v>
      </c>
      <c r="Q1177" s="1">
        <v>1015.6</v>
      </c>
      <c r="R1177" s="1">
        <v>0</v>
      </c>
      <c r="S1177" s="1">
        <v>81</v>
      </c>
      <c r="T1177" s="5">
        <v>0.1235</v>
      </c>
      <c r="U1177" s="10">
        <v>6.0000000000000001E-3</v>
      </c>
    </row>
    <row r="1178" spans="1:21 16384:16384" customFormat="1">
      <c r="A1178">
        <v>1</v>
      </c>
      <c r="B1178">
        <v>64</v>
      </c>
      <c r="C1178">
        <v>24</v>
      </c>
      <c r="D1178">
        <v>9</v>
      </c>
      <c r="E1178">
        <v>2020</v>
      </c>
      <c r="F1178">
        <v>16104</v>
      </c>
      <c r="G1178" t="str">
        <f>VLOOKUP(F1178,'[1]Sheet 1'!$B$2:$E$347,2,FALSE)</f>
        <v>Ñuble</v>
      </c>
      <c r="H1178" t="str">
        <f>VLOOKUP(F1178,'[1]Sheet 1'!$B$2:$E$347,3,FALSE)</f>
        <v>Diguillín</v>
      </c>
      <c r="I1178" t="str">
        <f>VLOOKUP(F1178,'[1]Sheet 1'!$B$2:$E$347,4,FALSE)</f>
        <v>El Carmen</v>
      </c>
      <c r="J1178" t="s">
        <v>136</v>
      </c>
      <c r="K1178" s="3" t="s">
        <v>0</v>
      </c>
      <c r="L1178" s="12" t="str">
        <f>VLOOKUP(K1178,[2]Hoja4!$A$2:$C$443,2,FALSE)</f>
        <v>Intentional self-harm by hanging, strangulation and suffocation</v>
      </c>
      <c r="M1178" s="12" t="str">
        <f>VLOOKUP(K1178,[2]Hoja4!$A$2:$C$443,3,FALSE)</f>
        <v>Unspecified place</v>
      </c>
      <c r="N1178" s="1">
        <v>1.5</v>
      </c>
      <c r="O1178" s="1">
        <v>24.4</v>
      </c>
      <c r="P1178" s="1">
        <v>12.6</v>
      </c>
      <c r="Q1178" s="1">
        <v>997.5</v>
      </c>
      <c r="R1178" s="1">
        <v>0</v>
      </c>
      <c r="S1178" s="1">
        <v>72.8</v>
      </c>
      <c r="T1178" s="5">
        <v>0.1235</v>
      </c>
      <c r="U1178" s="10">
        <v>6.0000000000000001E-3</v>
      </c>
    </row>
    <row r="1179" spans="1:21 16384:16384" customFormat="1" ht="21">
      <c r="A1179">
        <v>1</v>
      </c>
      <c r="B1179">
        <v>56</v>
      </c>
      <c r="C1179">
        <v>24</v>
      </c>
      <c r="D1179">
        <v>9</v>
      </c>
      <c r="E1179">
        <v>2020</v>
      </c>
      <c r="F1179">
        <v>3304</v>
      </c>
      <c r="G1179" t="str">
        <f>VLOOKUP(F1179,'[1]Sheet 1'!$B$2:$E$347,2,FALSE)</f>
        <v>Atacama</v>
      </c>
      <c r="H1179" t="str">
        <f>VLOOKUP(F1179,'[1]Sheet 1'!$B$2:$E$347,3,FALSE)</f>
        <v>Huasco</v>
      </c>
      <c r="I1179" t="str">
        <f>VLOOKUP(F1179,'[1]Sheet 1'!$B$2:$E$347,4,FALSE)</f>
        <v>Huasco</v>
      </c>
      <c r="J1179" t="s">
        <v>144</v>
      </c>
      <c r="K1179" s="3" t="s">
        <v>6</v>
      </c>
      <c r="L1179" s="12" t="str">
        <f>VLOOKUP(K1179,[2]Hoja4!$A$2:$C$443,2,FALSE)</f>
        <v>Intentional self-harm by sharp object</v>
      </c>
      <c r="M1179" s="12" t="str">
        <f>VLOOKUP(K1179,[2]Hoja4!$A$2:$C$443,3,FALSE)</f>
        <v>At home</v>
      </c>
      <c r="N1179" s="1">
        <v>9.6</v>
      </c>
      <c r="O1179" s="1">
        <v>20.399999999999999</v>
      </c>
      <c r="P1179" s="1">
        <v>12.8</v>
      </c>
      <c r="Q1179" s="1">
        <v>962.7</v>
      </c>
      <c r="R1179" s="1">
        <v>0.2</v>
      </c>
      <c r="S1179" s="1">
        <v>84</v>
      </c>
      <c r="T1179" s="5">
        <v>0.1235</v>
      </c>
      <c r="U1179" s="10">
        <v>6.0000000000000001E-3</v>
      </c>
      <c r="XFD1179" s="2"/>
    </row>
    <row r="1180" spans="1:21 16384:16384" customFormat="1">
      <c r="A1180">
        <v>1</v>
      </c>
      <c r="B1180">
        <v>61</v>
      </c>
      <c r="C1180">
        <v>25</v>
      </c>
      <c r="D1180">
        <v>9</v>
      </c>
      <c r="E1180">
        <v>2020</v>
      </c>
      <c r="F1180">
        <v>13122</v>
      </c>
      <c r="G1180" t="str">
        <f>VLOOKUP(F1180,'[1]Sheet 1'!$B$2:$E$347,2,FALSE)</f>
        <v>Metropolitana de Santiago</v>
      </c>
      <c r="H1180" t="str">
        <f>VLOOKUP(F1180,'[1]Sheet 1'!$B$2:$E$347,3,FALSE)</f>
        <v>Santiago</v>
      </c>
      <c r="I1180" t="str">
        <f>VLOOKUP(F1180,'[1]Sheet 1'!$B$2:$E$347,4,FALSE)</f>
        <v>Peñalolén</v>
      </c>
      <c r="J1180" t="s">
        <v>136</v>
      </c>
      <c r="K1180" s="3" t="s">
        <v>0</v>
      </c>
      <c r="L1180" s="12" t="str">
        <f>VLOOKUP(K1180,[2]Hoja4!$A$2:$C$443,2,FALSE)</f>
        <v>Intentional self-harm by hanging, strangulation and suffocation</v>
      </c>
      <c r="M1180" s="12" t="str">
        <f>VLOOKUP(K1180,[2]Hoja4!$A$2:$C$443,3,FALSE)</f>
        <v>Unspecified place</v>
      </c>
      <c r="N1180" s="1">
        <v>8.4</v>
      </c>
      <c r="O1180" s="1">
        <v>12.3</v>
      </c>
      <c r="P1180" s="1">
        <v>10.3</v>
      </c>
      <c r="Q1180" s="1">
        <v>959.2</v>
      </c>
      <c r="R1180" s="1"/>
      <c r="S1180" s="1">
        <v>86</v>
      </c>
      <c r="T1180" s="5">
        <v>0.1235</v>
      </c>
      <c r="U1180" s="10">
        <v>6.0000000000000001E-3</v>
      </c>
    </row>
    <row r="1181" spans="1:21 16384:16384" customFormat="1">
      <c r="A1181">
        <v>1</v>
      </c>
      <c r="B1181">
        <v>26</v>
      </c>
      <c r="C1181">
        <v>25</v>
      </c>
      <c r="D1181">
        <v>9</v>
      </c>
      <c r="E1181">
        <v>2020</v>
      </c>
      <c r="F1181">
        <v>6117</v>
      </c>
      <c r="G1181" t="str">
        <f>VLOOKUP(F1181,'[1]Sheet 1'!$B$2:$E$347,2,FALSE)</f>
        <v>Libertador General Bernardo O'Higgins</v>
      </c>
      <c r="H1181" t="str">
        <f>VLOOKUP(F1181,'[1]Sheet 1'!$B$2:$E$347,3,FALSE)</f>
        <v>Cachapoal</v>
      </c>
      <c r="I1181" t="str">
        <f>VLOOKUP(F1181,'[1]Sheet 1'!$B$2:$E$347,4,FALSE)</f>
        <v>San Vicente</v>
      </c>
      <c r="J1181" t="s">
        <v>136</v>
      </c>
      <c r="K1181" s="3" t="s">
        <v>0</v>
      </c>
      <c r="L1181" s="12" t="str">
        <f>VLOOKUP(K1181,[2]Hoja4!$A$2:$C$443,2,FALSE)</f>
        <v>Intentional self-harm by hanging, strangulation and suffocation</v>
      </c>
      <c r="M1181" s="12" t="str">
        <f>VLOOKUP(K1181,[2]Hoja4!$A$2:$C$443,3,FALSE)</f>
        <v>Unspecified place</v>
      </c>
      <c r="N1181" s="1">
        <v>8.6</v>
      </c>
      <c r="O1181" s="1">
        <v>12.3</v>
      </c>
      <c r="P1181" s="1">
        <v>10</v>
      </c>
      <c r="Q1181" s="1">
        <v>962.8</v>
      </c>
      <c r="R1181" s="1">
        <v>0.4</v>
      </c>
      <c r="S1181" s="1">
        <v>100</v>
      </c>
      <c r="T1181" s="5">
        <v>0.1235</v>
      </c>
      <c r="U1181" s="10">
        <v>6.0000000000000001E-3</v>
      </c>
    </row>
    <row r="1182" spans="1:21 16384:16384" customFormat="1">
      <c r="A1182">
        <v>1</v>
      </c>
      <c r="B1182">
        <v>32</v>
      </c>
      <c r="C1182">
        <v>26</v>
      </c>
      <c r="D1182">
        <v>9</v>
      </c>
      <c r="E1182">
        <v>2020</v>
      </c>
      <c r="F1182">
        <v>1107</v>
      </c>
      <c r="G1182" t="str">
        <f>VLOOKUP(F1182,'[1]Sheet 1'!$B$2:$E$347,2,FALSE)</f>
        <v>Tarapacá</v>
      </c>
      <c r="H1182" t="str">
        <f>VLOOKUP(F1182,'[1]Sheet 1'!$B$2:$E$347,3,FALSE)</f>
        <v>Iquique</v>
      </c>
      <c r="I1182" t="str">
        <f>VLOOKUP(F1182,'[1]Sheet 1'!$B$2:$E$347,4,FALSE)</f>
        <v>Alto Hospicio</v>
      </c>
      <c r="J1182" t="s">
        <v>136</v>
      </c>
      <c r="K1182" s="3" t="s">
        <v>2</v>
      </c>
      <c r="L1182" s="12" t="str">
        <f>VLOOKUP(K1182,[2]Hoja4!$A$2:$C$443,2,FALSE)</f>
        <v>Intentional self-harm by hanging, strangulation and suffocation</v>
      </c>
      <c r="M1182" s="12" t="str">
        <f>VLOOKUP(K1182,[2]Hoja4!$A$2:$C$443,3,FALSE)</f>
        <v>Street and highway</v>
      </c>
      <c r="N1182" s="1">
        <v>15.1</v>
      </c>
      <c r="O1182" s="1">
        <v>18</v>
      </c>
      <c r="P1182" s="1">
        <v>15.9</v>
      </c>
      <c r="Q1182" s="1">
        <v>1015.7</v>
      </c>
      <c r="R1182" s="1">
        <v>0</v>
      </c>
      <c r="S1182" s="1">
        <v>76</v>
      </c>
      <c r="T1182" s="5">
        <v>0.1235</v>
      </c>
      <c r="U1182" s="10">
        <v>6.0000000000000001E-3</v>
      </c>
    </row>
    <row r="1183" spans="1:21 16384:16384" customFormat="1">
      <c r="A1183">
        <v>1</v>
      </c>
      <c r="B1183">
        <v>63</v>
      </c>
      <c r="C1183">
        <v>27</v>
      </c>
      <c r="D1183">
        <v>9</v>
      </c>
      <c r="E1183">
        <v>2020</v>
      </c>
      <c r="F1183">
        <v>9102</v>
      </c>
      <c r="G1183" t="str">
        <f>VLOOKUP(F1183,'[1]Sheet 1'!$B$2:$E$347,2,FALSE)</f>
        <v>La Araucanía</v>
      </c>
      <c r="H1183" t="str">
        <f>VLOOKUP(F1183,'[1]Sheet 1'!$B$2:$E$347,3,FALSE)</f>
        <v>Cautín</v>
      </c>
      <c r="I1183" t="str">
        <f>VLOOKUP(F1183,'[1]Sheet 1'!$B$2:$E$347,4,FALSE)</f>
        <v>Carahue</v>
      </c>
      <c r="J1183" t="s">
        <v>136</v>
      </c>
      <c r="K1183" s="3" t="s">
        <v>4</v>
      </c>
      <c r="L1183" s="12" t="str">
        <f>VLOOKUP(K1183,[2]Hoja4!$A$2:$C$443,2,FALSE)</f>
        <v>Intentional self-harm by hanging, strangulation and suffocation</v>
      </c>
      <c r="M1183" s="12" t="str">
        <f>VLOOKUP(K1183,[2]Hoja4!$A$2:$C$443,3,FALSE)</f>
        <v>At home</v>
      </c>
      <c r="N1183" s="1">
        <v>6.3</v>
      </c>
      <c r="O1183" s="1">
        <v>14.6</v>
      </c>
      <c r="P1183" s="1">
        <v>10.1</v>
      </c>
      <c r="Q1183" s="1">
        <v>1011</v>
      </c>
      <c r="R1183" s="1">
        <v>0</v>
      </c>
      <c r="S1183" s="1">
        <v>85.2</v>
      </c>
      <c r="T1183" s="5">
        <v>0.1235</v>
      </c>
      <c r="U1183" s="10">
        <v>6.0000000000000001E-3</v>
      </c>
    </row>
    <row r="1184" spans="1:21 16384:16384" customFormat="1">
      <c r="A1184">
        <v>1</v>
      </c>
      <c r="B1184">
        <v>70</v>
      </c>
      <c r="C1184">
        <v>27</v>
      </c>
      <c r="D1184">
        <v>9</v>
      </c>
      <c r="E1184">
        <v>2020</v>
      </c>
      <c r="F1184">
        <v>9205</v>
      </c>
      <c r="G1184" t="str">
        <f>VLOOKUP(F1184,'[1]Sheet 1'!$B$2:$E$347,2,FALSE)</f>
        <v>La Araucanía</v>
      </c>
      <c r="H1184" t="str">
        <f>VLOOKUP(F1184,'[1]Sheet 1'!$B$2:$E$347,3,FALSE)</f>
        <v>Malleco</v>
      </c>
      <c r="I1184" t="str">
        <f>VLOOKUP(F1184,'[1]Sheet 1'!$B$2:$E$347,4,FALSE)</f>
        <v>Lonquimay</v>
      </c>
      <c r="J1184" t="s">
        <v>136</v>
      </c>
      <c r="K1184" s="3" t="s">
        <v>0</v>
      </c>
      <c r="L1184" s="12" t="str">
        <f>VLOOKUP(K1184,[2]Hoja4!$A$2:$C$443,2,FALSE)</f>
        <v>Intentional self-harm by hanging, strangulation and suffocation</v>
      </c>
      <c r="M1184" s="12" t="str">
        <f>VLOOKUP(K1184,[2]Hoja4!$A$2:$C$443,3,FALSE)</f>
        <v>Unspecified place</v>
      </c>
      <c r="N1184" s="1">
        <v>3.4</v>
      </c>
      <c r="O1184" s="1">
        <v>16.8</v>
      </c>
      <c r="P1184" s="1">
        <v>10.1</v>
      </c>
      <c r="Q1184" s="1">
        <v>502</v>
      </c>
      <c r="R1184" s="1">
        <v>0</v>
      </c>
      <c r="S1184" s="1">
        <v>73.3</v>
      </c>
      <c r="T1184" s="5">
        <v>0.1235</v>
      </c>
      <c r="U1184" s="10">
        <v>6.0000000000000001E-3</v>
      </c>
    </row>
    <row r="1185" spans="1:21" customFormat="1">
      <c r="A1185">
        <v>1</v>
      </c>
      <c r="B1185">
        <v>34</v>
      </c>
      <c r="C1185">
        <v>27</v>
      </c>
      <c r="D1185">
        <v>9</v>
      </c>
      <c r="E1185">
        <v>2020</v>
      </c>
      <c r="F1185">
        <v>4102</v>
      </c>
      <c r="G1185" t="str">
        <f>VLOOKUP(F1185,'[1]Sheet 1'!$B$2:$E$347,2,FALSE)</f>
        <v>Coquimbo</v>
      </c>
      <c r="H1185" t="str">
        <f>VLOOKUP(F1185,'[1]Sheet 1'!$B$2:$E$347,3,FALSE)</f>
        <v>Elqui</v>
      </c>
      <c r="I1185" t="str">
        <f>VLOOKUP(F1185,'[1]Sheet 1'!$B$2:$E$347,4,FALSE)</f>
        <v>Coquimbo</v>
      </c>
      <c r="J1185" t="s">
        <v>136</v>
      </c>
      <c r="K1185" s="3" t="s">
        <v>4</v>
      </c>
      <c r="L1185" s="12" t="str">
        <f>VLOOKUP(K1185,[2]Hoja4!$A$2:$C$443,2,FALSE)</f>
        <v>Intentional self-harm by hanging, strangulation and suffocation</v>
      </c>
      <c r="M1185" s="12" t="str">
        <f>VLOOKUP(K1185,[2]Hoja4!$A$2:$C$443,3,FALSE)</f>
        <v>At home</v>
      </c>
      <c r="N1185" s="1">
        <v>7.3</v>
      </c>
      <c r="O1185" s="1">
        <v>16.7</v>
      </c>
      <c r="P1185" s="1">
        <v>11.9</v>
      </c>
      <c r="Q1185" s="1">
        <v>1000.6</v>
      </c>
      <c r="R1185" s="1">
        <v>0</v>
      </c>
      <c r="S1185" s="1">
        <v>78.8</v>
      </c>
      <c r="T1185" s="5">
        <v>0.1235</v>
      </c>
      <c r="U1185" s="10">
        <v>6.0000000000000001E-3</v>
      </c>
    </row>
    <row r="1186" spans="1:21" customFormat="1">
      <c r="A1186">
        <v>1</v>
      </c>
      <c r="B1186">
        <v>19</v>
      </c>
      <c r="C1186">
        <v>27</v>
      </c>
      <c r="D1186">
        <v>9</v>
      </c>
      <c r="E1186">
        <v>2020</v>
      </c>
      <c r="F1186">
        <v>9101</v>
      </c>
      <c r="G1186" t="str">
        <f>VLOOKUP(F1186,'[1]Sheet 1'!$B$2:$E$347,2,FALSE)</f>
        <v>La Araucanía</v>
      </c>
      <c r="H1186" t="str">
        <f>VLOOKUP(F1186,'[1]Sheet 1'!$B$2:$E$347,3,FALSE)</f>
        <v>Cautín</v>
      </c>
      <c r="I1186" t="str">
        <f>VLOOKUP(F1186,'[1]Sheet 1'!$B$2:$E$347,4,FALSE)</f>
        <v>Temuco</v>
      </c>
      <c r="J1186" t="s">
        <v>136</v>
      </c>
      <c r="K1186" s="3" t="s">
        <v>4</v>
      </c>
      <c r="L1186" s="12" t="str">
        <f>VLOOKUP(K1186,[2]Hoja4!$A$2:$C$443,2,FALSE)</f>
        <v>Intentional self-harm by hanging, strangulation and suffocation</v>
      </c>
      <c r="M1186" s="12" t="str">
        <f>VLOOKUP(K1186,[2]Hoja4!$A$2:$C$443,3,FALSE)</f>
        <v>At home</v>
      </c>
      <c r="N1186" s="1">
        <v>6.3</v>
      </c>
      <c r="O1186" s="1">
        <v>14.6</v>
      </c>
      <c r="P1186" s="1">
        <v>10.1</v>
      </c>
      <c r="Q1186" s="1">
        <v>1011</v>
      </c>
      <c r="R1186" s="1">
        <v>0</v>
      </c>
      <c r="S1186" s="1">
        <v>85.2</v>
      </c>
      <c r="T1186" s="5">
        <v>0.1235</v>
      </c>
      <c r="U1186" s="10">
        <v>6.0000000000000001E-3</v>
      </c>
    </row>
    <row r="1187" spans="1:21" customFormat="1">
      <c r="A1187">
        <v>1</v>
      </c>
      <c r="B1187">
        <v>33</v>
      </c>
      <c r="C1187">
        <v>27</v>
      </c>
      <c r="D1187">
        <v>9</v>
      </c>
      <c r="E1187">
        <v>2020</v>
      </c>
      <c r="F1187">
        <v>5501</v>
      </c>
      <c r="G1187" t="str">
        <f>VLOOKUP(F1187,'[1]Sheet 1'!$B$2:$E$347,2,FALSE)</f>
        <v>Valparaíso</v>
      </c>
      <c r="H1187" t="str">
        <f>VLOOKUP(F1187,'[1]Sheet 1'!$B$2:$E$347,3,FALSE)</f>
        <v>Quillota</v>
      </c>
      <c r="I1187" t="str">
        <f>VLOOKUP(F1187,'[1]Sheet 1'!$B$2:$E$347,4,FALSE)</f>
        <v>Quillota</v>
      </c>
      <c r="J1187" t="s">
        <v>136</v>
      </c>
      <c r="K1187" s="3" t="s">
        <v>0</v>
      </c>
      <c r="L1187" s="12" t="str">
        <f>VLOOKUP(K1187,[2]Hoja4!$A$2:$C$443,2,FALSE)</f>
        <v>Intentional self-harm by hanging, strangulation and suffocation</v>
      </c>
      <c r="M1187" s="12" t="str">
        <f>VLOOKUP(K1187,[2]Hoja4!$A$2:$C$443,3,FALSE)</f>
        <v>Unspecified place</v>
      </c>
      <c r="N1187" s="1">
        <v>3.3</v>
      </c>
      <c r="O1187" s="1">
        <v>25.8</v>
      </c>
      <c r="P1187" s="1">
        <v>12.9</v>
      </c>
      <c r="Q1187" s="1">
        <v>998.3</v>
      </c>
      <c r="R1187" s="1">
        <v>0</v>
      </c>
      <c r="S1187" s="1">
        <v>65.099999999999994</v>
      </c>
      <c r="T1187" s="5">
        <v>0.1235</v>
      </c>
      <c r="U1187" s="10">
        <v>6.0000000000000001E-3</v>
      </c>
    </row>
    <row r="1188" spans="1:21" customFormat="1">
      <c r="A1188">
        <v>1</v>
      </c>
      <c r="B1188">
        <v>31</v>
      </c>
      <c r="C1188">
        <v>27</v>
      </c>
      <c r="D1188">
        <v>9</v>
      </c>
      <c r="E1188">
        <v>2020</v>
      </c>
      <c r="F1188">
        <v>14104</v>
      </c>
      <c r="G1188" t="str">
        <f>VLOOKUP(F1188,'[1]Sheet 1'!$B$2:$E$347,2,FALSE)</f>
        <v>Los Ríos</v>
      </c>
      <c r="H1188" t="str">
        <f>VLOOKUP(F1188,'[1]Sheet 1'!$B$2:$E$347,3,FALSE)</f>
        <v>Valdivia</v>
      </c>
      <c r="I1188" t="str">
        <f>VLOOKUP(F1188,'[1]Sheet 1'!$B$2:$E$347,4,FALSE)</f>
        <v>Los Lagos</v>
      </c>
      <c r="J1188" t="s">
        <v>136</v>
      </c>
      <c r="K1188" s="3" t="s">
        <v>4</v>
      </c>
      <c r="L1188" s="12" t="str">
        <f>VLOOKUP(K1188,[2]Hoja4!$A$2:$C$443,2,FALSE)</f>
        <v>Intentional self-harm by hanging, strangulation and suffocation</v>
      </c>
      <c r="M1188" s="12" t="str">
        <f>VLOOKUP(K1188,[2]Hoja4!$A$2:$C$443,3,FALSE)</f>
        <v>At home</v>
      </c>
      <c r="N1188" s="1">
        <v>2.4</v>
      </c>
      <c r="O1188" s="1">
        <v>14.9</v>
      </c>
      <c r="P1188" s="1">
        <v>8.6</v>
      </c>
      <c r="Q1188" s="1">
        <v>1021</v>
      </c>
      <c r="R1188" s="1">
        <v>0</v>
      </c>
      <c r="S1188" s="1">
        <v>84.5</v>
      </c>
      <c r="T1188" s="5">
        <v>0.1235</v>
      </c>
      <c r="U1188" s="10">
        <v>6.0000000000000001E-3</v>
      </c>
    </row>
    <row r="1189" spans="1:21" customFormat="1">
      <c r="A1189">
        <v>1</v>
      </c>
      <c r="B1189">
        <v>27</v>
      </c>
      <c r="C1189">
        <v>27</v>
      </c>
      <c r="D1189">
        <v>9</v>
      </c>
      <c r="E1189">
        <v>2020</v>
      </c>
      <c r="F1189">
        <v>13108</v>
      </c>
      <c r="G1189" t="str">
        <f>VLOOKUP(F1189,'[1]Sheet 1'!$B$2:$E$347,2,FALSE)</f>
        <v>Metropolitana de Santiago</v>
      </c>
      <c r="H1189" t="str">
        <f>VLOOKUP(F1189,'[1]Sheet 1'!$B$2:$E$347,3,FALSE)</f>
        <v>Santiago</v>
      </c>
      <c r="I1189" t="str">
        <f>VLOOKUP(F1189,'[1]Sheet 1'!$B$2:$E$347,4,FALSE)</f>
        <v>Independencia</v>
      </c>
      <c r="J1189" t="s">
        <v>136</v>
      </c>
      <c r="K1189" s="3" t="s">
        <v>0</v>
      </c>
      <c r="L1189" s="12" t="str">
        <f>VLOOKUP(K1189,[2]Hoja4!$A$2:$C$443,2,FALSE)</f>
        <v>Intentional self-harm by hanging, strangulation and suffocation</v>
      </c>
      <c r="M1189" s="12" t="str">
        <f>VLOOKUP(K1189,[2]Hoja4!$A$2:$C$443,3,FALSE)</f>
        <v>Unspecified place</v>
      </c>
      <c r="N1189" s="1">
        <v>3.5</v>
      </c>
      <c r="O1189" s="1">
        <v>23.8</v>
      </c>
      <c r="P1189" s="1">
        <v>12.5</v>
      </c>
      <c r="Q1189" s="1">
        <v>958</v>
      </c>
      <c r="R1189" s="1"/>
      <c r="S1189" s="1">
        <v>64</v>
      </c>
      <c r="T1189" s="5">
        <v>0.1235</v>
      </c>
      <c r="U1189" s="10">
        <v>6.0000000000000001E-3</v>
      </c>
    </row>
    <row r="1190" spans="1:21" customFormat="1">
      <c r="A1190">
        <v>1</v>
      </c>
      <c r="B1190">
        <v>28</v>
      </c>
      <c r="C1190">
        <v>27</v>
      </c>
      <c r="D1190">
        <v>9</v>
      </c>
      <c r="E1190">
        <v>2020</v>
      </c>
      <c r="F1190">
        <v>13121</v>
      </c>
      <c r="G1190" t="str">
        <f>VLOOKUP(F1190,'[1]Sheet 1'!$B$2:$E$347,2,FALSE)</f>
        <v>Metropolitana de Santiago</v>
      </c>
      <c r="H1190" t="str">
        <f>VLOOKUP(F1190,'[1]Sheet 1'!$B$2:$E$347,3,FALSE)</f>
        <v>Santiago</v>
      </c>
      <c r="I1190" t="str">
        <f>VLOOKUP(F1190,'[1]Sheet 1'!$B$2:$E$347,4,FALSE)</f>
        <v>Pedro Aguirre Cerda</v>
      </c>
      <c r="J1190" t="s">
        <v>136</v>
      </c>
      <c r="K1190" s="3" t="s">
        <v>0</v>
      </c>
      <c r="L1190" s="12" t="str">
        <f>VLOOKUP(K1190,[2]Hoja4!$A$2:$C$443,2,FALSE)</f>
        <v>Intentional self-harm by hanging, strangulation and suffocation</v>
      </c>
      <c r="M1190" s="12" t="str">
        <f>VLOOKUP(K1190,[2]Hoja4!$A$2:$C$443,3,FALSE)</f>
        <v>Unspecified place</v>
      </c>
      <c r="N1190" s="1">
        <v>3.5</v>
      </c>
      <c r="O1190" s="1">
        <v>23.8</v>
      </c>
      <c r="P1190" s="1">
        <v>12.5</v>
      </c>
      <c r="Q1190" s="1">
        <v>958</v>
      </c>
      <c r="R1190" s="1"/>
      <c r="S1190" s="1">
        <v>64</v>
      </c>
      <c r="T1190" s="5">
        <v>0.1235</v>
      </c>
      <c r="U1190" s="10">
        <v>6.0000000000000001E-3</v>
      </c>
    </row>
    <row r="1191" spans="1:21" customFormat="1">
      <c r="A1191">
        <v>1</v>
      </c>
      <c r="B1191">
        <v>19</v>
      </c>
      <c r="C1191">
        <v>27</v>
      </c>
      <c r="D1191">
        <v>9</v>
      </c>
      <c r="E1191">
        <v>2020</v>
      </c>
      <c r="F1191">
        <v>5701</v>
      </c>
      <c r="G1191" t="str">
        <f>VLOOKUP(F1191,'[1]Sheet 1'!$B$2:$E$347,2,FALSE)</f>
        <v>Valparaíso</v>
      </c>
      <c r="H1191" t="str">
        <f>VLOOKUP(F1191,'[1]Sheet 1'!$B$2:$E$347,3,FALSE)</f>
        <v>San Felipe de Aconcagua</v>
      </c>
      <c r="I1191" t="str">
        <f>VLOOKUP(F1191,'[1]Sheet 1'!$B$2:$E$347,4,FALSE)</f>
        <v>San Felipe</v>
      </c>
      <c r="J1191" t="s">
        <v>136</v>
      </c>
      <c r="K1191" s="3" t="s">
        <v>0</v>
      </c>
      <c r="L1191" s="12" t="str">
        <f>VLOOKUP(K1191,[2]Hoja4!$A$2:$C$443,2,FALSE)</f>
        <v>Intentional self-harm by hanging, strangulation and suffocation</v>
      </c>
      <c r="M1191" s="12" t="str">
        <f>VLOOKUP(K1191,[2]Hoja4!$A$2:$C$443,3,FALSE)</f>
        <v>Unspecified place</v>
      </c>
      <c r="N1191" s="1">
        <v>3.1</v>
      </c>
      <c r="O1191" s="1">
        <v>25.3</v>
      </c>
      <c r="P1191" s="1">
        <v>13.6</v>
      </c>
      <c r="Q1191" s="1">
        <v>941</v>
      </c>
      <c r="R1191" s="1">
        <v>0</v>
      </c>
      <c r="S1191" s="1">
        <v>46.9</v>
      </c>
      <c r="T1191" s="5">
        <v>0.1235</v>
      </c>
      <c r="U1191" s="10">
        <v>6.0000000000000001E-3</v>
      </c>
    </row>
    <row r="1192" spans="1:21" customFormat="1">
      <c r="A1192">
        <v>1</v>
      </c>
      <c r="B1192">
        <v>88</v>
      </c>
      <c r="C1192">
        <v>28</v>
      </c>
      <c r="D1192">
        <v>9</v>
      </c>
      <c r="E1192">
        <v>2020</v>
      </c>
      <c r="F1192">
        <v>4301</v>
      </c>
      <c r="G1192" t="str">
        <f>VLOOKUP(F1192,'[1]Sheet 1'!$B$2:$E$347,2,FALSE)</f>
        <v>Coquimbo</v>
      </c>
      <c r="H1192" t="str">
        <f>VLOOKUP(F1192,'[1]Sheet 1'!$B$2:$E$347,3,FALSE)</f>
        <v>Limarí</v>
      </c>
      <c r="I1192" t="str">
        <f>VLOOKUP(F1192,'[1]Sheet 1'!$B$2:$E$347,4,FALSE)</f>
        <v>Ovalle</v>
      </c>
      <c r="J1192" t="s">
        <v>136</v>
      </c>
      <c r="K1192" s="3" t="s">
        <v>4</v>
      </c>
      <c r="L1192" s="12" t="str">
        <f>VLOOKUP(K1192,[2]Hoja4!$A$2:$C$443,2,FALSE)</f>
        <v>Intentional self-harm by hanging, strangulation and suffocation</v>
      </c>
      <c r="M1192" s="12" t="str">
        <f>VLOOKUP(K1192,[2]Hoja4!$A$2:$C$443,3,FALSE)</f>
        <v>At home</v>
      </c>
      <c r="N1192" s="1"/>
      <c r="O1192" s="1"/>
      <c r="P1192" s="1"/>
      <c r="Q1192" s="1"/>
      <c r="R1192" s="1"/>
      <c r="S1192" s="1"/>
      <c r="T1192" s="5">
        <v>0.1235</v>
      </c>
      <c r="U1192" s="10">
        <v>6.0000000000000001E-3</v>
      </c>
    </row>
    <row r="1193" spans="1:21" customFormat="1">
      <c r="A1193">
        <v>1</v>
      </c>
      <c r="B1193">
        <v>68</v>
      </c>
      <c r="C1193">
        <v>28</v>
      </c>
      <c r="D1193">
        <v>9</v>
      </c>
      <c r="E1193">
        <v>2020</v>
      </c>
      <c r="F1193">
        <v>8111</v>
      </c>
      <c r="G1193" t="str">
        <f>VLOOKUP(F1193,'[1]Sheet 1'!$B$2:$E$347,2,FALSE)</f>
        <v>Biobío</v>
      </c>
      <c r="H1193" t="str">
        <f>VLOOKUP(F1193,'[1]Sheet 1'!$B$2:$E$347,3,FALSE)</f>
        <v>Concepción</v>
      </c>
      <c r="I1193" t="str">
        <f>VLOOKUP(F1193,'[1]Sheet 1'!$B$2:$E$347,4,FALSE)</f>
        <v>Tomé</v>
      </c>
      <c r="J1193" t="s">
        <v>136</v>
      </c>
      <c r="K1193" s="3" t="s">
        <v>0</v>
      </c>
      <c r="L1193" s="12" t="str">
        <f>VLOOKUP(K1193,[2]Hoja4!$A$2:$C$443,2,FALSE)</f>
        <v>Intentional self-harm by hanging, strangulation and suffocation</v>
      </c>
      <c r="M1193" s="12" t="str">
        <f>VLOOKUP(K1193,[2]Hoja4!$A$2:$C$443,3,FALSE)</f>
        <v>Unspecified place</v>
      </c>
      <c r="N1193" s="1">
        <v>4.8</v>
      </c>
      <c r="O1193" s="1">
        <v>14.4</v>
      </c>
      <c r="P1193" s="1">
        <v>9.8000000000000007</v>
      </c>
      <c r="Q1193" s="1">
        <v>1012.8</v>
      </c>
      <c r="R1193" s="1">
        <v>0</v>
      </c>
      <c r="S1193" s="1">
        <v>86.5</v>
      </c>
      <c r="T1193" s="5">
        <v>0.1235</v>
      </c>
      <c r="U1193" s="10">
        <v>6.0000000000000001E-3</v>
      </c>
    </row>
    <row r="1194" spans="1:21" customFormat="1">
      <c r="A1194">
        <v>1</v>
      </c>
      <c r="B1194">
        <v>61</v>
      </c>
      <c r="C1194">
        <v>28</v>
      </c>
      <c r="D1194">
        <v>9</v>
      </c>
      <c r="E1194">
        <v>2020</v>
      </c>
      <c r="F1194">
        <v>9116</v>
      </c>
      <c r="G1194" t="str">
        <f>VLOOKUP(F1194,'[1]Sheet 1'!$B$2:$E$347,2,FALSE)</f>
        <v>La Araucanía</v>
      </c>
      <c r="H1194" t="str">
        <f>VLOOKUP(F1194,'[1]Sheet 1'!$B$2:$E$347,3,FALSE)</f>
        <v>Cautín</v>
      </c>
      <c r="I1194" t="str">
        <f>VLOOKUP(F1194,'[1]Sheet 1'!$B$2:$E$347,4,FALSE)</f>
        <v>Saavedra</v>
      </c>
      <c r="J1194" t="s">
        <v>136</v>
      </c>
      <c r="K1194" s="3" t="s">
        <v>13</v>
      </c>
      <c r="L1194" s="12" t="str">
        <f>VLOOKUP(K1194,[2]Hoja4!$A$2:$C$443,2,FALSE)</f>
        <v>Intentional self-harm by hanging, strangulation and suffocation</v>
      </c>
      <c r="M1194" s="12" t="str">
        <f>VLOOKUP(K1194,[2]Hoja4!$A$2:$C$443,3,FALSE)</f>
        <v>Other specified places</v>
      </c>
      <c r="N1194" s="1">
        <v>3.6</v>
      </c>
      <c r="O1194" s="1">
        <v>14.7</v>
      </c>
      <c r="P1194" s="1">
        <v>8.8000000000000007</v>
      </c>
      <c r="Q1194" s="1">
        <v>1001.7</v>
      </c>
      <c r="R1194" s="1">
        <v>0</v>
      </c>
      <c r="S1194" s="1">
        <v>87.2</v>
      </c>
      <c r="T1194" s="5">
        <v>0.1235</v>
      </c>
      <c r="U1194" s="10">
        <v>6.0000000000000001E-3</v>
      </c>
    </row>
    <row r="1195" spans="1:21" customFormat="1">
      <c r="A1195">
        <v>2</v>
      </c>
      <c r="B1195">
        <v>26</v>
      </c>
      <c r="C1195">
        <v>28</v>
      </c>
      <c r="D1195">
        <v>9</v>
      </c>
      <c r="E1195">
        <v>2020</v>
      </c>
      <c r="F1195">
        <v>7101</v>
      </c>
      <c r="G1195" t="str">
        <f>VLOOKUP(F1195,'[1]Sheet 1'!$B$2:$E$347,2,FALSE)</f>
        <v>Maule</v>
      </c>
      <c r="H1195" t="str">
        <f>VLOOKUP(F1195,'[1]Sheet 1'!$B$2:$E$347,3,FALSE)</f>
        <v>Talca</v>
      </c>
      <c r="I1195" t="str">
        <f>VLOOKUP(F1195,'[1]Sheet 1'!$B$2:$E$347,4,FALSE)</f>
        <v>Talca</v>
      </c>
      <c r="J1195" t="s">
        <v>136</v>
      </c>
      <c r="K1195" s="3" t="s">
        <v>4</v>
      </c>
      <c r="L1195" s="12" t="str">
        <f>VLOOKUP(K1195,[2]Hoja4!$A$2:$C$443,2,FALSE)</f>
        <v>Intentional self-harm by hanging, strangulation and suffocation</v>
      </c>
      <c r="M1195" s="12" t="str">
        <f>VLOOKUP(K1195,[2]Hoja4!$A$2:$C$443,3,FALSE)</f>
        <v>At home</v>
      </c>
      <c r="N1195" s="1">
        <v>4.5999999999999996</v>
      </c>
      <c r="O1195" s="1">
        <v>21.7</v>
      </c>
      <c r="P1195" s="1">
        <v>13.2</v>
      </c>
      <c r="Q1195" s="1">
        <v>998.9</v>
      </c>
      <c r="R1195" s="1">
        <v>0</v>
      </c>
      <c r="S1195" s="1">
        <v>72.099999999999994</v>
      </c>
      <c r="T1195" s="5">
        <v>0.1235</v>
      </c>
      <c r="U1195" s="10">
        <v>6.0000000000000001E-3</v>
      </c>
    </row>
    <row r="1196" spans="1:21" customFormat="1">
      <c r="A1196">
        <v>1</v>
      </c>
      <c r="B1196">
        <v>27</v>
      </c>
      <c r="C1196">
        <v>28</v>
      </c>
      <c r="D1196">
        <v>9</v>
      </c>
      <c r="E1196">
        <v>2020</v>
      </c>
      <c r="F1196">
        <v>7109</v>
      </c>
      <c r="G1196" t="str">
        <f>VLOOKUP(F1196,'[1]Sheet 1'!$B$2:$E$347,2,FALSE)</f>
        <v>Maule</v>
      </c>
      <c r="H1196" t="str">
        <f>VLOOKUP(F1196,'[1]Sheet 1'!$B$2:$E$347,3,FALSE)</f>
        <v>Talca</v>
      </c>
      <c r="I1196" t="str">
        <f>VLOOKUP(F1196,'[1]Sheet 1'!$B$2:$E$347,4,FALSE)</f>
        <v>San Clemente</v>
      </c>
      <c r="J1196" t="s">
        <v>136</v>
      </c>
      <c r="K1196" s="3" t="s">
        <v>4</v>
      </c>
      <c r="L1196" s="12" t="str">
        <f>VLOOKUP(K1196,[2]Hoja4!$A$2:$C$443,2,FALSE)</f>
        <v>Intentional self-harm by hanging, strangulation and suffocation</v>
      </c>
      <c r="M1196" s="12" t="str">
        <f>VLOOKUP(K1196,[2]Hoja4!$A$2:$C$443,3,FALSE)</f>
        <v>At home</v>
      </c>
      <c r="N1196" s="1">
        <v>4.5999999999999996</v>
      </c>
      <c r="O1196" s="1">
        <v>21.7</v>
      </c>
      <c r="P1196" s="1">
        <v>13.2</v>
      </c>
      <c r="Q1196" s="1">
        <v>998.9</v>
      </c>
      <c r="R1196" s="1">
        <v>0</v>
      </c>
      <c r="S1196" s="1">
        <v>72.099999999999994</v>
      </c>
      <c r="T1196" s="5">
        <v>0.1235</v>
      </c>
      <c r="U1196" s="10">
        <v>6.0000000000000001E-3</v>
      </c>
    </row>
    <row r="1197" spans="1:21" customFormat="1">
      <c r="A1197">
        <v>1</v>
      </c>
      <c r="B1197">
        <v>52</v>
      </c>
      <c r="C1197">
        <v>29</v>
      </c>
      <c r="D1197">
        <v>9</v>
      </c>
      <c r="E1197">
        <v>2020</v>
      </c>
      <c r="F1197">
        <v>8108</v>
      </c>
      <c r="G1197" t="str">
        <f>VLOOKUP(F1197,'[1]Sheet 1'!$B$2:$E$347,2,FALSE)</f>
        <v>Biobío</v>
      </c>
      <c r="H1197" t="str">
        <f>VLOOKUP(F1197,'[1]Sheet 1'!$B$2:$E$347,3,FALSE)</f>
        <v>Concepción</v>
      </c>
      <c r="I1197" t="str">
        <f>VLOOKUP(F1197,'[1]Sheet 1'!$B$2:$E$347,4,FALSE)</f>
        <v>San Pedro de la Paz</v>
      </c>
      <c r="J1197" t="s">
        <v>136</v>
      </c>
      <c r="K1197" s="3" t="s">
        <v>0</v>
      </c>
      <c r="L1197" s="12" t="str">
        <f>VLOOKUP(K1197,[2]Hoja4!$A$2:$C$443,2,FALSE)</f>
        <v>Intentional self-harm by hanging, strangulation and suffocation</v>
      </c>
      <c r="M1197" s="12" t="str">
        <f>VLOOKUP(K1197,[2]Hoja4!$A$2:$C$443,3,FALSE)</f>
        <v>Unspecified place</v>
      </c>
      <c r="N1197" s="1">
        <v>7</v>
      </c>
      <c r="O1197" s="1">
        <v>14</v>
      </c>
      <c r="P1197" s="1">
        <v>10.7</v>
      </c>
      <c r="Q1197" s="1">
        <v>1014.4</v>
      </c>
      <c r="R1197" s="1">
        <v>3.2</v>
      </c>
      <c r="S1197" s="1">
        <v>84.2</v>
      </c>
      <c r="T1197" s="5">
        <v>0.1235</v>
      </c>
      <c r="U1197" s="10">
        <v>6.0000000000000001E-3</v>
      </c>
    </row>
    <row r="1198" spans="1:21" customFormat="1">
      <c r="A1198">
        <v>1</v>
      </c>
      <c r="B1198">
        <v>49</v>
      </c>
      <c r="C1198">
        <v>29</v>
      </c>
      <c r="D1198">
        <v>9</v>
      </c>
      <c r="E1198">
        <v>2020</v>
      </c>
      <c r="F1198">
        <v>14203</v>
      </c>
      <c r="G1198" t="str">
        <f>VLOOKUP(F1198,'[1]Sheet 1'!$B$2:$E$347,2,FALSE)</f>
        <v>Los Ríos</v>
      </c>
      <c r="H1198" t="str">
        <f>VLOOKUP(F1198,'[1]Sheet 1'!$B$2:$E$347,3,FALSE)</f>
        <v>Ranco</v>
      </c>
      <c r="I1198" t="str">
        <f>VLOOKUP(F1198,'[1]Sheet 1'!$B$2:$E$347,4,FALSE)</f>
        <v>Lago Ranco</v>
      </c>
      <c r="J1198" t="s">
        <v>136</v>
      </c>
      <c r="K1198" s="3" t="s">
        <v>4</v>
      </c>
      <c r="L1198" s="12" t="str">
        <f>VLOOKUP(K1198,[2]Hoja4!$A$2:$C$443,2,FALSE)</f>
        <v>Intentional self-harm by hanging, strangulation and suffocation</v>
      </c>
      <c r="M1198" s="12" t="str">
        <f>VLOOKUP(K1198,[2]Hoja4!$A$2:$C$443,3,FALSE)</f>
        <v>At home</v>
      </c>
      <c r="N1198" s="1">
        <v>-1.8</v>
      </c>
      <c r="O1198" s="1">
        <v>11.6</v>
      </c>
      <c r="P1198" s="1">
        <v>4.9000000000000004</v>
      </c>
      <c r="Q1198" s="1">
        <v>1020.3</v>
      </c>
      <c r="R1198" s="1">
        <v>18.399999999999999</v>
      </c>
      <c r="S1198" s="1">
        <v>87</v>
      </c>
      <c r="T1198" s="5">
        <v>0.1235</v>
      </c>
      <c r="U1198" s="10">
        <v>6.0000000000000001E-3</v>
      </c>
    </row>
    <row r="1199" spans="1:21" customFormat="1">
      <c r="A1199">
        <v>1</v>
      </c>
      <c r="B1199">
        <v>33</v>
      </c>
      <c r="C1199">
        <v>29</v>
      </c>
      <c r="D1199">
        <v>9</v>
      </c>
      <c r="E1199">
        <v>2020</v>
      </c>
      <c r="F1199">
        <v>13402</v>
      </c>
      <c r="G1199" t="str">
        <f>VLOOKUP(F1199,'[1]Sheet 1'!$B$2:$E$347,2,FALSE)</f>
        <v>Metropolitana de Santiago</v>
      </c>
      <c r="H1199" t="str">
        <f>VLOOKUP(F1199,'[1]Sheet 1'!$B$2:$E$347,3,FALSE)</f>
        <v>Maipo</v>
      </c>
      <c r="I1199" t="str">
        <f>VLOOKUP(F1199,'[1]Sheet 1'!$B$2:$E$347,4,FALSE)</f>
        <v>Buin</v>
      </c>
      <c r="J1199" t="s">
        <v>136</v>
      </c>
      <c r="K1199" s="3" t="s">
        <v>0</v>
      </c>
      <c r="L1199" s="12" t="str">
        <f>VLOOKUP(K1199,[2]Hoja4!$A$2:$C$443,2,FALSE)</f>
        <v>Intentional self-harm by hanging, strangulation and suffocation</v>
      </c>
      <c r="M1199" s="12" t="str">
        <f>VLOOKUP(K1199,[2]Hoja4!$A$2:$C$443,3,FALSE)</f>
        <v>Unspecified place</v>
      </c>
      <c r="N1199" s="1">
        <v>4</v>
      </c>
      <c r="O1199" s="1">
        <v>25.9</v>
      </c>
      <c r="P1199" s="1">
        <v>14.1</v>
      </c>
      <c r="Q1199" s="1">
        <v>967.3</v>
      </c>
      <c r="R1199" s="1">
        <v>0</v>
      </c>
      <c r="S1199" s="1">
        <v>65.900000000000006</v>
      </c>
      <c r="T1199" s="5">
        <v>0.1235</v>
      </c>
      <c r="U1199" s="10">
        <v>6.0000000000000001E-3</v>
      </c>
    </row>
    <row r="1200" spans="1:21" customFormat="1">
      <c r="A1200">
        <v>2</v>
      </c>
      <c r="B1200">
        <v>25</v>
      </c>
      <c r="C1200">
        <v>29</v>
      </c>
      <c r="D1200">
        <v>9</v>
      </c>
      <c r="E1200">
        <v>2020</v>
      </c>
      <c r="F1200">
        <v>13302</v>
      </c>
      <c r="G1200" t="str">
        <f>VLOOKUP(F1200,'[1]Sheet 1'!$B$2:$E$347,2,FALSE)</f>
        <v>Metropolitana de Santiago</v>
      </c>
      <c r="H1200" t="str">
        <f>VLOOKUP(F1200,'[1]Sheet 1'!$B$2:$E$347,3,FALSE)</f>
        <v>Chacabuco</v>
      </c>
      <c r="I1200" t="str">
        <f>VLOOKUP(F1200,'[1]Sheet 1'!$B$2:$E$347,4,FALSE)</f>
        <v>Lampa</v>
      </c>
      <c r="J1200" t="s">
        <v>136</v>
      </c>
      <c r="K1200" s="3" t="s">
        <v>0</v>
      </c>
      <c r="L1200" s="12" t="str">
        <f>VLOOKUP(K1200,[2]Hoja4!$A$2:$C$443,2,FALSE)</f>
        <v>Intentional self-harm by hanging, strangulation and suffocation</v>
      </c>
      <c r="M1200" s="12" t="str">
        <f>VLOOKUP(K1200,[2]Hoja4!$A$2:$C$443,3,FALSE)</f>
        <v>Unspecified place</v>
      </c>
      <c r="N1200" s="1">
        <v>5.0999999999999996</v>
      </c>
      <c r="O1200" s="1">
        <v>18.3</v>
      </c>
      <c r="P1200" s="1">
        <v>11.3</v>
      </c>
      <c r="Q1200" s="1">
        <v>943.3</v>
      </c>
      <c r="R1200" s="1"/>
      <c r="S1200" s="1">
        <v>73.5</v>
      </c>
      <c r="T1200" s="5">
        <v>0.1235</v>
      </c>
      <c r="U1200" s="10">
        <v>6.0000000000000001E-3</v>
      </c>
    </row>
    <row r="1201" spans="1:21" customFormat="1">
      <c r="A1201">
        <v>1</v>
      </c>
      <c r="B1201">
        <v>47</v>
      </c>
      <c r="C1201">
        <v>30</v>
      </c>
      <c r="D1201">
        <v>9</v>
      </c>
      <c r="E1201">
        <v>2020</v>
      </c>
      <c r="F1201">
        <v>10106</v>
      </c>
      <c r="G1201" t="str">
        <f>VLOOKUP(F1201,'[1]Sheet 1'!$B$2:$E$347,2,FALSE)</f>
        <v>Los Lagos</v>
      </c>
      <c r="H1201" t="str">
        <f>VLOOKUP(F1201,'[1]Sheet 1'!$B$2:$E$347,3,FALSE)</f>
        <v>Llanquihue</v>
      </c>
      <c r="I1201" t="str">
        <f>VLOOKUP(F1201,'[1]Sheet 1'!$B$2:$E$347,4,FALSE)</f>
        <v>Los Muermos</v>
      </c>
      <c r="J1201" t="s">
        <v>136</v>
      </c>
      <c r="K1201" s="3" t="s">
        <v>0</v>
      </c>
      <c r="L1201" s="12" t="str">
        <f>VLOOKUP(K1201,[2]Hoja4!$A$2:$C$443,2,FALSE)</f>
        <v>Intentional self-harm by hanging, strangulation and suffocation</v>
      </c>
      <c r="M1201" s="12" t="str">
        <f>VLOOKUP(K1201,[2]Hoja4!$A$2:$C$443,3,FALSE)</f>
        <v>Unspecified place</v>
      </c>
      <c r="N1201" s="1">
        <v>0.1</v>
      </c>
      <c r="O1201" s="1">
        <v>11.3</v>
      </c>
      <c r="P1201" s="1">
        <v>5.9</v>
      </c>
      <c r="Q1201" s="1">
        <v>1009.5</v>
      </c>
      <c r="R1201" s="1">
        <v>3.6</v>
      </c>
      <c r="S1201" s="1">
        <v>86.5</v>
      </c>
      <c r="T1201" s="5">
        <v>0.1235</v>
      </c>
      <c r="U1201" s="10">
        <v>6.0000000000000001E-3</v>
      </c>
    </row>
    <row r="1202" spans="1:21" customFormat="1">
      <c r="A1202">
        <v>1</v>
      </c>
      <c r="B1202">
        <v>47</v>
      </c>
      <c r="C1202">
        <v>30</v>
      </c>
      <c r="D1202">
        <v>9</v>
      </c>
      <c r="E1202">
        <v>2020</v>
      </c>
      <c r="F1202">
        <v>6101</v>
      </c>
      <c r="G1202" t="str">
        <f>VLOOKUP(F1202,'[1]Sheet 1'!$B$2:$E$347,2,FALSE)</f>
        <v>Libertador General Bernardo O'Higgins</v>
      </c>
      <c r="H1202" t="str">
        <f>VLOOKUP(F1202,'[1]Sheet 1'!$B$2:$E$347,3,FALSE)</f>
        <v>Cachapoal</v>
      </c>
      <c r="I1202" t="str">
        <f>VLOOKUP(F1202,'[1]Sheet 1'!$B$2:$E$347,4,FALSE)</f>
        <v>Rancagua</v>
      </c>
      <c r="J1202" t="s">
        <v>136</v>
      </c>
      <c r="K1202" s="3" t="s">
        <v>0</v>
      </c>
      <c r="L1202" s="12" t="str">
        <f>VLOOKUP(K1202,[2]Hoja4!$A$2:$C$443,2,FALSE)</f>
        <v>Intentional self-harm by hanging, strangulation and suffocation</v>
      </c>
      <c r="M1202" s="12" t="str">
        <f>VLOOKUP(K1202,[2]Hoja4!$A$2:$C$443,3,FALSE)</f>
        <v>Unspecified place</v>
      </c>
      <c r="N1202" s="1">
        <v>3.1</v>
      </c>
      <c r="O1202" s="1">
        <v>16.899999999999999</v>
      </c>
      <c r="P1202" s="1">
        <v>9.3000000000000007</v>
      </c>
      <c r="Q1202" s="1">
        <v>962.6</v>
      </c>
      <c r="R1202" s="1">
        <v>0</v>
      </c>
      <c r="S1202" s="1">
        <v>75.7</v>
      </c>
      <c r="T1202" s="5">
        <v>0.1235</v>
      </c>
      <c r="U1202" s="10">
        <v>6.0000000000000001E-3</v>
      </c>
    </row>
    <row r="1203" spans="1:21" customFormat="1">
      <c r="A1203">
        <v>1</v>
      </c>
      <c r="B1203">
        <v>35</v>
      </c>
      <c r="C1203">
        <v>30</v>
      </c>
      <c r="D1203">
        <v>9</v>
      </c>
      <c r="E1203">
        <v>2020</v>
      </c>
      <c r="F1203">
        <v>13103</v>
      </c>
      <c r="G1203" t="str">
        <f>VLOOKUP(F1203,'[1]Sheet 1'!$B$2:$E$347,2,FALSE)</f>
        <v>Metropolitana de Santiago</v>
      </c>
      <c r="H1203" t="str">
        <f>VLOOKUP(F1203,'[1]Sheet 1'!$B$2:$E$347,3,FALSE)</f>
        <v>Santiago</v>
      </c>
      <c r="I1203" t="str">
        <f>VLOOKUP(F1203,'[1]Sheet 1'!$B$2:$E$347,4,FALSE)</f>
        <v>Cerro Navia</v>
      </c>
      <c r="J1203" t="s">
        <v>136</v>
      </c>
      <c r="K1203" s="3" t="s">
        <v>0</v>
      </c>
      <c r="L1203" s="12" t="str">
        <f>VLOOKUP(K1203,[2]Hoja4!$A$2:$C$443,2,FALSE)</f>
        <v>Intentional self-harm by hanging, strangulation and suffocation</v>
      </c>
      <c r="M1203" s="12" t="str">
        <f>VLOOKUP(K1203,[2]Hoja4!$A$2:$C$443,3,FALSE)</f>
        <v>Unspecified place</v>
      </c>
      <c r="N1203" s="1">
        <v>3.9</v>
      </c>
      <c r="O1203" s="1">
        <v>19</v>
      </c>
      <c r="P1203" s="1">
        <v>10.9</v>
      </c>
      <c r="Q1203" s="1">
        <v>958.6</v>
      </c>
      <c r="R1203" s="1"/>
      <c r="S1203" s="1">
        <v>63.8</v>
      </c>
      <c r="T1203" s="5">
        <v>0.1235</v>
      </c>
      <c r="U1203" s="10">
        <v>6.0000000000000001E-3</v>
      </c>
    </row>
    <row r="1204" spans="1:21" customFormat="1">
      <c r="A1204">
        <v>1</v>
      </c>
      <c r="B1204">
        <v>59</v>
      </c>
      <c r="C1204">
        <v>1</v>
      </c>
      <c r="D1204">
        <v>10</v>
      </c>
      <c r="E1204">
        <v>2020</v>
      </c>
      <c r="F1204">
        <v>8101</v>
      </c>
      <c r="G1204" t="str">
        <f>VLOOKUP(F1204,'[1]Sheet 1'!$B$2:$E$347,2,FALSE)</f>
        <v>Biobío</v>
      </c>
      <c r="H1204" t="str">
        <f>VLOOKUP(F1204,'[1]Sheet 1'!$B$2:$E$347,3,FALSE)</f>
        <v>Concepción</v>
      </c>
      <c r="I1204" t="str">
        <f>VLOOKUP(F1204,'[1]Sheet 1'!$B$2:$E$347,4,FALSE)</f>
        <v>Concepción</v>
      </c>
      <c r="J1204" t="s">
        <v>136</v>
      </c>
      <c r="K1204" s="3" t="s">
        <v>0</v>
      </c>
      <c r="L1204" s="12" t="str">
        <f>VLOOKUP(K1204,[2]Hoja4!$A$2:$C$443,2,FALSE)</f>
        <v>Intentional self-harm by hanging, strangulation and suffocation</v>
      </c>
      <c r="M1204" s="12" t="str">
        <f>VLOOKUP(K1204,[2]Hoja4!$A$2:$C$443,3,FALSE)</f>
        <v>Unspecified place</v>
      </c>
      <c r="N1204" s="1">
        <v>1.9</v>
      </c>
      <c r="O1204" s="1">
        <v>13.5</v>
      </c>
      <c r="P1204" s="1">
        <v>8.3000000000000007</v>
      </c>
      <c r="Q1204" s="1">
        <v>1020.3</v>
      </c>
      <c r="R1204" s="1">
        <v>0</v>
      </c>
      <c r="S1204" s="1">
        <v>73.8</v>
      </c>
      <c r="T1204" s="5">
        <v>0.1158</v>
      </c>
      <c r="U1204" s="10">
        <v>7.0000000000000001E-3</v>
      </c>
    </row>
    <row r="1205" spans="1:21" customFormat="1">
      <c r="A1205">
        <v>1</v>
      </c>
      <c r="B1205">
        <v>49</v>
      </c>
      <c r="C1205">
        <v>1</v>
      </c>
      <c r="D1205">
        <v>10</v>
      </c>
      <c r="E1205">
        <v>2020</v>
      </c>
      <c r="F1205">
        <v>11101</v>
      </c>
      <c r="G1205" t="str">
        <f>VLOOKUP(F1205,'[1]Sheet 1'!$B$2:$E$347,2,FALSE)</f>
        <v>Aysén del General Carlos Ibáñez del Campo</v>
      </c>
      <c r="H1205" t="str">
        <f>VLOOKUP(F1205,'[1]Sheet 1'!$B$2:$E$347,3,FALSE)</f>
        <v>Coihaique</v>
      </c>
      <c r="I1205" t="str">
        <f>VLOOKUP(F1205,'[1]Sheet 1'!$B$2:$E$347,4,FALSE)</f>
        <v>Coihaique</v>
      </c>
      <c r="J1205" t="s">
        <v>142</v>
      </c>
      <c r="K1205" s="3" t="s">
        <v>11</v>
      </c>
      <c r="L1205" s="12" t="str">
        <f>VLOOKUP(K1205,[2]Hoja4!$A$2:$C$443,2,FALSE)</f>
        <v>Intentional self-harm by other and unspecified firearm discharge</v>
      </c>
      <c r="M1205" s="12" t="str">
        <f>VLOOKUP(K1205,[2]Hoja4!$A$2:$C$443,3,FALSE)</f>
        <v>Unspecified place</v>
      </c>
      <c r="N1205" s="1">
        <v>0.3</v>
      </c>
      <c r="O1205" s="1">
        <v>8.1</v>
      </c>
      <c r="P1205" s="1">
        <v>3.6</v>
      </c>
      <c r="Q1205" s="1">
        <v>982</v>
      </c>
      <c r="R1205" s="1">
        <v>0.8</v>
      </c>
      <c r="S1205" s="1">
        <v>77.2</v>
      </c>
      <c r="T1205" s="5">
        <v>0.1158</v>
      </c>
      <c r="U1205" s="10">
        <v>7.0000000000000001E-3</v>
      </c>
    </row>
    <row r="1206" spans="1:21" customFormat="1">
      <c r="A1206">
        <v>1</v>
      </c>
      <c r="B1206">
        <v>32</v>
      </c>
      <c r="C1206">
        <v>1</v>
      </c>
      <c r="D1206">
        <v>10</v>
      </c>
      <c r="E1206">
        <v>2020</v>
      </c>
      <c r="F1206">
        <v>6101</v>
      </c>
      <c r="G1206" t="str">
        <f>VLOOKUP(F1206,'[1]Sheet 1'!$B$2:$E$347,2,FALSE)</f>
        <v>Libertador General Bernardo O'Higgins</v>
      </c>
      <c r="H1206" t="str">
        <f>VLOOKUP(F1206,'[1]Sheet 1'!$B$2:$E$347,3,FALSE)</f>
        <v>Cachapoal</v>
      </c>
      <c r="I1206" t="str">
        <f>VLOOKUP(F1206,'[1]Sheet 1'!$B$2:$E$347,4,FALSE)</f>
        <v>Rancagua</v>
      </c>
      <c r="J1206" t="s">
        <v>136</v>
      </c>
      <c r="K1206" s="3" t="s">
        <v>0</v>
      </c>
      <c r="L1206" s="12" t="str">
        <f>VLOOKUP(K1206,[2]Hoja4!$A$2:$C$443,2,FALSE)</f>
        <v>Intentional self-harm by hanging, strangulation and suffocation</v>
      </c>
      <c r="M1206" s="12" t="str">
        <f>VLOOKUP(K1206,[2]Hoja4!$A$2:$C$443,3,FALSE)</f>
        <v>Unspecified place</v>
      </c>
      <c r="N1206" s="1">
        <v>6.1</v>
      </c>
      <c r="O1206" s="1">
        <v>18.100000000000001</v>
      </c>
      <c r="P1206" s="1">
        <v>10.8</v>
      </c>
      <c r="Q1206" s="1">
        <v>960.5</v>
      </c>
      <c r="R1206" s="1">
        <v>0</v>
      </c>
      <c r="S1206" s="1">
        <v>64.5</v>
      </c>
      <c r="T1206" s="5">
        <v>0.1158</v>
      </c>
      <c r="U1206" s="10">
        <v>7.0000000000000001E-3</v>
      </c>
    </row>
    <row r="1207" spans="1:21" customFormat="1">
      <c r="A1207">
        <v>1</v>
      </c>
      <c r="B1207">
        <v>31</v>
      </c>
      <c r="C1207">
        <v>1</v>
      </c>
      <c r="D1207">
        <v>10</v>
      </c>
      <c r="E1207">
        <v>2020</v>
      </c>
      <c r="F1207">
        <v>13112</v>
      </c>
      <c r="G1207" t="str">
        <f>VLOOKUP(F1207,'[1]Sheet 1'!$B$2:$E$347,2,FALSE)</f>
        <v>Metropolitana de Santiago</v>
      </c>
      <c r="H1207" t="str">
        <f>VLOOKUP(F1207,'[1]Sheet 1'!$B$2:$E$347,3,FALSE)</f>
        <v>Santiago</v>
      </c>
      <c r="I1207" t="str">
        <f>VLOOKUP(F1207,'[1]Sheet 1'!$B$2:$E$347,4,FALSE)</f>
        <v>La Pintana</v>
      </c>
      <c r="J1207" t="s">
        <v>136</v>
      </c>
      <c r="K1207" s="3" t="s">
        <v>0</v>
      </c>
      <c r="L1207" s="12" t="str">
        <f>VLOOKUP(K1207,[2]Hoja4!$A$2:$C$443,2,FALSE)</f>
        <v>Intentional self-harm by hanging, strangulation and suffocation</v>
      </c>
      <c r="M1207" s="12" t="str">
        <f>VLOOKUP(K1207,[2]Hoja4!$A$2:$C$443,3,FALSE)</f>
        <v>Unspecified place</v>
      </c>
      <c r="N1207" s="1">
        <v>7.6</v>
      </c>
      <c r="O1207" s="1">
        <v>19.399999999999999</v>
      </c>
      <c r="P1207" s="1">
        <v>12</v>
      </c>
      <c r="Q1207" s="1">
        <v>956.7</v>
      </c>
      <c r="R1207" s="1"/>
      <c r="S1207" s="1">
        <v>61.8</v>
      </c>
      <c r="T1207" s="5">
        <v>0.1158</v>
      </c>
      <c r="U1207" s="10">
        <v>7.0000000000000001E-3</v>
      </c>
    </row>
    <row r="1208" spans="1:21" customFormat="1">
      <c r="A1208">
        <v>1</v>
      </c>
      <c r="B1208">
        <v>15</v>
      </c>
      <c r="C1208">
        <v>1</v>
      </c>
      <c r="D1208">
        <v>10</v>
      </c>
      <c r="E1208">
        <v>2020</v>
      </c>
      <c r="F1208">
        <v>15101</v>
      </c>
      <c r="G1208" t="str">
        <f>VLOOKUP(F1208,'[1]Sheet 1'!$B$2:$E$347,2,FALSE)</f>
        <v>Arica y Parinacota</v>
      </c>
      <c r="H1208" t="str">
        <f>VLOOKUP(F1208,'[1]Sheet 1'!$B$2:$E$347,3,FALSE)</f>
        <v>Arica</v>
      </c>
      <c r="I1208" t="str">
        <f>VLOOKUP(F1208,'[1]Sheet 1'!$B$2:$E$347,4,FALSE)</f>
        <v>Arica</v>
      </c>
      <c r="J1208" t="s">
        <v>151</v>
      </c>
      <c r="K1208" s="3" t="s">
        <v>29</v>
      </c>
      <c r="L1208" s="12" t="str">
        <f>VLOOKUP(K1208,[2]Hoja4!$A$2:$C$443,2,FALSE)</f>
        <v>Intentional self-harm by jumping from a high place</v>
      </c>
      <c r="M1208" s="12" t="str">
        <f>VLOOKUP(K1208,[2]Hoja4!$A$2:$C$443,3,FALSE)</f>
        <v>Street and highway</v>
      </c>
      <c r="N1208" s="1">
        <v>15.2</v>
      </c>
      <c r="O1208" s="1">
        <v>19.3</v>
      </c>
      <c r="P1208" s="1">
        <v>17.2</v>
      </c>
      <c r="Q1208" s="1">
        <v>1010.3</v>
      </c>
      <c r="R1208" s="1">
        <v>0</v>
      </c>
      <c r="S1208" s="1">
        <v>73.400000000000006</v>
      </c>
      <c r="T1208" s="5">
        <v>0.1158</v>
      </c>
      <c r="U1208" s="10">
        <v>7.0000000000000001E-3</v>
      </c>
    </row>
    <row r="1209" spans="1:21" customFormat="1">
      <c r="A1209">
        <v>2</v>
      </c>
      <c r="B1209">
        <v>22</v>
      </c>
      <c r="C1209">
        <v>1</v>
      </c>
      <c r="D1209">
        <v>10</v>
      </c>
      <c r="E1209">
        <v>2020</v>
      </c>
      <c r="F1209">
        <v>13303</v>
      </c>
      <c r="G1209" t="str">
        <f>VLOOKUP(F1209,'[1]Sheet 1'!$B$2:$E$347,2,FALSE)</f>
        <v>Metropolitana de Santiago</v>
      </c>
      <c r="H1209" t="str">
        <f>VLOOKUP(F1209,'[1]Sheet 1'!$B$2:$E$347,3,FALSE)</f>
        <v>Chacabuco</v>
      </c>
      <c r="I1209" t="str">
        <f>VLOOKUP(F1209,'[1]Sheet 1'!$B$2:$E$347,4,FALSE)</f>
        <v>Tiltil</v>
      </c>
      <c r="J1209" t="s">
        <v>136</v>
      </c>
      <c r="K1209" s="3" t="s">
        <v>0</v>
      </c>
      <c r="L1209" s="12" t="str">
        <f>VLOOKUP(K1209,[2]Hoja4!$A$2:$C$443,2,FALSE)</f>
        <v>Intentional self-harm by hanging, strangulation and suffocation</v>
      </c>
      <c r="M1209" s="12" t="str">
        <f>VLOOKUP(K1209,[2]Hoja4!$A$2:$C$443,3,FALSE)</f>
        <v>Unspecified place</v>
      </c>
      <c r="N1209" s="1">
        <v>4.7</v>
      </c>
      <c r="O1209" s="1">
        <v>20.5</v>
      </c>
      <c r="P1209" s="1">
        <v>11.6</v>
      </c>
      <c r="Q1209" s="1">
        <v>938</v>
      </c>
      <c r="R1209" s="1"/>
      <c r="S1209" s="1">
        <v>64.5</v>
      </c>
      <c r="T1209" s="5">
        <v>0.1158</v>
      </c>
      <c r="U1209" s="10">
        <v>7.0000000000000001E-3</v>
      </c>
    </row>
    <row r="1210" spans="1:21" customFormat="1">
      <c r="A1210">
        <v>1</v>
      </c>
      <c r="B1210">
        <v>35</v>
      </c>
      <c r="C1210">
        <v>1</v>
      </c>
      <c r="D1210">
        <v>10</v>
      </c>
      <c r="E1210">
        <v>2020</v>
      </c>
      <c r="F1210">
        <v>9101</v>
      </c>
      <c r="G1210" t="str">
        <f>VLOOKUP(F1210,'[1]Sheet 1'!$B$2:$E$347,2,FALSE)</f>
        <v>La Araucanía</v>
      </c>
      <c r="H1210" t="str">
        <f>VLOOKUP(F1210,'[1]Sheet 1'!$B$2:$E$347,3,FALSE)</f>
        <v>Cautín</v>
      </c>
      <c r="I1210" t="str">
        <f>VLOOKUP(F1210,'[1]Sheet 1'!$B$2:$E$347,4,FALSE)</f>
        <v>Temuco</v>
      </c>
      <c r="J1210" t="s">
        <v>136</v>
      </c>
      <c r="K1210" s="3" t="s">
        <v>4</v>
      </c>
      <c r="L1210" s="12" t="str">
        <f>VLOOKUP(K1210,[2]Hoja4!$A$2:$C$443,2,FALSE)</f>
        <v>Intentional self-harm by hanging, strangulation and suffocation</v>
      </c>
      <c r="M1210" s="12" t="str">
        <f>VLOOKUP(K1210,[2]Hoja4!$A$2:$C$443,3,FALSE)</f>
        <v>At home</v>
      </c>
      <c r="N1210" s="1">
        <v>-0.1</v>
      </c>
      <c r="O1210" s="1">
        <v>12.4</v>
      </c>
      <c r="P1210" s="1">
        <v>5.8</v>
      </c>
      <c r="Q1210" s="1">
        <v>1009.6</v>
      </c>
      <c r="R1210" s="1">
        <v>0.6</v>
      </c>
      <c r="S1210" s="1">
        <v>88.5</v>
      </c>
      <c r="T1210" s="5">
        <v>0.1158</v>
      </c>
      <c r="U1210" s="10">
        <v>7.0000000000000001E-3</v>
      </c>
    </row>
    <row r="1211" spans="1:21" customFormat="1">
      <c r="A1211">
        <v>1</v>
      </c>
      <c r="B1211">
        <v>67</v>
      </c>
      <c r="C1211">
        <v>2</v>
      </c>
      <c r="D1211">
        <v>10</v>
      </c>
      <c r="E1211">
        <v>2020</v>
      </c>
      <c r="F1211">
        <v>9114</v>
      </c>
      <c r="G1211" t="str">
        <f>VLOOKUP(F1211,'[1]Sheet 1'!$B$2:$E$347,2,FALSE)</f>
        <v>La Araucanía</v>
      </c>
      <c r="H1211" t="str">
        <f>VLOOKUP(F1211,'[1]Sheet 1'!$B$2:$E$347,3,FALSE)</f>
        <v>Cautín</v>
      </c>
      <c r="I1211" t="str">
        <f>VLOOKUP(F1211,'[1]Sheet 1'!$B$2:$E$347,4,FALSE)</f>
        <v>Pitrufquén</v>
      </c>
      <c r="J1211" t="s">
        <v>136</v>
      </c>
      <c r="K1211" s="3" t="s">
        <v>0</v>
      </c>
      <c r="L1211" s="12" t="str">
        <f>VLOOKUP(K1211,[2]Hoja4!$A$2:$C$443,2,FALSE)</f>
        <v>Intentional self-harm by hanging, strangulation and suffocation</v>
      </c>
      <c r="M1211" s="12" t="str">
        <f>VLOOKUP(K1211,[2]Hoja4!$A$2:$C$443,3,FALSE)</f>
        <v>Unspecified place</v>
      </c>
      <c r="N1211" s="1">
        <v>2.1</v>
      </c>
      <c r="O1211" s="1">
        <v>13.6</v>
      </c>
      <c r="P1211" s="1">
        <v>7.5</v>
      </c>
      <c r="Q1211" s="1">
        <v>1008.9</v>
      </c>
      <c r="R1211" s="1">
        <v>0</v>
      </c>
      <c r="S1211" s="1">
        <v>87</v>
      </c>
      <c r="T1211" s="5">
        <v>0.1158</v>
      </c>
      <c r="U1211" s="10">
        <v>7.0000000000000001E-3</v>
      </c>
    </row>
    <row r="1212" spans="1:21" customFormat="1">
      <c r="A1212">
        <v>2</v>
      </c>
      <c r="B1212">
        <v>59</v>
      </c>
      <c r="C1212">
        <v>2</v>
      </c>
      <c r="D1212">
        <v>10</v>
      </c>
      <c r="E1212">
        <v>2020</v>
      </c>
      <c r="F1212">
        <v>13124</v>
      </c>
      <c r="G1212" t="str">
        <f>VLOOKUP(F1212,'[1]Sheet 1'!$B$2:$E$347,2,FALSE)</f>
        <v>Metropolitana de Santiago</v>
      </c>
      <c r="H1212" t="str">
        <f>VLOOKUP(F1212,'[1]Sheet 1'!$B$2:$E$347,3,FALSE)</f>
        <v>Santiago</v>
      </c>
      <c r="I1212" t="str">
        <f>VLOOKUP(F1212,'[1]Sheet 1'!$B$2:$E$347,4,FALSE)</f>
        <v>Pudahuel</v>
      </c>
      <c r="J1212" t="s">
        <v>136</v>
      </c>
      <c r="K1212" s="3" t="s">
        <v>0</v>
      </c>
      <c r="L1212" s="12" t="str">
        <f>VLOOKUP(K1212,[2]Hoja4!$A$2:$C$443,2,FALSE)</f>
        <v>Intentional self-harm by hanging, strangulation and suffocation</v>
      </c>
      <c r="M1212" s="12" t="str">
        <f>VLOOKUP(K1212,[2]Hoja4!$A$2:$C$443,3,FALSE)</f>
        <v>Unspecified place</v>
      </c>
      <c r="N1212" s="1">
        <v>2.7</v>
      </c>
      <c r="O1212" s="1">
        <v>19.3</v>
      </c>
      <c r="P1212" s="1">
        <v>10.6</v>
      </c>
      <c r="Q1212" s="1">
        <v>956.7</v>
      </c>
      <c r="R1212" s="1"/>
      <c r="S1212" s="1">
        <v>62</v>
      </c>
      <c r="T1212" s="5">
        <v>0.1158</v>
      </c>
      <c r="U1212" s="10">
        <v>7.0000000000000001E-3</v>
      </c>
    </row>
    <row r="1213" spans="1:21" customFormat="1">
      <c r="A1213">
        <v>1</v>
      </c>
      <c r="B1213">
        <v>21</v>
      </c>
      <c r="C1213">
        <v>2</v>
      </c>
      <c r="D1213">
        <v>10</v>
      </c>
      <c r="E1213">
        <v>2020</v>
      </c>
      <c r="F1213">
        <v>9115</v>
      </c>
      <c r="G1213" t="str">
        <f>VLOOKUP(F1213,'[1]Sheet 1'!$B$2:$E$347,2,FALSE)</f>
        <v>La Araucanía</v>
      </c>
      <c r="H1213" t="str">
        <f>VLOOKUP(F1213,'[1]Sheet 1'!$B$2:$E$347,3,FALSE)</f>
        <v>Cautín</v>
      </c>
      <c r="I1213" t="str">
        <f>VLOOKUP(F1213,'[1]Sheet 1'!$B$2:$E$347,4,FALSE)</f>
        <v>Pucón</v>
      </c>
      <c r="J1213" t="s">
        <v>136</v>
      </c>
      <c r="K1213" s="3" t="s">
        <v>4</v>
      </c>
      <c r="L1213" s="12" t="str">
        <f>VLOOKUP(K1213,[2]Hoja4!$A$2:$C$443,2,FALSE)</f>
        <v>Intentional self-harm by hanging, strangulation and suffocation</v>
      </c>
      <c r="M1213" s="12" t="str">
        <f>VLOOKUP(K1213,[2]Hoja4!$A$2:$C$443,3,FALSE)</f>
        <v>At home</v>
      </c>
      <c r="N1213" s="1">
        <v>2.1</v>
      </c>
      <c r="O1213" s="1">
        <v>13.6</v>
      </c>
      <c r="P1213" s="1">
        <v>7.5</v>
      </c>
      <c r="Q1213" s="1">
        <v>1008.9</v>
      </c>
      <c r="R1213" s="1">
        <v>0</v>
      </c>
      <c r="S1213" s="1">
        <v>87</v>
      </c>
      <c r="T1213" s="5">
        <v>0.1158</v>
      </c>
      <c r="U1213" s="10">
        <v>7.0000000000000001E-3</v>
      </c>
    </row>
    <row r="1214" spans="1:21" customFormat="1">
      <c r="A1214">
        <v>1</v>
      </c>
      <c r="B1214">
        <v>27</v>
      </c>
      <c r="C1214">
        <v>2</v>
      </c>
      <c r="D1214">
        <v>10</v>
      </c>
      <c r="E1214">
        <v>2020</v>
      </c>
      <c r="F1214">
        <v>13117</v>
      </c>
      <c r="G1214" t="str">
        <f>VLOOKUP(F1214,'[1]Sheet 1'!$B$2:$E$347,2,FALSE)</f>
        <v>Metropolitana de Santiago</v>
      </c>
      <c r="H1214" t="str">
        <f>VLOOKUP(F1214,'[1]Sheet 1'!$B$2:$E$347,3,FALSE)</f>
        <v>Santiago</v>
      </c>
      <c r="I1214" t="str">
        <f>VLOOKUP(F1214,'[1]Sheet 1'!$B$2:$E$347,4,FALSE)</f>
        <v>Lo Prado</v>
      </c>
      <c r="J1214" t="s">
        <v>136</v>
      </c>
      <c r="K1214" s="3" t="s">
        <v>0</v>
      </c>
      <c r="L1214" s="12" t="str">
        <f>VLOOKUP(K1214,[2]Hoja4!$A$2:$C$443,2,FALSE)</f>
        <v>Intentional self-harm by hanging, strangulation and suffocation</v>
      </c>
      <c r="M1214" s="12" t="str">
        <f>VLOOKUP(K1214,[2]Hoja4!$A$2:$C$443,3,FALSE)</f>
        <v>Unspecified place</v>
      </c>
      <c r="N1214" s="1">
        <v>2.7</v>
      </c>
      <c r="O1214" s="1">
        <v>19.3</v>
      </c>
      <c r="P1214" s="1">
        <v>10.6</v>
      </c>
      <c r="Q1214" s="1">
        <v>956.7</v>
      </c>
      <c r="R1214" s="1"/>
      <c r="S1214" s="1">
        <v>62</v>
      </c>
      <c r="T1214" s="5">
        <v>0.1158</v>
      </c>
      <c r="U1214" s="10">
        <v>7.0000000000000001E-3</v>
      </c>
    </row>
    <row r="1215" spans="1:21" customFormat="1">
      <c r="A1215">
        <v>1</v>
      </c>
      <c r="B1215">
        <v>70</v>
      </c>
      <c r="C1215">
        <v>3</v>
      </c>
      <c r="D1215">
        <v>10</v>
      </c>
      <c r="E1215">
        <v>2020</v>
      </c>
      <c r="F1215">
        <v>7401</v>
      </c>
      <c r="G1215" t="str">
        <f>VLOOKUP(F1215,'[1]Sheet 1'!$B$2:$E$347,2,FALSE)</f>
        <v>Maule</v>
      </c>
      <c r="H1215" t="str">
        <f>VLOOKUP(F1215,'[1]Sheet 1'!$B$2:$E$347,3,FALSE)</f>
        <v>Linares</v>
      </c>
      <c r="I1215" t="str">
        <f>VLOOKUP(F1215,'[1]Sheet 1'!$B$2:$E$347,4,FALSE)</f>
        <v>Linares</v>
      </c>
      <c r="J1215" t="s">
        <v>136</v>
      </c>
      <c r="K1215" s="3" t="s">
        <v>4</v>
      </c>
      <c r="L1215" s="12" t="str">
        <f>VLOOKUP(K1215,[2]Hoja4!$A$2:$C$443,2,FALSE)</f>
        <v>Intentional self-harm by hanging, strangulation and suffocation</v>
      </c>
      <c r="M1215" s="12" t="str">
        <f>VLOOKUP(K1215,[2]Hoja4!$A$2:$C$443,3,FALSE)</f>
        <v>At home</v>
      </c>
      <c r="N1215" s="1">
        <v>-0.7</v>
      </c>
      <c r="O1215" s="1">
        <v>17.5</v>
      </c>
      <c r="P1215" s="1">
        <v>8.5</v>
      </c>
      <c r="Q1215" s="1">
        <v>1000.8</v>
      </c>
      <c r="R1215" s="1">
        <v>0</v>
      </c>
      <c r="S1215" s="1">
        <v>64.599999999999994</v>
      </c>
      <c r="T1215" s="5">
        <v>0.1158</v>
      </c>
      <c r="U1215" s="10">
        <v>7.0000000000000001E-3</v>
      </c>
    </row>
    <row r="1216" spans="1:21" customFormat="1">
      <c r="A1216">
        <v>1</v>
      </c>
      <c r="B1216">
        <v>29</v>
      </c>
      <c r="C1216">
        <v>3</v>
      </c>
      <c r="D1216">
        <v>10</v>
      </c>
      <c r="E1216">
        <v>2020</v>
      </c>
      <c r="F1216">
        <v>13105</v>
      </c>
      <c r="G1216" t="str">
        <f>VLOOKUP(F1216,'[1]Sheet 1'!$B$2:$E$347,2,FALSE)</f>
        <v>Metropolitana de Santiago</v>
      </c>
      <c r="H1216" t="str">
        <f>VLOOKUP(F1216,'[1]Sheet 1'!$B$2:$E$347,3,FALSE)</f>
        <v>Santiago</v>
      </c>
      <c r="I1216" t="str">
        <f>VLOOKUP(F1216,'[1]Sheet 1'!$B$2:$E$347,4,FALSE)</f>
        <v>El Bosque</v>
      </c>
      <c r="J1216" t="s">
        <v>136</v>
      </c>
      <c r="K1216" s="3" t="s">
        <v>0</v>
      </c>
      <c r="L1216" s="12" t="str">
        <f>VLOOKUP(K1216,[2]Hoja4!$A$2:$C$443,2,FALSE)</f>
        <v>Intentional self-harm by hanging, strangulation and suffocation</v>
      </c>
      <c r="M1216" s="12" t="str">
        <f>VLOOKUP(K1216,[2]Hoja4!$A$2:$C$443,3,FALSE)</f>
        <v>Unspecified place</v>
      </c>
      <c r="N1216" s="1">
        <v>1.8</v>
      </c>
      <c r="O1216" s="1">
        <v>17.5</v>
      </c>
      <c r="P1216" s="1">
        <v>9.8000000000000007</v>
      </c>
      <c r="Q1216" s="1">
        <v>959</v>
      </c>
      <c r="R1216" s="1"/>
      <c r="S1216" s="1">
        <v>53.8</v>
      </c>
      <c r="T1216" s="5">
        <v>0.1158</v>
      </c>
      <c r="U1216" s="10">
        <v>7.0000000000000001E-3</v>
      </c>
    </row>
    <row r="1217" spans="1:21" customFormat="1">
      <c r="A1217">
        <v>1</v>
      </c>
      <c r="B1217">
        <v>46</v>
      </c>
      <c r="C1217">
        <v>4</v>
      </c>
      <c r="D1217">
        <v>10</v>
      </c>
      <c r="E1217">
        <v>2020</v>
      </c>
      <c r="F1217">
        <v>7109</v>
      </c>
      <c r="G1217" t="str">
        <f>VLOOKUP(F1217,'[1]Sheet 1'!$B$2:$E$347,2,FALSE)</f>
        <v>Maule</v>
      </c>
      <c r="H1217" t="str">
        <f>VLOOKUP(F1217,'[1]Sheet 1'!$B$2:$E$347,3,FALSE)</f>
        <v>Talca</v>
      </c>
      <c r="I1217" t="str">
        <f>VLOOKUP(F1217,'[1]Sheet 1'!$B$2:$E$347,4,FALSE)</f>
        <v>San Clemente</v>
      </c>
      <c r="J1217" t="s">
        <v>136</v>
      </c>
      <c r="K1217" s="3" t="s">
        <v>4</v>
      </c>
      <c r="L1217" s="12" t="str">
        <f>VLOOKUP(K1217,[2]Hoja4!$A$2:$C$443,2,FALSE)</f>
        <v>Intentional self-harm by hanging, strangulation and suffocation</v>
      </c>
      <c r="M1217" s="12" t="str">
        <f>VLOOKUP(K1217,[2]Hoja4!$A$2:$C$443,3,FALSE)</f>
        <v>At home</v>
      </c>
      <c r="N1217" s="1"/>
      <c r="O1217" s="1">
        <v>18.899999999999999</v>
      </c>
      <c r="P1217" s="1">
        <v>10.4</v>
      </c>
      <c r="Q1217" s="1">
        <v>1009.3</v>
      </c>
      <c r="R1217" s="1">
        <v>0</v>
      </c>
      <c r="S1217" s="1">
        <v>59</v>
      </c>
      <c r="T1217" s="5">
        <v>0.1158</v>
      </c>
      <c r="U1217" s="10">
        <v>7.0000000000000001E-3</v>
      </c>
    </row>
    <row r="1218" spans="1:21" customFormat="1">
      <c r="A1218">
        <v>1</v>
      </c>
      <c r="B1218">
        <v>42</v>
      </c>
      <c r="C1218">
        <v>4</v>
      </c>
      <c r="D1218">
        <v>10</v>
      </c>
      <c r="E1218">
        <v>2020</v>
      </c>
      <c r="F1218">
        <v>7103</v>
      </c>
      <c r="G1218" t="str">
        <f>VLOOKUP(F1218,'[1]Sheet 1'!$B$2:$E$347,2,FALSE)</f>
        <v>Maule</v>
      </c>
      <c r="H1218" t="str">
        <f>VLOOKUP(F1218,'[1]Sheet 1'!$B$2:$E$347,3,FALSE)</f>
        <v>Talca</v>
      </c>
      <c r="I1218" t="str">
        <f>VLOOKUP(F1218,'[1]Sheet 1'!$B$2:$E$347,4,FALSE)</f>
        <v>Curepto</v>
      </c>
      <c r="J1218" t="s">
        <v>136</v>
      </c>
      <c r="K1218" s="3" t="s">
        <v>4</v>
      </c>
      <c r="L1218" s="12" t="str">
        <f>VLOOKUP(K1218,[2]Hoja4!$A$2:$C$443,2,FALSE)</f>
        <v>Intentional self-harm by hanging, strangulation and suffocation</v>
      </c>
      <c r="M1218" s="12" t="str">
        <f>VLOOKUP(K1218,[2]Hoja4!$A$2:$C$443,3,FALSE)</f>
        <v>At home</v>
      </c>
      <c r="N1218" s="1"/>
      <c r="O1218" s="1">
        <v>18.899999999999999</v>
      </c>
      <c r="P1218" s="1">
        <v>10.4</v>
      </c>
      <c r="Q1218" s="1">
        <v>1009.3</v>
      </c>
      <c r="R1218" s="1">
        <v>0</v>
      </c>
      <c r="S1218" s="1">
        <v>59</v>
      </c>
      <c r="T1218" s="5">
        <v>0.1158</v>
      </c>
      <c r="U1218" s="10">
        <v>7.0000000000000001E-3</v>
      </c>
    </row>
    <row r="1219" spans="1:21" customFormat="1">
      <c r="A1219">
        <v>1</v>
      </c>
      <c r="B1219">
        <v>29</v>
      </c>
      <c r="C1219">
        <v>4</v>
      </c>
      <c r="D1219">
        <v>10</v>
      </c>
      <c r="E1219">
        <v>2020</v>
      </c>
      <c r="F1219">
        <v>4102</v>
      </c>
      <c r="G1219" t="str">
        <f>VLOOKUP(F1219,'[1]Sheet 1'!$B$2:$E$347,2,FALSE)</f>
        <v>Coquimbo</v>
      </c>
      <c r="H1219" t="str">
        <f>VLOOKUP(F1219,'[1]Sheet 1'!$B$2:$E$347,3,FALSE)</f>
        <v>Elqui</v>
      </c>
      <c r="I1219" t="str">
        <f>VLOOKUP(F1219,'[1]Sheet 1'!$B$2:$E$347,4,FALSE)</f>
        <v>Coquimbo</v>
      </c>
      <c r="J1219" t="s">
        <v>153</v>
      </c>
      <c r="K1219" s="3" t="s">
        <v>15</v>
      </c>
      <c r="L1219" s="12" t="str">
        <f>VLOOKUP(K1219,[2]Hoja4!$A$2:$C$443,2,FALSE)</f>
        <v>Intentional self-poisoning by and exposure to carbon monoxide and other gases and vapours</v>
      </c>
      <c r="M1219" s="12" t="str">
        <f>VLOOKUP(K1219,[2]Hoja4!$A$2:$C$443,3,FALSE)</f>
        <v>At home</v>
      </c>
      <c r="N1219" s="1">
        <v>6</v>
      </c>
      <c r="O1219" s="1">
        <v>17.600000000000001</v>
      </c>
      <c r="P1219" s="1">
        <v>11.8</v>
      </c>
      <c r="Q1219" s="1">
        <v>1000</v>
      </c>
      <c r="R1219" s="1">
        <v>0</v>
      </c>
      <c r="S1219" s="1">
        <v>63.5</v>
      </c>
      <c r="T1219" s="5">
        <v>0.1158</v>
      </c>
      <c r="U1219" s="10">
        <v>7.0000000000000001E-3</v>
      </c>
    </row>
    <row r="1220" spans="1:21" customFormat="1">
      <c r="A1220">
        <v>1</v>
      </c>
      <c r="B1220">
        <v>77</v>
      </c>
      <c r="C1220">
        <v>5</v>
      </c>
      <c r="D1220">
        <v>10</v>
      </c>
      <c r="E1220">
        <v>2020</v>
      </c>
      <c r="F1220">
        <v>12301</v>
      </c>
      <c r="G1220" t="str">
        <f>VLOOKUP(F1220,'[1]Sheet 1'!$B$2:$E$347,2,FALSE)</f>
        <v>Magallanes y de la Antártica Chilena</v>
      </c>
      <c r="H1220" t="str">
        <f>VLOOKUP(F1220,'[1]Sheet 1'!$B$2:$E$347,3,FALSE)</f>
        <v>Tierra del Fuego</v>
      </c>
      <c r="I1220" t="str">
        <f>VLOOKUP(F1220,'[1]Sheet 1'!$B$2:$E$347,4,FALSE)</f>
        <v>Porvenir</v>
      </c>
      <c r="J1220" t="s">
        <v>136</v>
      </c>
      <c r="K1220" s="3" t="s">
        <v>4</v>
      </c>
      <c r="L1220" s="12" t="str">
        <f>VLOOKUP(K1220,[2]Hoja4!$A$2:$C$443,2,FALSE)</f>
        <v>Intentional self-harm by hanging, strangulation and suffocation</v>
      </c>
      <c r="M1220" s="12" t="str">
        <f>VLOOKUP(K1220,[2]Hoja4!$A$2:$C$443,3,FALSE)</f>
        <v>At home</v>
      </c>
      <c r="N1220" s="1">
        <v>1.8</v>
      </c>
      <c r="O1220" s="1">
        <v>12.6</v>
      </c>
      <c r="P1220" s="1">
        <v>5.8</v>
      </c>
      <c r="Q1220" s="1">
        <v>991.9</v>
      </c>
      <c r="R1220" s="1">
        <v>0.4</v>
      </c>
      <c r="S1220" s="1">
        <v>73.5</v>
      </c>
      <c r="T1220" s="5">
        <v>0.1158</v>
      </c>
      <c r="U1220" s="10">
        <v>7.0000000000000001E-3</v>
      </c>
    </row>
    <row r="1221" spans="1:21" customFormat="1">
      <c r="A1221">
        <v>1</v>
      </c>
      <c r="B1221">
        <v>71</v>
      </c>
      <c r="C1221">
        <v>5</v>
      </c>
      <c r="D1221">
        <v>10</v>
      </c>
      <c r="E1221">
        <v>2020</v>
      </c>
      <c r="F1221">
        <v>4201</v>
      </c>
      <c r="G1221" t="str">
        <f>VLOOKUP(F1221,'[1]Sheet 1'!$B$2:$E$347,2,FALSE)</f>
        <v>Coquimbo</v>
      </c>
      <c r="H1221" t="str">
        <f>VLOOKUP(F1221,'[1]Sheet 1'!$B$2:$E$347,3,FALSE)</f>
        <v>Choapa</v>
      </c>
      <c r="I1221" t="str">
        <f>VLOOKUP(F1221,'[1]Sheet 1'!$B$2:$E$347,4,FALSE)</f>
        <v>Illapel</v>
      </c>
      <c r="J1221" t="s">
        <v>136</v>
      </c>
      <c r="K1221" s="3" t="s">
        <v>4</v>
      </c>
      <c r="L1221" s="12" t="str">
        <f>VLOOKUP(K1221,[2]Hoja4!$A$2:$C$443,2,FALSE)</f>
        <v>Intentional self-harm by hanging, strangulation and suffocation</v>
      </c>
      <c r="M1221" s="12" t="str">
        <f>VLOOKUP(K1221,[2]Hoja4!$A$2:$C$443,3,FALSE)</f>
        <v>At home</v>
      </c>
      <c r="N1221" s="1">
        <v>3.1</v>
      </c>
      <c r="O1221" s="1">
        <v>20.100000000000001</v>
      </c>
      <c r="P1221" s="1">
        <v>10.8</v>
      </c>
      <c r="Q1221" s="1">
        <v>979.1</v>
      </c>
      <c r="R1221" s="1">
        <v>0</v>
      </c>
      <c r="S1221" s="1">
        <v>65.400000000000006</v>
      </c>
      <c r="T1221" s="5">
        <v>0.1158</v>
      </c>
      <c r="U1221" s="10">
        <v>7.0000000000000001E-3</v>
      </c>
    </row>
    <row r="1222" spans="1:21" customFormat="1">
      <c r="A1222">
        <v>1</v>
      </c>
      <c r="B1222">
        <v>61</v>
      </c>
      <c r="C1222">
        <v>5</v>
      </c>
      <c r="D1222">
        <v>10</v>
      </c>
      <c r="E1222">
        <v>2020</v>
      </c>
      <c r="F1222">
        <v>9108</v>
      </c>
      <c r="G1222" t="str">
        <f>VLOOKUP(F1222,'[1]Sheet 1'!$B$2:$E$347,2,FALSE)</f>
        <v>La Araucanía</v>
      </c>
      <c r="H1222" t="str">
        <f>VLOOKUP(F1222,'[1]Sheet 1'!$B$2:$E$347,3,FALSE)</f>
        <v>Cautín</v>
      </c>
      <c r="I1222" t="str">
        <f>VLOOKUP(F1222,'[1]Sheet 1'!$B$2:$E$347,4,FALSE)</f>
        <v>Lautaro</v>
      </c>
      <c r="J1222" t="s">
        <v>136</v>
      </c>
      <c r="K1222" s="3" t="s">
        <v>0</v>
      </c>
      <c r="L1222" s="12" t="str">
        <f>VLOOKUP(K1222,[2]Hoja4!$A$2:$C$443,2,FALSE)</f>
        <v>Intentional self-harm by hanging, strangulation and suffocation</v>
      </c>
      <c r="M1222" s="12" t="str">
        <f>VLOOKUP(K1222,[2]Hoja4!$A$2:$C$443,3,FALSE)</f>
        <v>Unspecified place</v>
      </c>
      <c r="N1222" s="1">
        <v>0</v>
      </c>
      <c r="O1222" s="1">
        <v>13.2</v>
      </c>
      <c r="P1222" s="1">
        <v>6.5</v>
      </c>
      <c r="Q1222" s="1">
        <v>1009</v>
      </c>
      <c r="R1222" s="1">
        <v>0</v>
      </c>
      <c r="S1222" s="1">
        <v>85.8</v>
      </c>
      <c r="T1222" s="5">
        <v>0.1158</v>
      </c>
      <c r="U1222" s="10">
        <v>7.0000000000000001E-3</v>
      </c>
    </row>
    <row r="1223" spans="1:21" customFormat="1">
      <c r="A1223">
        <v>1</v>
      </c>
      <c r="B1223">
        <v>18</v>
      </c>
      <c r="C1223">
        <v>5</v>
      </c>
      <c r="D1223">
        <v>10</v>
      </c>
      <c r="E1223">
        <v>2020</v>
      </c>
      <c r="F1223">
        <v>14201</v>
      </c>
      <c r="G1223" t="str">
        <f>VLOOKUP(F1223,'[1]Sheet 1'!$B$2:$E$347,2,FALSE)</f>
        <v>Los Ríos</v>
      </c>
      <c r="H1223" t="str">
        <f>VLOOKUP(F1223,'[1]Sheet 1'!$B$2:$E$347,3,FALSE)</f>
        <v>Ranco</v>
      </c>
      <c r="I1223" t="str">
        <f>VLOOKUP(F1223,'[1]Sheet 1'!$B$2:$E$347,4,FALSE)</f>
        <v>La Unión</v>
      </c>
      <c r="J1223" t="s">
        <v>136</v>
      </c>
      <c r="K1223" s="3" t="s">
        <v>0</v>
      </c>
      <c r="L1223" s="12" t="str">
        <f>VLOOKUP(K1223,[2]Hoja4!$A$2:$C$443,2,FALSE)</f>
        <v>Intentional self-harm by hanging, strangulation and suffocation</v>
      </c>
      <c r="M1223" s="12" t="str">
        <f>VLOOKUP(K1223,[2]Hoja4!$A$2:$C$443,3,FALSE)</f>
        <v>Unspecified place</v>
      </c>
      <c r="N1223" s="1">
        <v>2.6</v>
      </c>
      <c r="O1223" s="1">
        <v>12.7</v>
      </c>
      <c r="P1223" s="1">
        <v>7.5</v>
      </c>
      <c r="Q1223" s="1">
        <v>1010</v>
      </c>
      <c r="R1223" s="1">
        <v>2.2999999999999998</v>
      </c>
      <c r="S1223" s="1">
        <v>71.099999999999994</v>
      </c>
      <c r="T1223" s="5">
        <v>0.1158</v>
      </c>
      <c r="U1223" s="10">
        <v>7.0000000000000001E-3</v>
      </c>
    </row>
    <row r="1224" spans="1:21" customFormat="1">
      <c r="A1224">
        <v>1</v>
      </c>
      <c r="B1224">
        <v>20</v>
      </c>
      <c r="C1224">
        <v>5</v>
      </c>
      <c r="D1224">
        <v>10</v>
      </c>
      <c r="E1224">
        <v>2020</v>
      </c>
      <c r="F1224">
        <v>8301</v>
      </c>
      <c r="G1224" t="str">
        <f>VLOOKUP(F1224,'[1]Sheet 1'!$B$2:$E$347,2,FALSE)</f>
        <v>Biobío</v>
      </c>
      <c r="H1224" t="str">
        <f>VLOOKUP(F1224,'[1]Sheet 1'!$B$2:$E$347,3,FALSE)</f>
        <v>Biobío</v>
      </c>
      <c r="I1224" t="str">
        <f>VLOOKUP(F1224,'[1]Sheet 1'!$B$2:$E$347,4,FALSE)</f>
        <v>Los Angeles</v>
      </c>
      <c r="J1224" t="s">
        <v>136</v>
      </c>
      <c r="K1224" s="3" t="s">
        <v>4</v>
      </c>
      <c r="L1224" s="12" t="str">
        <f>VLOOKUP(K1224,[2]Hoja4!$A$2:$C$443,2,FALSE)</f>
        <v>Intentional self-harm by hanging, strangulation and suffocation</v>
      </c>
      <c r="M1224" s="12" t="str">
        <f>VLOOKUP(K1224,[2]Hoja4!$A$2:$C$443,3,FALSE)</f>
        <v>At home</v>
      </c>
      <c r="N1224" s="1">
        <v>5</v>
      </c>
      <c r="O1224" s="1">
        <v>19.5</v>
      </c>
      <c r="P1224" s="1">
        <v>12.3</v>
      </c>
      <c r="Q1224" s="1">
        <v>1004.5</v>
      </c>
      <c r="R1224" s="1">
        <v>0</v>
      </c>
      <c r="S1224" s="1">
        <v>77.8</v>
      </c>
      <c r="T1224" s="5">
        <v>0.1158</v>
      </c>
      <c r="U1224" s="10">
        <v>7.0000000000000001E-3</v>
      </c>
    </row>
    <row r="1225" spans="1:21" customFormat="1">
      <c r="A1225">
        <v>1</v>
      </c>
      <c r="B1225">
        <v>55</v>
      </c>
      <c r="C1225">
        <v>6</v>
      </c>
      <c r="D1225">
        <v>10</v>
      </c>
      <c r="E1225">
        <v>2020</v>
      </c>
      <c r="F1225">
        <v>13108</v>
      </c>
      <c r="G1225" t="str">
        <f>VLOOKUP(F1225,'[1]Sheet 1'!$B$2:$E$347,2,FALSE)</f>
        <v>Metropolitana de Santiago</v>
      </c>
      <c r="H1225" t="str">
        <f>VLOOKUP(F1225,'[1]Sheet 1'!$B$2:$E$347,3,FALSE)</f>
        <v>Santiago</v>
      </c>
      <c r="I1225" t="str">
        <f>VLOOKUP(F1225,'[1]Sheet 1'!$B$2:$E$347,4,FALSE)</f>
        <v>Independencia</v>
      </c>
      <c r="J1225" t="s">
        <v>136</v>
      </c>
      <c r="K1225" s="3" t="s">
        <v>0</v>
      </c>
      <c r="L1225" s="12" t="str">
        <f>VLOOKUP(K1225,[2]Hoja4!$A$2:$C$443,2,FALSE)</f>
        <v>Intentional self-harm by hanging, strangulation and suffocation</v>
      </c>
      <c r="M1225" s="12" t="str">
        <f>VLOOKUP(K1225,[2]Hoja4!$A$2:$C$443,3,FALSE)</f>
        <v>Unspecified place</v>
      </c>
      <c r="N1225" s="1">
        <v>7.7</v>
      </c>
      <c r="O1225" s="1">
        <v>22.7</v>
      </c>
      <c r="P1225" s="1">
        <v>13.5</v>
      </c>
      <c r="Q1225" s="1">
        <v>957.7</v>
      </c>
      <c r="R1225" s="1"/>
      <c r="S1225" s="1">
        <v>61</v>
      </c>
      <c r="T1225" s="5">
        <v>0.1158</v>
      </c>
      <c r="U1225" s="10">
        <v>7.0000000000000001E-3</v>
      </c>
    </row>
    <row r="1226" spans="1:21" customFormat="1">
      <c r="A1226">
        <v>1</v>
      </c>
      <c r="B1226">
        <v>53</v>
      </c>
      <c r="C1226">
        <v>6</v>
      </c>
      <c r="D1226">
        <v>10</v>
      </c>
      <c r="E1226">
        <v>2020</v>
      </c>
      <c r="F1226">
        <v>9207</v>
      </c>
      <c r="G1226" t="str">
        <f>VLOOKUP(F1226,'[1]Sheet 1'!$B$2:$E$347,2,FALSE)</f>
        <v>La Araucanía</v>
      </c>
      <c r="H1226" t="str">
        <f>VLOOKUP(F1226,'[1]Sheet 1'!$B$2:$E$347,3,FALSE)</f>
        <v>Malleco</v>
      </c>
      <c r="I1226" t="str">
        <f>VLOOKUP(F1226,'[1]Sheet 1'!$B$2:$E$347,4,FALSE)</f>
        <v>Lumaco</v>
      </c>
      <c r="J1226" t="s">
        <v>136</v>
      </c>
      <c r="K1226" s="3" t="s">
        <v>4</v>
      </c>
      <c r="L1226" s="12" t="str">
        <f>VLOOKUP(K1226,[2]Hoja4!$A$2:$C$443,2,FALSE)</f>
        <v>Intentional self-harm by hanging, strangulation and suffocation</v>
      </c>
      <c r="M1226" s="12" t="str">
        <f>VLOOKUP(K1226,[2]Hoja4!$A$2:$C$443,3,FALSE)</f>
        <v>At home</v>
      </c>
      <c r="N1226" s="1">
        <v>1</v>
      </c>
      <c r="O1226" s="1">
        <v>17</v>
      </c>
      <c r="P1226" s="1">
        <v>9.3000000000000007</v>
      </c>
      <c r="Q1226" s="1">
        <v>502</v>
      </c>
      <c r="R1226" s="1">
        <v>0</v>
      </c>
      <c r="S1226" s="1">
        <v>68</v>
      </c>
      <c r="T1226" s="5">
        <v>0.1158</v>
      </c>
      <c r="U1226" s="10">
        <v>7.0000000000000001E-3</v>
      </c>
    </row>
    <row r="1227" spans="1:21" customFormat="1">
      <c r="A1227">
        <v>1</v>
      </c>
      <c r="B1227">
        <v>37</v>
      </c>
      <c r="C1227">
        <v>6</v>
      </c>
      <c r="D1227">
        <v>10</v>
      </c>
      <c r="E1227">
        <v>2020</v>
      </c>
      <c r="F1227">
        <v>16103</v>
      </c>
      <c r="G1227" t="str">
        <f>VLOOKUP(F1227,'[1]Sheet 1'!$B$2:$E$347,2,FALSE)</f>
        <v>Ñuble</v>
      </c>
      <c r="H1227" t="str">
        <f>VLOOKUP(F1227,'[1]Sheet 1'!$B$2:$E$347,3,FALSE)</f>
        <v>Diguillín</v>
      </c>
      <c r="I1227" t="str">
        <f>VLOOKUP(F1227,'[1]Sheet 1'!$B$2:$E$347,4,FALSE)</f>
        <v>Chillán Viejo</v>
      </c>
      <c r="J1227" t="s">
        <v>136</v>
      </c>
      <c r="K1227" s="3" t="s">
        <v>2</v>
      </c>
      <c r="L1227" s="12" t="str">
        <f>VLOOKUP(K1227,[2]Hoja4!$A$2:$C$443,2,FALSE)</f>
        <v>Intentional self-harm by hanging, strangulation and suffocation</v>
      </c>
      <c r="M1227" s="12" t="str">
        <f>VLOOKUP(K1227,[2]Hoja4!$A$2:$C$443,3,FALSE)</f>
        <v>Street and highway</v>
      </c>
      <c r="N1227" s="1">
        <v>2.9</v>
      </c>
      <c r="O1227" s="1">
        <v>20.3</v>
      </c>
      <c r="P1227" s="1">
        <v>10.8</v>
      </c>
      <c r="Q1227" s="1">
        <v>1002.4</v>
      </c>
      <c r="R1227" s="1">
        <v>0</v>
      </c>
      <c r="S1227" s="1">
        <v>72.5</v>
      </c>
      <c r="T1227" s="5">
        <v>0.1158</v>
      </c>
      <c r="U1227" s="10">
        <v>7.0000000000000001E-3</v>
      </c>
    </row>
    <row r="1228" spans="1:21" customFormat="1">
      <c r="A1228">
        <v>1</v>
      </c>
      <c r="B1228">
        <v>24</v>
      </c>
      <c r="C1228">
        <v>6</v>
      </c>
      <c r="D1228">
        <v>10</v>
      </c>
      <c r="E1228">
        <v>2020</v>
      </c>
      <c r="F1228">
        <v>13106</v>
      </c>
      <c r="G1228" t="str">
        <f>VLOOKUP(F1228,'[1]Sheet 1'!$B$2:$E$347,2,FALSE)</f>
        <v>Metropolitana de Santiago</v>
      </c>
      <c r="H1228" t="str">
        <f>VLOOKUP(F1228,'[1]Sheet 1'!$B$2:$E$347,3,FALSE)</f>
        <v>Santiago</v>
      </c>
      <c r="I1228" t="str">
        <f>VLOOKUP(F1228,'[1]Sheet 1'!$B$2:$E$347,4,FALSE)</f>
        <v>Estación Central</v>
      </c>
      <c r="J1228" t="s">
        <v>136</v>
      </c>
      <c r="K1228" s="3" t="s">
        <v>0</v>
      </c>
      <c r="L1228" s="12" t="str">
        <f>VLOOKUP(K1228,[2]Hoja4!$A$2:$C$443,2,FALSE)</f>
        <v>Intentional self-harm by hanging, strangulation and suffocation</v>
      </c>
      <c r="M1228" s="12" t="str">
        <f>VLOOKUP(K1228,[2]Hoja4!$A$2:$C$443,3,FALSE)</f>
        <v>Unspecified place</v>
      </c>
      <c r="N1228" s="1">
        <v>7.7</v>
      </c>
      <c r="O1228" s="1">
        <v>22.7</v>
      </c>
      <c r="P1228" s="1">
        <v>13.5</v>
      </c>
      <c r="Q1228" s="1">
        <v>957.7</v>
      </c>
      <c r="R1228" s="1"/>
      <c r="S1228" s="1">
        <v>61</v>
      </c>
      <c r="T1228" s="5">
        <v>0.1158</v>
      </c>
      <c r="U1228" s="10">
        <v>7.0000000000000001E-3</v>
      </c>
    </row>
    <row r="1229" spans="1:21" customFormat="1">
      <c r="A1229">
        <v>2</v>
      </c>
      <c r="B1229">
        <v>24</v>
      </c>
      <c r="C1229">
        <v>6</v>
      </c>
      <c r="D1229">
        <v>10</v>
      </c>
      <c r="E1229">
        <v>2020</v>
      </c>
      <c r="F1229">
        <v>10301</v>
      </c>
      <c r="G1229" t="str">
        <f>VLOOKUP(F1229,'[1]Sheet 1'!$B$2:$E$347,2,FALSE)</f>
        <v>Los Lagos</v>
      </c>
      <c r="H1229" t="str">
        <f>VLOOKUP(F1229,'[1]Sheet 1'!$B$2:$E$347,3,FALSE)</f>
        <v>Osorno</v>
      </c>
      <c r="I1229" t="str">
        <f>VLOOKUP(F1229,'[1]Sheet 1'!$B$2:$E$347,4,FALSE)</f>
        <v>Osorno</v>
      </c>
      <c r="J1229" t="s">
        <v>155</v>
      </c>
      <c r="K1229" s="3" t="s">
        <v>7</v>
      </c>
      <c r="L1229" s="12" t="str">
        <f>VLOOKUP(K1229,[2]Hoja4!$A$2:$C$443,2,FALSE)</f>
        <v>Intentional self-harm by drowning and submersion</v>
      </c>
      <c r="M1229" s="12" t="str">
        <f>VLOOKUP(K1229,[2]Hoja4!$A$2:$C$443,3,FALSE)</f>
        <v>Other specified places</v>
      </c>
      <c r="N1229" s="1">
        <v>7.4</v>
      </c>
      <c r="O1229" s="1">
        <v>13.9</v>
      </c>
      <c r="P1229" s="1">
        <v>9.9</v>
      </c>
      <c r="Q1229" s="1">
        <v>1014</v>
      </c>
      <c r="R1229" s="1">
        <v>0.2</v>
      </c>
      <c r="S1229" s="1">
        <v>78</v>
      </c>
      <c r="T1229" s="5">
        <v>0.1158</v>
      </c>
      <c r="U1229" s="10">
        <v>7.0000000000000001E-3</v>
      </c>
    </row>
    <row r="1230" spans="1:21" customFormat="1">
      <c r="A1230">
        <v>2</v>
      </c>
      <c r="B1230">
        <v>23</v>
      </c>
      <c r="C1230">
        <v>6</v>
      </c>
      <c r="D1230">
        <v>10</v>
      </c>
      <c r="E1230">
        <v>2020</v>
      </c>
      <c r="F1230">
        <v>5501</v>
      </c>
      <c r="G1230" t="str">
        <f>VLOOKUP(F1230,'[1]Sheet 1'!$B$2:$E$347,2,FALSE)</f>
        <v>Valparaíso</v>
      </c>
      <c r="H1230" t="str">
        <f>VLOOKUP(F1230,'[1]Sheet 1'!$B$2:$E$347,3,FALSE)</f>
        <v>Quillota</v>
      </c>
      <c r="I1230" t="str">
        <f>VLOOKUP(F1230,'[1]Sheet 1'!$B$2:$E$347,4,FALSE)</f>
        <v>Quillota</v>
      </c>
      <c r="J1230" t="s">
        <v>136</v>
      </c>
      <c r="K1230" s="3" t="s">
        <v>4</v>
      </c>
      <c r="L1230" s="12" t="str">
        <f>VLOOKUP(K1230,[2]Hoja4!$A$2:$C$443,2,FALSE)</f>
        <v>Intentional self-harm by hanging, strangulation and suffocation</v>
      </c>
      <c r="M1230" s="12" t="str">
        <f>VLOOKUP(K1230,[2]Hoja4!$A$2:$C$443,3,FALSE)</f>
        <v>At home</v>
      </c>
      <c r="N1230" s="1">
        <v>6.7</v>
      </c>
      <c r="O1230" s="1">
        <v>22.9</v>
      </c>
      <c r="P1230" s="1">
        <v>13.1</v>
      </c>
      <c r="Q1230" s="1">
        <v>998.7</v>
      </c>
      <c r="R1230" s="1">
        <v>0</v>
      </c>
      <c r="S1230" s="1">
        <v>65.099999999999994</v>
      </c>
      <c r="T1230" s="5">
        <v>0.1158</v>
      </c>
      <c r="U1230" s="10">
        <v>7.0000000000000001E-3</v>
      </c>
    </row>
    <row r="1231" spans="1:21" customFormat="1">
      <c r="A1231">
        <v>1</v>
      </c>
      <c r="B1231">
        <v>74</v>
      </c>
      <c r="C1231">
        <v>7</v>
      </c>
      <c r="D1231">
        <v>10</v>
      </c>
      <c r="E1231">
        <v>2020</v>
      </c>
      <c r="F1231">
        <v>6301</v>
      </c>
      <c r="G1231" t="str">
        <f>VLOOKUP(F1231,'[1]Sheet 1'!$B$2:$E$347,2,FALSE)</f>
        <v>Libertador General Bernardo O'Higgins</v>
      </c>
      <c r="H1231" t="str">
        <f>VLOOKUP(F1231,'[1]Sheet 1'!$B$2:$E$347,3,FALSE)</f>
        <v>Colchagua</v>
      </c>
      <c r="I1231" t="str">
        <f>VLOOKUP(F1231,'[1]Sheet 1'!$B$2:$E$347,4,FALSE)</f>
        <v>San Fernando</v>
      </c>
      <c r="J1231" t="s">
        <v>136</v>
      </c>
      <c r="K1231" s="3" t="s">
        <v>0</v>
      </c>
      <c r="L1231" s="12" t="str">
        <f>VLOOKUP(K1231,[2]Hoja4!$A$2:$C$443,2,FALSE)</f>
        <v>Intentional self-harm by hanging, strangulation and suffocation</v>
      </c>
      <c r="M1231" s="12" t="str">
        <f>VLOOKUP(K1231,[2]Hoja4!$A$2:$C$443,3,FALSE)</f>
        <v>Unspecified place</v>
      </c>
      <c r="N1231" s="1">
        <v>6.2</v>
      </c>
      <c r="O1231" s="1">
        <v>21</v>
      </c>
      <c r="P1231" s="1">
        <v>12.5</v>
      </c>
      <c r="Q1231" s="1">
        <v>986.2</v>
      </c>
      <c r="R1231" s="1">
        <v>0</v>
      </c>
      <c r="S1231" s="1">
        <v>68.2</v>
      </c>
      <c r="T1231" s="5">
        <v>0.1158</v>
      </c>
      <c r="U1231" s="10">
        <v>7.0000000000000001E-3</v>
      </c>
    </row>
    <row r="1232" spans="1:21" customFormat="1">
      <c r="A1232">
        <v>1</v>
      </c>
      <c r="B1232">
        <v>66</v>
      </c>
      <c r="C1232">
        <v>7</v>
      </c>
      <c r="D1232">
        <v>10</v>
      </c>
      <c r="E1232">
        <v>2020</v>
      </c>
      <c r="F1232">
        <v>13201</v>
      </c>
      <c r="G1232" t="str">
        <f>VLOOKUP(F1232,'[1]Sheet 1'!$B$2:$E$347,2,FALSE)</f>
        <v>Metropolitana de Santiago</v>
      </c>
      <c r="H1232" t="str">
        <f>VLOOKUP(F1232,'[1]Sheet 1'!$B$2:$E$347,3,FALSE)</f>
        <v>Cordillera</v>
      </c>
      <c r="I1232" t="str">
        <f>VLOOKUP(F1232,'[1]Sheet 1'!$B$2:$E$347,4,FALSE)</f>
        <v>Puente Alto</v>
      </c>
      <c r="J1232" t="s">
        <v>136</v>
      </c>
      <c r="K1232" s="3" t="s">
        <v>0</v>
      </c>
      <c r="L1232" s="12" t="str">
        <f>VLOOKUP(K1232,[2]Hoja4!$A$2:$C$443,2,FALSE)</f>
        <v>Intentional self-harm by hanging, strangulation and suffocation</v>
      </c>
      <c r="M1232" s="12" t="str">
        <f>VLOOKUP(K1232,[2]Hoja4!$A$2:$C$443,3,FALSE)</f>
        <v>Unspecified place</v>
      </c>
      <c r="N1232" s="1">
        <v>1.9</v>
      </c>
      <c r="O1232" s="1">
        <v>24.7</v>
      </c>
      <c r="P1232" s="1">
        <v>13.2</v>
      </c>
      <c r="Q1232" s="1">
        <v>942.9</v>
      </c>
      <c r="R1232" s="1">
        <v>0</v>
      </c>
      <c r="S1232" s="1">
        <v>55.3</v>
      </c>
      <c r="T1232" s="5">
        <v>0.1158</v>
      </c>
      <c r="U1232" s="10">
        <v>7.0000000000000001E-3</v>
      </c>
    </row>
    <row r="1233" spans="1:21" customFormat="1">
      <c r="A1233">
        <v>1</v>
      </c>
      <c r="B1233">
        <v>76</v>
      </c>
      <c r="C1233">
        <v>8</v>
      </c>
      <c r="D1233">
        <v>10</v>
      </c>
      <c r="E1233">
        <v>2020</v>
      </c>
      <c r="F1233">
        <v>13113</v>
      </c>
      <c r="G1233" t="str">
        <f>VLOOKUP(F1233,'[1]Sheet 1'!$B$2:$E$347,2,FALSE)</f>
        <v>Metropolitana de Santiago</v>
      </c>
      <c r="H1233" t="str">
        <f>VLOOKUP(F1233,'[1]Sheet 1'!$B$2:$E$347,3,FALSE)</f>
        <v>Santiago</v>
      </c>
      <c r="I1233" t="str">
        <f>VLOOKUP(F1233,'[1]Sheet 1'!$B$2:$E$347,4,FALSE)</f>
        <v>La Reina</v>
      </c>
      <c r="J1233" t="s">
        <v>136</v>
      </c>
      <c r="K1233" s="3" t="s">
        <v>0</v>
      </c>
      <c r="L1233" s="12" t="str">
        <f>VLOOKUP(K1233,[2]Hoja4!$A$2:$C$443,2,FALSE)</f>
        <v>Intentional self-harm by hanging, strangulation and suffocation</v>
      </c>
      <c r="M1233" s="12" t="str">
        <f>VLOOKUP(K1233,[2]Hoja4!$A$2:$C$443,3,FALSE)</f>
        <v>Unspecified place</v>
      </c>
      <c r="N1233" s="1">
        <v>5.4</v>
      </c>
      <c r="O1233" s="1">
        <v>24.8</v>
      </c>
      <c r="P1233" s="1">
        <v>15.1</v>
      </c>
      <c r="Q1233" s="1">
        <v>960.9</v>
      </c>
      <c r="R1233" s="1"/>
      <c r="S1233" s="1">
        <v>45</v>
      </c>
      <c r="T1233" s="5">
        <v>0.1158</v>
      </c>
      <c r="U1233" s="10">
        <v>7.0000000000000001E-3</v>
      </c>
    </row>
    <row r="1234" spans="1:21" customFormat="1">
      <c r="A1234">
        <v>1</v>
      </c>
      <c r="B1234">
        <v>56</v>
      </c>
      <c r="C1234">
        <v>8</v>
      </c>
      <c r="D1234">
        <v>10</v>
      </c>
      <c r="E1234">
        <v>2020</v>
      </c>
      <c r="F1234">
        <v>5102</v>
      </c>
      <c r="G1234" t="str">
        <f>VLOOKUP(F1234,'[1]Sheet 1'!$B$2:$E$347,2,FALSE)</f>
        <v>Valparaíso</v>
      </c>
      <c r="H1234" t="str">
        <f>VLOOKUP(F1234,'[1]Sheet 1'!$B$2:$E$347,3,FALSE)</f>
        <v>Valparaíso</v>
      </c>
      <c r="I1234" t="str">
        <f>VLOOKUP(F1234,'[1]Sheet 1'!$B$2:$E$347,4,FALSE)</f>
        <v>Casablanca</v>
      </c>
      <c r="J1234" t="s">
        <v>170</v>
      </c>
      <c r="K1234" s="3" t="s">
        <v>5</v>
      </c>
      <c r="L1234" s="12" t="str">
        <f>VLOOKUP(K1234,[2]Hoja4!$A$2:$C$443,2,FALSE)</f>
        <v>Intentional self-harm by other and unspecified firearm discharge</v>
      </c>
      <c r="M1234" s="12" t="str">
        <f>VLOOKUP(K1234,[2]Hoja4!$A$2:$C$443,3,FALSE)</f>
        <v>At home</v>
      </c>
      <c r="N1234" s="1">
        <v>4.9000000000000004</v>
      </c>
      <c r="O1234" s="1">
        <v>22.3</v>
      </c>
      <c r="P1234" s="1">
        <v>12.1</v>
      </c>
      <c r="Q1234" s="1">
        <v>981.9</v>
      </c>
      <c r="R1234" s="1">
        <v>0</v>
      </c>
      <c r="S1234" s="1">
        <v>62.2</v>
      </c>
      <c r="T1234" s="5">
        <v>0.1158</v>
      </c>
      <c r="U1234" s="10">
        <v>7.0000000000000001E-3</v>
      </c>
    </row>
    <row r="1235" spans="1:21" customFormat="1">
      <c r="A1235">
        <v>1</v>
      </c>
      <c r="B1235">
        <v>56</v>
      </c>
      <c r="C1235">
        <v>8</v>
      </c>
      <c r="D1235">
        <v>10</v>
      </c>
      <c r="E1235">
        <v>2020</v>
      </c>
      <c r="F1235">
        <v>10102</v>
      </c>
      <c r="G1235" t="str">
        <f>VLOOKUP(F1235,'[1]Sheet 1'!$B$2:$E$347,2,FALSE)</f>
        <v>Los Lagos</v>
      </c>
      <c r="H1235" t="str">
        <f>VLOOKUP(F1235,'[1]Sheet 1'!$B$2:$E$347,3,FALSE)</f>
        <v>Llanquihue</v>
      </c>
      <c r="I1235" t="str">
        <f>VLOOKUP(F1235,'[1]Sheet 1'!$B$2:$E$347,4,FALSE)</f>
        <v>Calbuco</v>
      </c>
      <c r="J1235" t="s">
        <v>136</v>
      </c>
      <c r="K1235" s="3" t="s">
        <v>0</v>
      </c>
      <c r="L1235" s="12" t="str">
        <f>VLOOKUP(K1235,[2]Hoja4!$A$2:$C$443,2,FALSE)</f>
        <v>Intentional self-harm by hanging, strangulation and suffocation</v>
      </c>
      <c r="M1235" s="12" t="str">
        <f>VLOOKUP(K1235,[2]Hoja4!$A$2:$C$443,3,FALSE)</f>
        <v>Unspecified place</v>
      </c>
      <c r="N1235" s="1">
        <v>8.3000000000000007</v>
      </c>
      <c r="O1235" s="1">
        <v>12.9</v>
      </c>
      <c r="P1235" s="1">
        <v>10.1</v>
      </c>
      <c r="Q1235" s="1">
        <v>1011.8</v>
      </c>
      <c r="R1235" s="1">
        <v>4.8</v>
      </c>
      <c r="S1235" s="1">
        <v>93</v>
      </c>
      <c r="T1235" s="5">
        <v>0.1158</v>
      </c>
      <c r="U1235" s="10">
        <v>7.0000000000000001E-3</v>
      </c>
    </row>
    <row r="1236" spans="1:21" customFormat="1">
      <c r="A1236">
        <v>1</v>
      </c>
      <c r="B1236">
        <v>33</v>
      </c>
      <c r="C1236">
        <v>8</v>
      </c>
      <c r="D1236">
        <v>10</v>
      </c>
      <c r="E1236">
        <v>2020</v>
      </c>
      <c r="F1236">
        <v>9101</v>
      </c>
      <c r="G1236" t="str">
        <f>VLOOKUP(F1236,'[1]Sheet 1'!$B$2:$E$347,2,FALSE)</f>
        <v>La Araucanía</v>
      </c>
      <c r="H1236" t="str">
        <f>VLOOKUP(F1236,'[1]Sheet 1'!$B$2:$E$347,3,FALSE)</f>
        <v>Cautín</v>
      </c>
      <c r="I1236" t="str">
        <f>VLOOKUP(F1236,'[1]Sheet 1'!$B$2:$E$347,4,FALSE)</f>
        <v>Temuco</v>
      </c>
      <c r="J1236" t="s">
        <v>136</v>
      </c>
      <c r="K1236" s="3" t="s">
        <v>4</v>
      </c>
      <c r="L1236" s="12" t="str">
        <f>VLOOKUP(K1236,[2]Hoja4!$A$2:$C$443,2,FALSE)</f>
        <v>Intentional self-harm by hanging, strangulation and suffocation</v>
      </c>
      <c r="M1236" s="12" t="str">
        <f>VLOOKUP(K1236,[2]Hoja4!$A$2:$C$443,3,FALSE)</f>
        <v>At home</v>
      </c>
      <c r="N1236" s="1">
        <v>2.4</v>
      </c>
      <c r="O1236" s="1">
        <v>15.3</v>
      </c>
      <c r="P1236" s="1">
        <v>9.3000000000000007</v>
      </c>
      <c r="Q1236" s="1">
        <v>1013.7</v>
      </c>
      <c r="R1236" s="1">
        <v>0</v>
      </c>
      <c r="S1236" s="1">
        <v>86</v>
      </c>
      <c r="T1236" s="5">
        <v>0.1158</v>
      </c>
      <c r="U1236" s="10">
        <v>7.0000000000000001E-3</v>
      </c>
    </row>
    <row r="1237" spans="1:21" customFormat="1">
      <c r="A1237">
        <v>1</v>
      </c>
      <c r="B1237">
        <v>75</v>
      </c>
      <c r="C1237">
        <v>9</v>
      </c>
      <c r="D1237">
        <v>10</v>
      </c>
      <c r="E1237">
        <v>2020</v>
      </c>
      <c r="F1237">
        <v>9208</v>
      </c>
      <c r="G1237" t="str">
        <f>VLOOKUP(F1237,'[1]Sheet 1'!$B$2:$E$347,2,FALSE)</f>
        <v>La Araucanía</v>
      </c>
      <c r="H1237" t="str">
        <f>VLOOKUP(F1237,'[1]Sheet 1'!$B$2:$E$347,3,FALSE)</f>
        <v>Malleco</v>
      </c>
      <c r="I1237" t="str">
        <f>VLOOKUP(F1237,'[1]Sheet 1'!$B$2:$E$347,4,FALSE)</f>
        <v>Purén</v>
      </c>
      <c r="J1237" t="s">
        <v>136</v>
      </c>
      <c r="K1237" s="3" t="s">
        <v>4</v>
      </c>
      <c r="L1237" s="12" t="str">
        <f>VLOOKUP(K1237,[2]Hoja4!$A$2:$C$443,2,FALSE)</f>
        <v>Intentional self-harm by hanging, strangulation and suffocation</v>
      </c>
      <c r="M1237" s="12" t="str">
        <f>VLOOKUP(K1237,[2]Hoja4!$A$2:$C$443,3,FALSE)</f>
        <v>At home</v>
      </c>
      <c r="N1237" s="1">
        <v>3.5</v>
      </c>
      <c r="O1237" s="1">
        <v>22.3</v>
      </c>
      <c r="P1237" s="1">
        <v>12.5</v>
      </c>
      <c r="Q1237" s="1">
        <v>502.1</v>
      </c>
      <c r="R1237" s="1">
        <v>0</v>
      </c>
      <c r="S1237" s="1">
        <v>68.7</v>
      </c>
      <c r="T1237" s="5">
        <v>0.1158</v>
      </c>
      <c r="U1237" s="10">
        <v>7.0000000000000001E-3</v>
      </c>
    </row>
    <row r="1238" spans="1:21" customFormat="1">
      <c r="A1238">
        <v>1</v>
      </c>
      <c r="B1238">
        <v>78</v>
      </c>
      <c r="C1238">
        <v>9</v>
      </c>
      <c r="D1238">
        <v>10</v>
      </c>
      <c r="E1238">
        <v>2020</v>
      </c>
      <c r="F1238">
        <v>4302</v>
      </c>
      <c r="G1238" t="str">
        <f>VLOOKUP(F1238,'[1]Sheet 1'!$B$2:$E$347,2,FALSE)</f>
        <v>Coquimbo</v>
      </c>
      <c r="H1238" t="str">
        <f>VLOOKUP(F1238,'[1]Sheet 1'!$B$2:$E$347,3,FALSE)</f>
        <v>Limarí</v>
      </c>
      <c r="I1238" t="str">
        <f>VLOOKUP(F1238,'[1]Sheet 1'!$B$2:$E$347,4,FALSE)</f>
        <v>Combarbalá</v>
      </c>
      <c r="J1238" t="s">
        <v>136</v>
      </c>
      <c r="K1238" s="3" t="s">
        <v>4</v>
      </c>
      <c r="L1238" s="12" t="str">
        <f>VLOOKUP(K1238,[2]Hoja4!$A$2:$C$443,2,FALSE)</f>
        <v>Intentional self-harm by hanging, strangulation and suffocation</v>
      </c>
      <c r="M1238" s="12" t="str">
        <f>VLOOKUP(K1238,[2]Hoja4!$A$2:$C$443,3,FALSE)</f>
        <v>At home</v>
      </c>
      <c r="N1238" s="1"/>
      <c r="O1238" s="1"/>
      <c r="P1238" s="1"/>
      <c r="Q1238" s="1"/>
      <c r="R1238" s="1"/>
      <c r="S1238" s="1"/>
      <c r="T1238" s="5">
        <v>0.1158</v>
      </c>
      <c r="U1238" s="10">
        <v>7.0000000000000001E-3</v>
      </c>
    </row>
    <row r="1239" spans="1:21" customFormat="1">
      <c r="A1239">
        <v>1</v>
      </c>
      <c r="B1239">
        <v>51</v>
      </c>
      <c r="C1239">
        <v>9</v>
      </c>
      <c r="D1239">
        <v>10</v>
      </c>
      <c r="E1239">
        <v>2020</v>
      </c>
      <c r="F1239">
        <v>7201</v>
      </c>
      <c r="G1239" t="str">
        <f>VLOOKUP(F1239,'[1]Sheet 1'!$B$2:$E$347,2,FALSE)</f>
        <v>Maule</v>
      </c>
      <c r="H1239" t="str">
        <f>VLOOKUP(F1239,'[1]Sheet 1'!$B$2:$E$347,3,FALSE)</f>
        <v>Cauquenes</v>
      </c>
      <c r="I1239" t="str">
        <f>VLOOKUP(F1239,'[1]Sheet 1'!$B$2:$E$347,4,FALSE)</f>
        <v>Cauquenes</v>
      </c>
      <c r="J1239" t="s">
        <v>136</v>
      </c>
      <c r="K1239" s="3" t="s">
        <v>4</v>
      </c>
      <c r="L1239" s="12" t="str">
        <f>VLOOKUP(K1239,[2]Hoja4!$A$2:$C$443,2,FALSE)</f>
        <v>Intentional self-harm by hanging, strangulation and suffocation</v>
      </c>
      <c r="M1239" s="12" t="str">
        <f>VLOOKUP(K1239,[2]Hoja4!$A$2:$C$443,3,FALSE)</f>
        <v>At home</v>
      </c>
      <c r="N1239" s="1">
        <v>5.7</v>
      </c>
      <c r="O1239" s="1">
        <v>25.8</v>
      </c>
      <c r="P1239" s="1">
        <v>15</v>
      </c>
      <c r="Q1239" s="1">
        <v>1002</v>
      </c>
      <c r="R1239" s="1">
        <v>0</v>
      </c>
      <c r="S1239" s="1">
        <v>65.099999999999994</v>
      </c>
      <c r="T1239" s="5">
        <v>0.1158</v>
      </c>
      <c r="U1239" s="10">
        <v>7.0000000000000001E-3</v>
      </c>
    </row>
    <row r="1240" spans="1:21" customFormat="1">
      <c r="A1240">
        <v>1</v>
      </c>
      <c r="B1240">
        <v>26</v>
      </c>
      <c r="C1240">
        <v>9</v>
      </c>
      <c r="D1240">
        <v>10</v>
      </c>
      <c r="E1240">
        <v>2020</v>
      </c>
      <c r="F1240">
        <v>4101</v>
      </c>
      <c r="G1240" t="str">
        <f>VLOOKUP(F1240,'[1]Sheet 1'!$B$2:$E$347,2,FALSE)</f>
        <v>Coquimbo</v>
      </c>
      <c r="H1240" t="str">
        <f>VLOOKUP(F1240,'[1]Sheet 1'!$B$2:$E$347,3,FALSE)</f>
        <v>Elqui</v>
      </c>
      <c r="I1240" t="str">
        <f>VLOOKUP(F1240,'[1]Sheet 1'!$B$2:$E$347,4,FALSE)</f>
        <v>La Serena</v>
      </c>
      <c r="J1240" t="s">
        <v>136</v>
      </c>
      <c r="K1240" s="3" t="s">
        <v>0</v>
      </c>
      <c r="L1240" s="12" t="str">
        <f>VLOOKUP(K1240,[2]Hoja4!$A$2:$C$443,2,FALSE)</f>
        <v>Intentional self-harm by hanging, strangulation and suffocation</v>
      </c>
      <c r="M1240" s="12" t="str">
        <f>VLOOKUP(K1240,[2]Hoja4!$A$2:$C$443,3,FALSE)</f>
        <v>Unspecified place</v>
      </c>
      <c r="N1240" s="1">
        <v>8</v>
      </c>
      <c r="O1240" s="1">
        <v>17.899999999999999</v>
      </c>
      <c r="P1240" s="1">
        <v>13</v>
      </c>
      <c r="Q1240" s="1">
        <v>996.7</v>
      </c>
      <c r="R1240" s="1">
        <v>0</v>
      </c>
      <c r="S1240" s="1">
        <v>76.2</v>
      </c>
      <c r="T1240" s="5">
        <v>0.1158</v>
      </c>
      <c r="U1240" s="10">
        <v>7.0000000000000001E-3</v>
      </c>
    </row>
    <row r="1241" spans="1:21" customFormat="1">
      <c r="A1241">
        <v>1</v>
      </c>
      <c r="B1241">
        <v>87</v>
      </c>
      <c r="C1241">
        <v>10</v>
      </c>
      <c r="D1241">
        <v>10</v>
      </c>
      <c r="E1241">
        <v>2020</v>
      </c>
      <c r="F1241">
        <v>16109</v>
      </c>
      <c r="G1241" t="str">
        <f>VLOOKUP(F1241,'[1]Sheet 1'!$B$2:$E$347,2,FALSE)</f>
        <v>Ñuble</v>
      </c>
      <c r="H1241" t="str">
        <f>VLOOKUP(F1241,'[1]Sheet 1'!$B$2:$E$347,3,FALSE)</f>
        <v>Diguillín</v>
      </c>
      <c r="I1241" t="str">
        <f>VLOOKUP(F1241,'[1]Sheet 1'!$B$2:$E$347,4,FALSE)</f>
        <v>Yungay</v>
      </c>
      <c r="J1241" t="s">
        <v>136</v>
      </c>
      <c r="K1241" s="3" t="s">
        <v>0</v>
      </c>
      <c r="L1241" s="12" t="str">
        <f>VLOOKUP(K1241,[2]Hoja4!$A$2:$C$443,2,FALSE)</f>
        <v>Intentional self-harm by hanging, strangulation and suffocation</v>
      </c>
      <c r="M1241" s="12" t="str">
        <f>VLOOKUP(K1241,[2]Hoja4!$A$2:$C$443,3,FALSE)</f>
        <v>Unspecified place</v>
      </c>
      <c r="N1241" s="1">
        <v>7.7</v>
      </c>
      <c r="O1241" s="1">
        <v>18.5</v>
      </c>
      <c r="P1241" s="1">
        <v>13.7</v>
      </c>
      <c r="Q1241" s="1">
        <v>1004.3</v>
      </c>
      <c r="R1241" s="1">
        <v>0</v>
      </c>
      <c r="S1241" s="1">
        <v>62.8</v>
      </c>
      <c r="T1241" s="5">
        <v>0.1158</v>
      </c>
      <c r="U1241" s="10">
        <v>7.0000000000000001E-3</v>
      </c>
    </row>
    <row r="1242" spans="1:21" customFormat="1">
      <c r="A1242">
        <v>1</v>
      </c>
      <c r="B1242">
        <v>67</v>
      </c>
      <c r="C1242">
        <v>10</v>
      </c>
      <c r="D1242">
        <v>10</v>
      </c>
      <c r="E1242">
        <v>2020</v>
      </c>
      <c r="F1242">
        <v>13119</v>
      </c>
      <c r="G1242" t="str">
        <f>VLOOKUP(F1242,'[1]Sheet 1'!$B$2:$E$347,2,FALSE)</f>
        <v>Metropolitana de Santiago</v>
      </c>
      <c r="H1242" t="str">
        <f>VLOOKUP(F1242,'[1]Sheet 1'!$B$2:$E$347,3,FALSE)</f>
        <v>Santiago</v>
      </c>
      <c r="I1242" t="str">
        <f>VLOOKUP(F1242,'[1]Sheet 1'!$B$2:$E$347,4,FALSE)</f>
        <v>Maipú</v>
      </c>
      <c r="J1242" t="s">
        <v>136</v>
      </c>
      <c r="K1242" s="3" t="s">
        <v>0</v>
      </c>
      <c r="L1242" s="12" t="str">
        <f>VLOOKUP(K1242,[2]Hoja4!$A$2:$C$443,2,FALSE)</f>
        <v>Intentional self-harm by hanging, strangulation and suffocation</v>
      </c>
      <c r="M1242" s="12" t="str">
        <f>VLOOKUP(K1242,[2]Hoja4!$A$2:$C$443,3,FALSE)</f>
        <v>Unspecified place</v>
      </c>
      <c r="N1242" s="1">
        <v>8.6</v>
      </c>
      <c r="O1242" s="1">
        <v>27.9</v>
      </c>
      <c r="P1242" s="1">
        <v>18.399999999999999</v>
      </c>
      <c r="Q1242" s="1">
        <v>957.2</v>
      </c>
      <c r="R1242" s="1"/>
      <c r="S1242" s="1">
        <v>45.2</v>
      </c>
      <c r="T1242" s="5">
        <v>0.1158</v>
      </c>
      <c r="U1242" s="10">
        <v>7.0000000000000001E-3</v>
      </c>
    </row>
    <row r="1243" spans="1:21" customFormat="1">
      <c r="A1243">
        <v>1</v>
      </c>
      <c r="B1243">
        <v>61</v>
      </c>
      <c r="C1243">
        <v>10</v>
      </c>
      <c r="D1243">
        <v>10</v>
      </c>
      <c r="E1243">
        <v>2020</v>
      </c>
      <c r="F1243">
        <v>8101</v>
      </c>
      <c r="G1243" t="str">
        <f>VLOOKUP(F1243,'[1]Sheet 1'!$B$2:$E$347,2,FALSE)</f>
        <v>Biobío</v>
      </c>
      <c r="H1243" t="str">
        <f>VLOOKUP(F1243,'[1]Sheet 1'!$B$2:$E$347,3,FALSE)</f>
        <v>Concepción</v>
      </c>
      <c r="I1243" t="str">
        <f>VLOOKUP(F1243,'[1]Sheet 1'!$B$2:$E$347,4,FALSE)</f>
        <v>Concepción</v>
      </c>
      <c r="J1243" t="s">
        <v>136</v>
      </c>
      <c r="K1243" s="3" t="s">
        <v>0</v>
      </c>
      <c r="L1243" s="12" t="str">
        <f>VLOOKUP(K1243,[2]Hoja4!$A$2:$C$443,2,FALSE)</f>
        <v>Intentional self-harm by hanging, strangulation and suffocation</v>
      </c>
      <c r="M1243" s="12" t="str">
        <f>VLOOKUP(K1243,[2]Hoja4!$A$2:$C$443,3,FALSE)</f>
        <v>Unspecified place</v>
      </c>
      <c r="N1243" s="1">
        <v>9.9</v>
      </c>
      <c r="O1243" s="1">
        <v>17.600000000000001</v>
      </c>
      <c r="P1243" s="1">
        <v>12.9</v>
      </c>
      <c r="Q1243" s="1">
        <v>1023.2</v>
      </c>
      <c r="R1243" s="1">
        <v>0</v>
      </c>
      <c r="S1243" s="1">
        <v>70</v>
      </c>
      <c r="T1243" s="5">
        <v>0.1158</v>
      </c>
      <c r="U1243" s="10">
        <v>7.0000000000000001E-3</v>
      </c>
    </row>
    <row r="1244" spans="1:21" customFormat="1">
      <c r="A1244">
        <v>1</v>
      </c>
      <c r="B1244">
        <v>60</v>
      </c>
      <c r="C1244">
        <v>10</v>
      </c>
      <c r="D1244">
        <v>10</v>
      </c>
      <c r="E1244">
        <v>2020</v>
      </c>
      <c r="F1244">
        <v>6101</v>
      </c>
      <c r="G1244" t="str">
        <f>VLOOKUP(F1244,'[1]Sheet 1'!$B$2:$E$347,2,FALSE)</f>
        <v>Libertador General Bernardo O'Higgins</v>
      </c>
      <c r="H1244" t="str">
        <f>VLOOKUP(F1244,'[1]Sheet 1'!$B$2:$E$347,3,FALSE)</f>
        <v>Cachapoal</v>
      </c>
      <c r="I1244" t="str">
        <f>VLOOKUP(F1244,'[1]Sheet 1'!$B$2:$E$347,4,FALSE)</f>
        <v>Rancagua</v>
      </c>
      <c r="J1244" t="s">
        <v>136</v>
      </c>
      <c r="K1244" s="3" t="s">
        <v>0</v>
      </c>
      <c r="L1244" s="12" t="str">
        <f>VLOOKUP(K1244,[2]Hoja4!$A$2:$C$443,2,FALSE)</f>
        <v>Intentional self-harm by hanging, strangulation and suffocation</v>
      </c>
      <c r="M1244" s="12" t="str">
        <f>VLOOKUP(K1244,[2]Hoja4!$A$2:$C$443,3,FALSE)</f>
        <v>Unspecified place</v>
      </c>
      <c r="N1244" s="1">
        <v>7.6</v>
      </c>
      <c r="O1244" s="1">
        <v>23.4</v>
      </c>
      <c r="P1244" s="1">
        <v>15.9</v>
      </c>
      <c r="Q1244" s="1">
        <v>962.2</v>
      </c>
      <c r="R1244" s="1">
        <v>0</v>
      </c>
      <c r="S1244" s="1">
        <v>56.5</v>
      </c>
      <c r="T1244" s="5">
        <v>0.1158</v>
      </c>
      <c r="U1244" s="10">
        <v>7.0000000000000001E-3</v>
      </c>
    </row>
    <row r="1245" spans="1:21" customFormat="1">
      <c r="A1245">
        <v>1</v>
      </c>
      <c r="B1245">
        <v>57</v>
      </c>
      <c r="C1245">
        <v>10</v>
      </c>
      <c r="D1245">
        <v>10</v>
      </c>
      <c r="E1245">
        <v>2020</v>
      </c>
      <c r="F1245">
        <v>13101</v>
      </c>
      <c r="G1245" t="str">
        <f>VLOOKUP(F1245,'[1]Sheet 1'!$B$2:$E$347,2,FALSE)</f>
        <v>Metropolitana de Santiago</v>
      </c>
      <c r="H1245" t="str">
        <f>VLOOKUP(F1245,'[1]Sheet 1'!$B$2:$E$347,3,FALSE)</f>
        <v>Santiago</v>
      </c>
      <c r="I1245" t="str">
        <f>VLOOKUP(F1245,'[1]Sheet 1'!$B$2:$E$347,4,FALSE)</f>
        <v>Santiago</v>
      </c>
      <c r="J1245" t="s">
        <v>136</v>
      </c>
      <c r="K1245" s="3" t="s">
        <v>0</v>
      </c>
      <c r="L1245" s="12" t="str">
        <f>VLOOKUP(K1245,[2]Hoja4!$A$2:$C$443,2,FALSE)</f>
        <v>Intentional self-harm by hanging, strangulation and suffocation</v>
      </c>
      <c r="M1245" s="12" t="str">
        <f>VLOOKUP(K1245,[2]Hoja4!$A$2:$C$443,3,FALSE)</f>
        <v>Unspecified place</v>
      </c>
      <c r="N1245" s="1">
        <v>8.6</v>
      </c>
      <c r="O1245" s="1">
        <v>27.9</v>
      </c>
      <c r="P1245" s="1">
        <v>18.399999999999999</v>
      </c>
      <c r="Q1245" s="1">
        <v>957.2</v>
      </c>
      <c r="R1245" s="1"/>
      <c r="S1245" s="1">
        <v>45.2</v>
      </c>
      <c r="T1245" s="5">
        <v>0.1158</v>
      </c>
      <c r="U1245" s="10">
        <v>7.0000000000000001E-3</v>
      </c>
    </row>
    <row r="1246" spans="1:21" customFormat="1">
      <c r="A1246">
        <v>1</v>
      </c>
      <c r="B1246">
        <v>38</v>
      </c>
      <c r="C1246">
        <v>10</v>
      </c>
      <c r="D1246">
        <v>10</v>
      </c>
      <c r="E1246">
        <v>2020</v>
      </c>
      <c r="F1246">
        <v>13101</v>
      </c>
      <c r="G1246" t="str">
        <f>VLOOKUP(F1246,'[1]Sheet 1'!$B$2:$E$347,2,FALSE)</f>
        <v>Metropolitana de Santiago</v>
      </c>
      <c r="H1246" t="str">
        <f>VLOOKUP(F1246,'[1]Sheet 1'!$B$2:$E$347,3,FALSE)</f>
        <v>Santiago</v>
      </c>
      <c r="I1246" t="str">
        <f>VLOOKUP(F1246,'[1]Sheet 1'!$B$2:$E$347,4,FALSE)</f>
        <v>Santiago</v>
      </c>
      <c r="J1246" t="s">
        <v>136</v>
      </c>
      <c r="K1246" s="3" t="s">
        <v>4</v>
      </c>
      <c r="L1246" s="12" t="str">
        <f>VLOOKUP(K1246,[2]Hoja4!$A$2:$C$443,2,FALSE)</f>
        <v>Intentional self-harm by hanging, strangulation and suffocation</v>
      </c>
      <c r="M1246" s="12" t="str">
        <f>VLOOKUP(K1246,[2]Hoja4!$A$2:$C$443,3,FALSE)</f>
        <v>At home</v>
      </c>
      <c r="N1246" s="1">
        <v>8.6</v>
      </c>
      <c r="O1246" s="1">
        <v>27.9</v>
      </c>
      <c r="P1246" s="1">
        <v>18.399999999999999</v>
      </c>
      <c r="Q1246" s="1">
        <v>957.2</v>
      </c>
      <c r="R1246" s="1"/>
      <c r="S1246" s="1">
        <v>45.2</v>
      </c>
      <c r="T1246" s="5">
        <v>0.1158</v>
      </c>
      <c r="U1246" s="10">
        <v>7.0000000000000001E-3</v>
      </c>
    </row>
    <row r="1247" spans="1:21" customFormat="1">
      <c r="A1247">
        <v>1</v>
      </c>
      <c r="B1247">
        <v>25</v>
      </c>
      <c r="C1247">
        <v>10</v>
      </c>
      <c r="D1247">
        <v>10</v>
      </c>
      <c r="E1247">
        <v>2020</v>
      </c>
      <c r="F1247">
        <v>13107</v>
      </c>
      <c r="G1247" t="str">
        <f>VLOOKUP(F1247,'[1]Sheet 1'!$B$2:$E$347,2,FALSE)</f>
        <v>Metropolitana de Santiago</v>
      </c>
      <c r="H1247" t="str">
        <f>VLOOKUP(F1247,'[1]Sheet 1'!$B$2:$E$347,3,FALSE)</f>
        <v>Santiago</v>
      </c>
      <c r="I1247" t="str">
        <f>VLOOKUP(F1247,'[1]Sheet 1'!$B$2:$E$347,4,FALSE)</f>
        <v>Huechuraba</v>
      </c>
      <c r="J1247" t="s">
        <v>136</v>
      </c>
      <c r="K1247" s="3" t="s">
        <v>0</v>
      </c>
      <c r="L1247" s="12" t="str">
        <f>VLOOKUP(K1247,[2]Hoja4!$A$2:$C$443,2,FALSE)</f>
        <v>Intentional self-harm by hanging, strangulation and suffocation</v>
      </c>
      <c r="M1247" s="12" t="str">
        <f>VLOOKUP(K1247,[2]Hoja4!$A$2:$C$443,3,FALSE)</f>
        <v>Unspecified place</v>
      </c>
      <c r="N1247" s="1">
        <v>8.6</v>
      </c>
      <c r="O1247" s="1">
        <v>27.9</v>
      </c>
      <c r="P1247" s="1">
        <v>18.399999999999999</v>
      </c>
      <c r="Q1247" s="1">
        <v>957.2</v>
      </c>
      <c r="R1247" s="1"/>
      <c r="S1247" s="1">
        <v>45.2</v>
      </c>
      <c r="T1247" s="5">
        <v>0.1158</v>
      </c>
      <c r="U1247" s="10">
        <v>7.0000000000000001E-3</v>
      </c>
    </row>
    <row r="1248" spans="1:21" customFormat="1">
      <c r="A1248">
        <v>1</v>
      </c>
      <c r="B1248">
        <v>74</v>
      </c>
      <c r="C1248">
        <v>11</v>
      </c>
      <c r="D1248">
        <v>10</v>
      </c>
      <c r="E1248">
        <v>2020</v>
      </c>
      <c r="F1248">
        <v>13101</v>
      </c>
      <c r="G1248" t="str">
        <f>VLOOKUP(F1248,'[1]Sheet 1'!$B$2:$E$347,2,FALSE)</f>
        <v>Metropolitana de Santiago</v>
      </c>
      <c r="H1248" t="str">
        <f>VLOOKUP(F1248,'[1]Sheet 1'!$B$2:$E$347,3,FALSE)</f>
        <v>Santiago</v>
      </c>
      <c r="I1248" t="str">
        <f>VLOOKUP(F1248,'[1]Sheet 1'!$B$2:$E$347,4,FALSE)</f>
        <v>Santiago</v>
      </c>
      <c r="J1248" t="s">
        <v>136</v>
      </c>
      <c r="K1248" s="3" t="s">
        <v>0</v>
      </c>
      <c r="L1248" s="12" t="str">
        <f>VLOOKUP(K1248,[2]Hoja4!$A$2:$C$443,2,FALSE)</f>
        <v>Intentional self-harm by hanging, strangulation and suffocation</v>
      </c>
      <c r="M1248" s="12" t="str">
        <f>VLOOKUP(K1248,[2]Hoja4!$A$2:$C$443,3,FALSE)</f>
        <v>Unspecified place</v>
      </c>
      <c r="N1248" s="1">
        <v>7.1</v>
      </c>
      <c r="O1248" s="1">
        <v>31.2</v>
      </c>
      <c r="P1248" s="1">
        <v>18.399999999999999</v>
      </c>
      <c r="Q1248" s="1">
        <v>954.6</v>
      </c>
      <c r="R1248" s="1"/>
      <c r="S1248" s="1">
        <v>39.799999999999997</v>
      </c>
      <c r="T1248" s="5">
        <v>0.1158</v>
      </c>
      <c r="U1248" s="10">
        <v>7.0000000000000001E-3</v>
      </c>
    </row>
    <row r="1249" spans="1:21" customFormat="1">
      <c r="A1249">
        <v>2</v>
      </c>
      <c r="B1249">
        <v>62</v>
      </c>
      <c r="C1249">
        <v>11</v>
      </c>
      <c r="D1249">
        <v>10</v>
      </c>
      <c r="E1249">
        <v>2020</v>
      </c>
      <c r="F1249">
        <v>16101</v>
      </c>
      <c r="G1249" t="str">
        <f>VLOOKUP(F1249,'[1]Sheet 1'!$B$2:$E$347,2,FALSE)</f>
        <v>Ñuble</v>
      </c>
      <c r="H1249" t="str">
        <f>VLOOKUP(F1249,'[1]Sheet 1'!$B$2:$E$347,3,FALSE)</f>
        <v>Diguillín</v>
      </c>
      <c r="I1249" t="str">
        <f>VLOOKUP(F1249,'[1]Sheet 1'!$B$2:$E$347,4,FALSE)</f>
        <v>Chillán</v>
      </c>
      <c r="J1249" t="s">
        <v>136</v>
      </c>
      <c r="K1249" s="3" t="s">
        <v>4</v>
      </c>
      <c r="L1249" s="12" t="str">
        <f>VLOOKUP(K1249,[2]Hoja4!$A$2:$C$443,2,FALSE)</f>
        <v>Intentional self-harm by hanging, strangulation and suffocation</v>
      </c>
      <c r="M1249" s="12" t="str">
        <f>VLOOKUP(K1249,[2]Hoja4!$A$2:$C$443,3,FALSE)</f>
        <v>At home</v>
      </c>
      <c r="N1249" s="1">
        <v>6.9</v>
      </c>
      <c r="O1249" s="1">
        <v>25.5</v>
      </c>
      <c r="P1249" s="1">
        <v>14.6</v>
      </c>
      <c r="Q1249" s="1">
        <v>998.4</v>
      </c>
      <c r="R1249" s="1">
        <v>0</v>
      </c>
      <c r="S1249" s="1">
        <v>64.8</v>
      </c>
      <c r="T1249" s="5">
        <v>0.1158</v>
      </c>
      <c r="U1249" s="10">
        <v>7.0000000000000001E-3</v>
      </c>
    </row>
    <row r="1250" spans="1:21" customFormat="1">
      <c r="A1250">
        <v>1</v>
      </c>
      <c r="B1250">
        <v>52</v>
      </c>
      <c r="C1250">
        <v>11</v>
      </c>
      <c r="D1250">
        <v>10</v>
      </c>
      <c r="E1250">
        <v>2020</v>
      </c>
      <c r="F1250">
        <v>6101</v>
      </c>
      <c r="G1250" t="str">
        <f>VLOOKUP(F1250,'[1]Sheet 1'!$B$2:$E$347,2,FALSE)</f>
        <v>Libertador General Bernardo O'Higgins</v>
      </c>
      <c r="H1250" t="str">
        <f>VLOOKUP(F1250,'[1]Sheet 1'!$B$2:$E$347,3,FALSE)</f>
        <v>Cachapoal</v>
      </c>
      <c r="I1250" t="str">
        <f>VLOOKUP(F1250,'[1]Sheet 1'!$B$2:$E$347,4,FALSE)</f>
        <v>Rancagua</v>
      </c>
      <c r="J1250" t="s">
        <v>136</v>
      </c>
      <c r="K1250" s="3" t="s">
        <v>0</v>
      </c>
      <c r="L1250" s="12" t="str">
        <f>VLOOKUP(K1250,[2]Hoja4!$A$2:$C$443,2,FALSE)</f>
        <v>Intentional self-harm by hanging, strangulation and suffocation</v>
      </c>
      <c r="M1250" s="12" t="str">
        <f>VLOOKUP(K1250,[2]Hoja4!$A$2:$C$443,3,FALSE)</f>
        <v>Unspecified place</v>
      </c>
      <c r="N1250" s="1">
        <v>4.2</v>
      </c>
      <c r="O1250" s="1">
        <v>28.4</v>
      </c>
      <c r="P1250" s="1">
        <v>16.100000000000001</v>
      </c>
      <c r="Q1250" s="1">
        <v>958.6</v>
      </c>
      <c r="R1250" s="1">
        <v>0</v>
      </c>
      <c r="S1250" s="1">
        <v>49.3</v>
      </c>
      <c r="T1250" s="5">
        <v>0.1158</v>
      </c>
      <c r="U1250" s="10">
        <v>7.0000000000000001E-3</v>
      </c>
    </row>
    <row r="1251" spans="1:21" customFormat="1">
      <c r="A1251">
        <v>1</v>
      </c>
      <c r="B1251">
        <v>45</v>
      </c>
      <c r="C1251">
        <v>11</v>
      </c>
      <c r="D1251">
        <v>10</v>
      </c>
      <c r="E1251">
        <v>2020</v>
      </c>
      <c r="F1251">
        <v>10101</v>
      </c>
      <c r="G1251" t="str">
        <f>VLOOKUP(F1251,'[1]Sheet 1'!$B$2:$E$347,2,FALSE)</f>
        <v>Los Lagos</v>
      </c>
      <c r="H1251" t="str">
        <f>VLOOKUP(F1251,'[1]Sheet 1'!$B$2:$E$347,3,FALSE)</f>
        <v>Llanquihue</v>
      </c>
      <c r="I1251" t="str">
        <f>VLOOKUP(F1251,'[1]Sheet 1'!$B$2:$E$347,4,FALSE)</f>
        <v>Puerto Montt</v>
      </c>
      <c r="J1251" t="s">
        <v>136</v>
      </c>
      <c r="K1251" s="3" t="s">
        <v>0</v>
      </c>
      <c r="L1251" s="12" t="str">
        <f>VLOOKUP(K1251,[2]Hoja4!$A$2:$C$443,2,FALSE)</f>
        <v>Intentional self-harm by hanging, strangulation and suffocation</v>
      </c>
      <c r="M1251" s="12" t="str">
        <f>VLOOKUP(K1251,[2]Hoja4!$A$2:$C$443,3,FALSE)</f>
        <v>Unspecified place</v>
      </c>
      <c r="N1251" s="1">
        <v>4.5</v>
      </c>
      <c r="O1251" s="1">
        <v>15.8</v>
      </c>
      <c r="P1251" s="1">
        <v>9.6</v>
      </c>
      <c r="Q1251" s="1">
        <v>1014.2</v>
      </c>
      <c r="R1251" s="1">
        <v>0</v>
      </c>
      <c r="S1251" s="1">
        <v>83.8</v>
      </c>
      <c r="T1251" s="5">
        <v>0.1158</v>
      </c>
      <c r="U1251" s="10">
        <v>7.0000000000000001E-3</v>
      </c>
    </row>
    <row r="1252" spans="1:21" customFormat="1">
      <c r="A1252">
        <v>1</v>
      </c>
      <c r="B1252">
        <v>40</v>
      </c>
      <c r="C1252">
        <v>11</v>
      </c>
      <c r="D1252">
        <v>10</v>
      </c>
      <c r="E1252">
        <v>2020</v>
      </c>
      <c r="F1252">
        <v>7203</v>
      </c>
      <c r="G1252" t="str">
        <f>VLOOKUP(F1252,'[1]Sheet 1'!$B$2:$E$347,2,FALSE)</f>
        <v>Maule</v>
      </c>
      <c r="H1252" t="str">
        <f>VLOOKUP(F1252,'[1]Sheet 1'!$B$2:$E$347,3,FALSE)</f>
        <v>Cauquenes</v>
      </c>
      <c r="I1252" t="str">
        <f>VLOOKUP(F1252,'[1]Sheet 1'!$B$2:$E$347,4,FALSE)</f>
        <v>Pelluhue</v>
      </c>
      <c r="J1252" t="s">
        <v>136</v>
      </c>
      <c r="K1252" s="3" t="s">
        <v>4</v>
      </c>
      <c r="L1252" s="12" t="str">
        <f>VLOOKUP(K1252,[2]Hoja4!$A$2:$C$443,2,FALSE)</f>
        <v>Intentional self-harm by hanging, strangulation and suffocation</v>
      </c>
      <c r="M1252" s="12" t="str">
        <f>VLOOKUP(K1252,[2]Hoja4!$A$2:$C$443,3,FALSE)</f>
        <v>At home</v>
      </c>
      <c r="N1252" s="1">
        <v>9.3000000000000007</v>
      </c>
      <c r="O1252" s="1">
        <v>19.8</v>
      </c>
      <c r="P1252" s="1">
        <v>14.5</v>
      </c>
      <c r="Q1252" s="1">
        <v>1005.7</v>
      </c>
      <c r="R1252" s="1">
        <v>0</v>
      </c>
      <c r="S1252" s="1">
        <v>52.9</v>
      </c>
      <c r="T1252" s="5">
        <v>0.1158</v>
      </c>
      <c r="U1252" s="10">
        <v>7.0000000000000001E-3</v>
      </c>
    </row>
    <row r="1253" spans="1:21" customFormat="1">
      <c r="A1253">
        <v>1</v>
      </c>
      <c r="B1253">
        <v>70</v>
      </c>
      <c r="C1253">
        <v>12</v>
      </c>
      <c r="D1253">
        <v>10</v>
      </c>
      <c r="E1253">
        <v>2020</v>
      </c>
      <c r="F1253">
        <v>14107</v>
      </c>
      <c r="G1253" t="str">
        <f>VLOOKUP(F1253,'[1]Sheet 1'!$B$2:$E$347,2,FALSE)</f>
        <v>Los Ríos</v>
      </c>
      <c r="H1253" t="str">
        <f>VLOOKUP(F1253,'[1]Sheet 1'!$B$2:$E$347,3,FALSE)</f>
        <v>Valdivia</v>
      </c>
      <c r="I1253" t="str">
        <f>VLOOKUP(F1253,'[1]Sheet 1'!$B$2:$E$347,4,FALSE)</f>
        <v>Paillaco</v>
      </c>
      <c r="J1253" t="s">
        <v>136</v>
      </c>
      <c r="K1253" s="3" t="s">
        <v>0</v>
      </c>
      <c r="L1253" s="12" t="str">
        <f>VLOOKUP(K1253,[2]Hoja4!$A$2:$C$443,2,FALSE)</f>
        <v>Intentional self-harm by hanging, strangulation and suffocation</v>
      </c>
      <c r="M1253" s="12" t="str">
        <f>VLOOKUP(K1253,[2]Hoja4!$A$2:$C$443,3,FALSE)</f>
        <v>Unspecified place</v>
      </c>
      <c r="N1253" s="1">
        <v>0.4</v>
      </c>
      <c r="O1253" s="1">
        <v>21.7</v>
      </c>
      <c r="P1253" s="1">
        <v>9.8000000000000007</v>
      </c>
      <c r="Q1253" s="1">
        <v>1018.3</v>
      </c>
      <c r="R1253" s="1">
        <v>0</v>
      </c>
      <c r="S1253" s="1">
        <v>76.8</v>
      </c>
      <c r="T1253" s="5">
        <v>0.1158</v>
      </c>
      <c r="U1253" s="10">
        <v>7.0000000000000001E-3</v>
      </c>
    </row>
    <row r="1254" spans="1:21" customFormat="1">
      <c r="A1254">
        <v>1</v>
      </c>
      <c r="B1254">
        <v>56</v>
      </c>
      <c r="C1254">
        <v>12</v>
      </c>
      <c r="D1254">
        <v>10</v>
      </c>
      <c r="E1254">
        <v>2020</v>
      </c>
      <c r="F1254">
        <v>13114</v>
      </c>
      <c r="G1254" t="str">
        <f>VLOOKUP(F1254,'[1]Sheet 1'!$B$2:$E$347,2,FALSE)</f>
        <v>Metropolitana de Santiago</v>
      </c>
      <c r="H1254" t="str">
        <f>VLOOKUP(F1254,'[1]Sheet 1'!$B$2:$E$347,3,FALSE)</f>
        <v>Santiago</v>
      </c>
      <c r="I1254" t="str">
        <f>VLOOKUP(F1254,'[1]Sheet 1'!$B$2:$E$347,4,FALSE)</f>
        <v>Las Condes</v>
      </c>
      <c r="J1254" t="s">
        <v>136</v>
      </c>
      <c r="K1254" s="3" t="s">
        <v>0</v>
      </c>
      <c r="L1254" s="12" t="str">
        <f>VLOOKUP(K1254,[2]Hoja4!$A$2:$C$443,2,FALSE)</f>
        <v>Intentional self-harm by hanging, strangulation and suffocation</v>
      </c>
      <c r="M1254" s="12" t="str">
        <f>VLOOKUP(K1254,[2]Hoja4!$A$2:$C$443,3,FALSE)</f>
        <v>Unspecified place</v>
      </c>
      <c r="N1254" s="1">
        <v>8.8000000000000007</v>
      </c>
      <c r="O1254" s="1">
        <v>30.9</v>
      </c>
      <c r="P1254" s="1">
        <v>19.2</v>
      </c>
      <c r="Q1254" s="1">
        <v>954.2</v>
      </c>
      <c r="R1254" s="1"/>
      <c r="S1254" s="1">
        <v>46.8</v>
      </c>
      <c r="T1254" s="5">
        <v>0.1158</v>
      </c>
      <c r="U1254" s="10">
        <v>7.0000000000000001E-3</v>
      </c>
    </row>
    <row r="1255" spans="1:21" customFormat="1">
      <c r="A1255">
        <v>1</v>
      </c>
      <c r="B1255">
        <v>29</v>
      </c>
      <c r="C1255">
        <v>12</v>
      </c>
      <c r="D1255">
        <v>10</v>
      </c>
      <c r="E1255">
        <v>2020</v>
      </c>
      <c r="F1255">
        <v>13101</v>
      </c>
      <c r="G1255" t="str">
        <f>VLOOKUP(F1255,'[1]Sheet 1'!$B$2:$E$347,2,FALSE)</f>
        <v>Metropolitana de Santiago</v>
      </c>
      <c r="H1255" t="str">
        <f>VLOOKUP(F1255,'[1]Sheet 1'!$B$2:$E$347,3,FALSE)</f>
        <v>Santiago</v>
      </c>
      <c r="I1255" t="str">
        <f>VLOOKUP(F1255,'[1]Sheet 1'!$B$2:$E$347,4,FALSE)</f>
        <v>Santiago</v>
      </c>
      <c r="J1255" t="s">
        <v>136</v>
      </c>
      <c r="K1255" s="3" t="s">
        <v>0</v>
      </c>
      <c r="L1255" s="12" t="str">
        <f>VLOOKUP(K1255,[2]Hoja4!$A$2:$C$443,2,FALSE)</f>
        <v>Intentional self-harm by hanging, strangulation and suffocation</v>
      </c>
      <c r="M1255" s="12" t="str">
        <f>VLOOKUP(K1255,[2]Hoja4!$A$2:$C$443,3,FALSE)</f>
        <v>Unspecified place</v>
      </c>
      <c r="N1255" s="1">
        <v>8.8000000000000007</v>
      </c>
      <c r="O1255" s="1">
        <v>30.9</v>
      </c>
      <c r="P1255" s="1">
        <v>19.2</v>
      </c>
      <c r="Q1255" s="1">
        <v>954.2</v>
      </c>
      <c r="R1255" s="1"/>
      <c r="S1255" s="1">
        <v>46.8</v>
      </c>
      <c r="T1255" s="5">
        <v>0.1158</v>
      </c>
      <c r="U1255" s="10">
        <v>7.0000000000000001E-3</v>
      </c>
    </row>
    <row r="1256" spans="1:21" customFormat="1">
      <c r="A1256">
        <v>1</v>
      </c>
      <c r="B1256">
        <v>21</v>
      </c>
      <c r="C1256">
        <v>12</v>
      </c>
      <c r="D1256">
        <v>10</v>
      </c>
      <c r="E1256">
        <v>2020</v>
      </c>
      <c r="F1256">
        <v>10101</v>
      </c>
      <c r="G1256" t="str">
        <f>VLOOKUP(F1256,'[1]Sheet 1'!$B$2:$E$347,2,FALSE)</f>
        <v>Los Lagos</v>
      </c>
      <c r="H1256" t="str">
        <f>VLOOKUP(F1256,'[1]Sheet 1'!$B$2:$E$347,3,FALSE)</f>
        <v>Llanquihue</v>
      </c>
      <c r="I1256" t="str">
        <f>VLOOKUP(F1256,'[1]Sheet 1'!$B$2:$E$347,4,FALSE)</f>
        <v>Puerto Montt</v>
      </c>
      <c r="J1256" t="s">
        <v>154</v>
      </c>
      <c r="K1256" s="3" t="s">
        <v>14</v>
      </c>
      <c r="L1256" s="12" t="str">
        <f>VLOOKUP(K1256,[2]Hoja4!$A$2:$C$443,2,FALSE)</f>
        <v>Intentional self-poisoning by and exposure to antiepileptic, sedative-hypnotic, antiparkinsonism and psychotropic drugs, not elsewhere classified</v>
      </c>
      <c r="M1256" s="12" t="str">
        <f>VLOOKUP(K1256,[2]Hoja4!$A$2:$C$443,3,FALSE)</f>
        <v>Unspecified place</v>
      </c>
      <c r="N1256" s="1">
        <v>2.1</v>
      </c>
      <c r="O1256" s="1">
        <v>16</v>
      </c>
      <c r="P1256" s="1">
        <v>9</v>
      </c>
      <c r="Q1256" s="1">
        <v>1010.9</v>
      </c>
      <c r="R1256" s="1">
        <v>0</v>
      </c>
      <c r="S1256" s="1">
        <v>84.8</v>
      </c>
      <c r="T1256" s="5">
        <v>0.1158</v>
      </c>
      <c r="U1256" s="10">
        <v>7.0000000000000001E-3</v>
      </c>
    </row>
    <row r="1257" spans="1:21" customFormat="1">
      <c r="A1257">
        <v>2</v>
      </c>
      <c r="B1257">
        <v>73</v>
      </c>
      <c r="C1257">
        <v>13</v>
      </c>
      <c r="D1257">
        <v>10</v>
      </c>
      <c r="E1257">
        <v>2020</v>
      </c>
      <c r="F1257">
        <v>5401</v>
      </c>
      <c r="G1257" t="str">
        <f>VLOOKUP(F1257,'[1]Sheet 1'!$B$2:$E$347,2,FALSE)</f>
        <v>Valparaíso</v>
      </c>
      <c r="H1257" t="str">
        <f>VLOOKUP(F1257,'[1]Sheet 1'!$B$2:$E$347,3,FALSE)</f>
        <v>Petorca</v>
      </c>
      <c r="I1257" t="str">
        <f>VLOOKUP(F1257,'[1]Sheet 1'!$B$2:$E$347,4,FALSE)</f>
        <v>La Ligua</v>
      </c>
      <c r="J1257" t="s">
        <v>174</v>
      </c>
      <c r="K1257" s="3" t="s">
        <v>6</v>
      </c>
      <c r="L1257" s="12" t="str">
        <f>VLOOKUP(K1257,[2]Hoja4!$A$2:$C$443,2,FALSE)</f>
        <v>Intentional self-harm by sharp object</v>
      </c>
      <c r="M1257" s="12" t="str">
        <f>VLOOKUP(K1257,[2]Hoja4!$A$2:$C$443,3,FALSE)</f>
        <v>At home</v>
      </c>
      <c r="N1257" s="1">
        <v>11.1</v>
      </c>
      <c r="O1257" s="1">
        <v>13.9</v>
      </c>
      <c r="P1257" s="1">
        <v>12.1</v>
      </c>
      <c r="Q1257" s="1">
        <v>1018.4</v>
      </c>
      <c r="R1257" s="1">
        <v>0</v>
      </c>
      <c r="S1257" s="1">
        <v>89.5</v>
      </c>
      <c r="T1257" s="5">
        <v>0.1158</v>
      </c>
      <c r="U1257" s="10">
        <v>7.0000000000000001E-3</v>
      </c>
    </row>
    <row r="1258" spans="1:21" customFormat="1">
      <c r="A1258">
        <v>1</v>
      </c>
      <c r="B1258">
        <v>53</v>
      </c>
      <c r="C1258">
        <v>13</v>
      </c>
      <c r="D1258">
        <v>10</v>
      </c>
      <c r="E1258">
        <v>2020</v>
      </c>
      <c r="F1258">
        <v>13112</v>
      </c>
      <c r="G1258" t="str">
        <f>VLOOKUP(F1258,'[1]Sheet 1'!$B$2:$E$347,2,FALSE)</f>
        <v>Metropolitana de Santiago</v>
      </c>
      <c r="H1258" t="str">
        <f>VLOOKUP(F1258,'[1]Sheet 1'!$B$2:$E$347,3,FALSE)</f>
        <v>Santiago</v>
      </c>
      <c r="I1258" t="str">
        <f>VLOOKUP(F1258,'[1]Sheet 1'!$B$2:$E$347,4,FALSE)</f>
        <v>La Pintana</v>
      </c>
      <c r="J1258" t="s">
        <v>136</v>
      </c>
      <c r="K1258" s="3" t="s">
        <v>0</v>
      </c>
      <c r="L1258" s="12" t="str">
        <f>VLOOKUP(K1258,[2]Hoja4!$A$2:$C$443,2,FALSE)</f>
        <v>Intentional self-harm by hanging, strangulation and suffocation</v>
      </c>
      <c r="M1258" s="12" t="str">
        <f>VLOOKUP(K1258,[2]Hoja4!$A$2:$C$443,3,FALSE)</f>
        <v>Unspecified place</v>
      </c>
      <c r="N1258" s="1">
        <v>8.8000000000000007</v>
      </c>
      <c r="O1258" s="1">
        <v>26.3</v>
      </c>
      <c r="P1258" s="1">
        <v>17.100000000000001</v>
      </c>
      <c r="Q1258" s="1">
        <v>952.6</v>
      </c>
      <c r="R1258" s="1"/>
      <c r="S1258" s="1">
        <v>55.5</v>
      </c>
      <c r="T1258" s="5">
        <v>0.1158</v>
      </c>
      <c r="U1258" s="10">
        <v>7.0000000000000001E-3</v>
      </c>
    </row>
    <row r="1259" spans="1:21" customFormat="1">
      <c r="A1259">
        <v>1</v>
      </c>
      <c r="B1259">
        <v>44</v>
      </c>
      <c r="C1259">
        <v>13</v>
      </c>
      <c r="D1259">
        <v>10</v>
      </c>
      <c r="E1259">
        <v>2020</v>
      </c>
      <c r="F1259">
        <v>13201</v>
      </c>
      <c r="G1259" t="str">
        <f>VLOOKUP(F1259,'[1]Sheet 1'!$B$2:$E$347,2,FALSE)</f>
        <v>Metropolitana de Santiago</v>
      </c>
      <c r="H1259" t="str">
        <f>VLOOKUP(F1259,'[1]Sheet 1'!$B$2:$E$347,3,FALSE)</f>
        <v>Cordillera</v>
      </c>
      <c r="I1259" t="str">
        <f>VLOOKUP(F1259,'[1]Sheet 1'!$B$2:$E$347,4,FALSE)</f>
        <v>Puente Alto</v>
      </c>
      <c r="J1259" t="s">
        <v>136</v>
      </c>
      <c r="K1259" s="3" t="s">
        <v>0</v>
      </c>
      <c r="L1259" s="12" t="str">
        <f>VLOOKUP(K1259,[2]Hoja4!$A$2:$C$443,2,FALSE)</f>
        <v>Intentional self-harm by hanging, strangulation and suffocation</v>
      </c>
      <c r="M1259" s="12" t="str">
        <f>VLOOKUP(K1259,[2]Hoja4!$A$2:$C$443,3,FALSE)</f>
        <v>Unspecified place</v>
      </c>
      <c r="N1259" s="1">
        <v>5.0999999999999996</v>
      </c>
      <c r="O1259" s="1">
        <v>26.5</v>
      </c>
      <c r="P1259" s="1">
        <v>16.8</v>
      </c>
      <c r="Q1259" s="1">
        <v>936.5</v>
      </c>
      <c r="R1259" s="1">
        <v>0</v>
      </c>
      <c r="S1259" s="1">
        <v>57.5</v>
      </c>
      <c r="T1259" s="5">
        <v>0.1158</v>
      </c>
      <c r="U1259" s="10">
        <v>7.0000000000000001E-3</v>
      </c>
    </row>
    <row r="1260" spans="1:21" customFormat="1">
      <c r="A1260">
        <v>1</v>
      </c>
      <c r="B1260">
        <v>20</v>
      </c>
      <c r="C1260">
        <v>13</v>
      </c>
      <c r="D1260">
        <v>10</v>
      </c>
      <c r="E1260">
        <v>2020</v>
      </c>
      <c r="F1260">
        <v>5701</v>
      </c>
      <c r="G1260" t="str">
        <f>VLOOKUP(F1260,'[1]Sheet 1'!$B$2:$E$347,2,FALSE)</f>
        <v>Valparaíso</v>
      </c>
      <c r="H1260" t="str">
        <f>VLOOKUP(F1260,'[1]Sheet 1'!$B$2:$E$347,3,FALSE)</f>
        <v>San Felipe de Aconcagua</v>
      </c>
      <c r="I1260" t="str">
        <f>VLOOKUP(F1260,'[1]Sheet 1'!$B$2:$E$347,4,FALSE)</f>
        <v>San Felipe</v>
      </c>
      <c r="J1260" t="s">
        <v>136</v>
      </c>
      <c r="K1260" s="3" t="s">
        <v>4</v>
      </c>
      <c r="L1260" s="12" t="str">
        <f>VLOOKUP(K1260,[2]Hoja4!$A$2:$C$443,2,FALSE)</f>
        <v>Intentional self-harm by hanging, strangulation and suffocation</v>
      </c>
      <c r="M1260" s="12" t="str">
        <f>VLOOKUP(K1260,[2]Hoja4!$A$2:$C$443,3,FALSE)</f>
        <v>At home</v>
      </c>
      <c r="N1260" s="1">
        <v>8.1</v>
      </c>
      <c r="O1260" s="1">
        <v>28.6</v>
      </c>
      <c r="P1260" s="1">
        <v>17.2</v>
      </c>
      <c r="Q1260" s="1">
        <v>935.9</v>
      </c>
      <c r="R1260" s="1">
        <v>0</v>
      </c>
      <c r="S1260" s="1">
        <v>58.6</v>
      </c>
      <c r="T1260" s="5">
        <v>0.1158</v>
      </c>
      <c r="U1260" s="10">
        <v>7.0000000000000001E-3</v>
      </c>
    </row>
    <row r="1261" spans="1:21" customFormat="1">
      <c r="A1261">
        <v>1</v>
      </c>
      <c r="B1261">
        <v>59</v>
      </c>
      <c r="C1261">
        <v>14</v>
      </c>
      <c r="D1261">
        <v>10</v>
      </c>
      <c r="E1261">
        <v>2020</v>
      </c>
      <c r="F1261">
        <v>8110</v>
      </c>
      <c r="G1261" t="str">
        <f>VLOOKUP(F1261,'[1]Sheet 1'!$B$2:$E$347,2,FALSE)</f>
        <v>Biobío</v>
      </c>
      <c r="H1261" t="str">
        <f>VLOOKUP(F1261,'[1]Sheet 1'!$B$2:$E$347,3,FALSE)</f>
        <v>Concepción</v>
      </c>
      <c r="I1261" t="str">
        <f>VLOOKUP(F1261,'[1]Sheet 1'!$B$2:$E$347,4,FALSE)</f>
        <v>Talcahuano</v>
      </c>
      <c r="J1261" t="s">
        <v>136</v>
      </c>
      <c r="K1261" s="3" t="s">
        <v>4</v>
      </c>
      <c r="L1261" s="12" t="str">
        <f>VLOOKUP(K1261,[2]Hoja4!$A$2:$C$443,2,FALSE)</f>
        <v>Intentional self-harm by hanging, strangulation and suffocation</v>
      </c>
      <c r="M1261" s="12" t="str">
        <f>VLOOKUP(K1261,[2]Hoja4!$A$2:$C$443,3,FALSE)</f>
        <v>At home</v>
      </c>
      <c r="N1261" s="1">
        <v>9.4</v>
      </c>
      <c r="O1261" s="1">
        <v>20.9</v>
      </c>
      <c r="P1261" s="1">
        <v>13.6</v>
      </c>
      <c r="Q1261" s="1">
        <v>1015.3</v>
      </c>
      <c r="R1261" s="1">
        <v>0</v>
      </c>
      <c r="S1261" s="1">
        <v>81.5</v>
      </c>
      <c r="T1261" s="5">
        <v>0.1158</v>
      </c>
      <c r="U1261" s="10">
        <v>7.0000000000000001E-3</v>
      </c>
    </row>
    <row r="1262" spans="1:21" customFormat="1">
      <c r="A1262">
        <v>1</v>
      </c>
      <c r="B1262">
        <v>51</v>
      </c>
      <c r="C1262">
        <v>14</v>
      </c>
      <c r="D1262">
        <v>10</v>
      </c>
      <c r="E1262">
        <v>2020</v>
      </c>
      <c r="F1262">
        <v>8101</v>
      </c>
      <c r="G1262" t="str">
        <f>VLOOKUP(F1262,'[1]Sheet 1'!$B$2:$E$347,2,FALSE)</f>
        <v>Biobío</v>
      </c>
      <c r="H1262" t="str">
        <f>VLOOKUP(F1262,'[1]Sheet 1'!$B$2:$E$347,3,FALSE)</f>
        <v>Concepción</v>
      </c>
      <c r="I1262" t="str">
        <f>VLOOKUP(F1262,'[1]Sheet 1'!$B$2:$E$347,4,FALSE)</f>
        <v>Concepción</v>
      </c>
      <c r="J1262" t="s">
        <v>175</v>
      </c>
      <c r="K1262" s="3" t="s">
        <v>1</v>
      </c>
      <c r="L1262" s="12" t="str">
        <f>VLOOKUP(K1262,[2]Hoja4!$A$2:$C$443,2,FALSE)</f>
        <v>Intentional self-harm by unspecified means</v>
      </c>
      <c r="M1262" s="12" t="str">
        <f>VLOOKUP(K1262,[2]Hoja4!$A$2:$C$443,3,FALSE)</f>
        <v>Unspecified place</v>
      </c>
      <c r="N1262" s="1">
        <v>9.4</v>
      </c>
      <c r="O1262" s="1">
        <v>20.9</v>
      </c>
      <c r="P1262" s="1">
        <v>13.6</v>
      </c>
      <c r="Q1262" s="1">
        <v>1015.3</v>
      </c>
      <c r="R1262" s="1">
        <v>0</v>
      </c>
      <c r="S1262" s="1">
        <v>81.5</v>
      </c>
      <c r="T1262" s="5">
        <v>0.1158</v>
      </c>
      <c r="U1262" s="10">
        <v>7.0000000000000001E-3</v>
      </c>
    </row>
    <row r="1263" spans="1:21" customFormat="1">
      <c r="A1263">
        <v>2</v>
      </c>
      <c r="B1263">
        <v>34</v>
      </c>
      <c r="C1263">
        <v>14</v>
      </c>
      <c r="D1263">
        <v>10</v>
      </c>
      <c r="E1263">
        <v>2020</v>
      </c>
      <c r="F1263">
        <v>5804</v>
      </c>
      <c r="G1263" t="str">
        <f>VLOOKUP(F1263,'[1]Sheet 1'!$B$2:$E$347,2,FALSE)</f>
        <v>Valparaíso</v>
      </c>
      <c r="H1263" t="str">
        <f>VLOOKUP(F1263,'[1]Sheet 1'!$B$2:$E$347,3,FALSE)</f>
        <v>Marga Marga</v>
      </c>
      <c r="I1263" t="str">
        <f>VLOOKUP(F1263,'[1]Sheet 1'!$B$2:$E$347,4,FALSE)</f>
        <v>Villa Alemana</v>
      </c>
      <c r="J1263" t="s">
        <v>136</v>
      </c>
      <c r="K1263" s="3" t="s">
        <v>4</v>
      </c>
      <c r="L1263" s="12" t="str">
        <f>VLOOKUP(K1263,[2]Hoja4!$A$2:$C$443,2,FALSE)</f>
        <v>Intentional self-harm by hanging, strangulation and suffocation</v>
      </c>
      <c r="M1263" s="12" t="str">
        <f>VLOOKUP(K1263,[2]Hoja4!$A$2:$C$443,3,FALSE)</f>
        <v>At home</v>
      </c>
      <c r="N1263" s="1">
        <v>11</v>
      </c>
      <c r="O1263" s="1">
        <v>17.600000000000001</v>
      </c>
      <c r="P1263" s="1">
        <v>13.2</v>
      </c>
      <c r="Q1263" s="1">
        <v>1014.5</v>
      </c>
      <c r="R1263" s="1">
        <v>0</v>
      </c>
      <c r="S1263" s="1">
        <v>82.1</v>
      </c>
      <c r="T1263" s="5">
        <v>0.1158</v>
      </c>
      <c r="U1263" s="10">
        <v>7.0000000000000001E-3</v>
      </c>
    </row>
    <row r="1264" spans="1:21" customFormat="1">
      <c r="A1264">
        <v>1</v>
      </c>
      <c r="B1264">
        <v>22</v>
      </c>
      <c r="C1264">
        <v>14</v>
      </c>
      <c r="D1264">
        <v>10</v>
      </c>
      <c r="E1264">
        <v>2020</v>
      </c>
      <c r="F1264">
        <v>3102</v>
      </c>
      <c r="G1264" t="str">
        <f>VLOOKUP(F1264,'[1]Sheet 1'!$B$2:$E$347,2,FALSE)</f>
        <v>Atacama</v>
      </c>
      <c r="H1264" t="str">
        <f>VLOOKUP(F1264,'[1]Sheet 1'!$B$2:$E$347,3,FALSE)</f>
        <v>Copiapó</v>
      </c>
      <c r="I1264" t="str">
        <f>VLOOKUP(F1264,'[1]Sheet 1'!$B$2:$E$347,4,FALSE)</f>
        <v>Caldera</v>
      </c>
      <c r="J1264" t="s">
        <v>136</v>
      </c>
      <c r="K1264" s="3" t="s">
        <v>4</v>
      </c>
      <c r="L1264" s="12" t="str">
        <f>VLOOKUP(K1264,[2]Hoja4!$A$2:$C$443,2,FALSE)</f>
        <v>Intentional self-harm by hanging, strangulation and suffocation</v>
      </c>
      <c r="M1264" s="12" t="str">
        <f>VLOOKUP(K1264,[2]Hoja4!$A$2:$C$443,3,FALSE)</f>
        <v>At home</v>
      </c>
      <c r="N1264" s="1">
        <v>12.7</v>
      </c>
      <c r="O1264" s="1">
        <v>19.399999999999999</v>
      </c>
      <c r="P1264" s="1">
        <v>14.8</v>
      </c>
      <c r="Q1264" s="1">
        <v>991.9</v>
      </c>
      <c r="R1264" s="1">
        <v>0</v>
      </c>
      <c r="S1264" s="1">
        <v>67.8</v>
      </c>
      <c r="T1264" s="5">
        <v>0.1158</v>
      </c>
      <c r="U1264" s="10">
        <v>7.0000000000000001E-3</v>
      </c>
    </row>
    <row r="1265" spans="1:21" customFormat="1">
      <c r="A1265">
        <v>1</v>
      </c>
      <c r="B1265">
        <v>83</v>
      </c>
      <c r="C1265">
        <v>15</v>
      </c>
      <c r="D1265">
        <v>10</v>
      </c>
      <c r="E1265">
        <v>2020</v>
      </c>
      <c r="F1265">
        <v>12401</v>
      </c>
      <c r="G1265" t="str">
        <f>VLOOKUP(F1265,'[1]Sheet 1'!$B$2:$E$347,2,FALSE)</f>
        <v>Magallanes y de la Antártica Chilena</v>
      </c>
      <c r="H1265" t="str">
        <f>VLOOKUP(F1265,'[1]Sheet 1'!$B$2:$E$347,3,FALSE)</f>
        <v>Última Esperanza</v>
      </c>
      <c r="I1265" t="str">
        <f>VLOOKUP(F1265,'[1]Sheet 1'!$B$2:$E$347,4,FALSE)</f>
        <v>Natales</v>
      </c>
      <c r="J1265" t="s">
        <v>136</v>
      </c>
      <c r="K1265" s="3" t="s">
        <v>4</v>
      </c>
      <c r="L1265" s="12" t="str">
        <f>VLOOKUP(K1265,[2]Hoja4!$A$2:$C$443,2,FALSE)</f>
        <v>Intentional self-harm by hanging, strangulation and suffocation</v>
      </c>
      <c r="M1265" s="12" t="str">
        <f>VLOOKUP(K1265,[2]Hoja4!$A$2:$C$443,3,FALSE)</f>
        <v>At home</v>
      </c>
      <c r="N1265" s="1">
        <v>9.1</v>
      </c>
      <c r="O1265" s="1">
        <v>14.6</v>
      </c>
      <c r="P1265" s="1">
        <v>11.9</v>
      </c>
      <c r="Q1265" s="1">
        <v>993</v>
      </c>
      <c r="R1265" s="1">
        <v>0</v>
      </c>
      <c r="S1265" s="1">
        <v>47.5</v>
      </c>
      <c r="T1265" s="5">
        <v>0.1158</v>
      </c>
      <c r="U1265" s="10">
        <v>7.0000000000000001E-3</v>
      </c>
    </row>
    <row r="1266" spans="1:21" customFormat="1">
      <c r="A1266">
        <v>1</v>
      </c>
      <c r="B1266">
        <v>42</v>
      </c>
      <c r="C1266">
        <v>15</v>
      </c>
      <c r="D1266">
        <v>10</v>
      </c>
      <c r="E1266">
        <v>2020</v>
      </c>
      <c r="F1266">
        <v>5101</v>
      </c>
      <c r="G1266" t="str">
        <f>VLOOKUP(F1266,'[1]Sheet 1'!$B$2:$E$347,2,FALSE)</f>
        <v>Valparaíso</v>
      </c>
      <c r="H1266" t="str">
        <f>VLOOKUP(F1266,'[1]Sheet 1'!$B$2:$E$347,3,FALSE)</f>
        <v>Valparaíso</v>
      </c>
      <c r="I1266" t="str">
        <f>VLOOKUP(F1266,'[1]Sheet 1'!$B$2:$E$347,4,FALSE)</f>
        <v>Valparaíso</v>
      </c>
      <c r="J1266" t="s">
        <v>136</v>
      </c>
      <c r="K1266" s="3" t="s">
        <v>0</v>
      </c>
      <c r="L1266" s="12" t="str">
        <f>VLOOKUP(K1266,[2]Hoja4!$A$2:$C$443,2,FALSE)</f>
        <v>Intentional self-harm by hanging, strangulation and suffocation</v>
      </c>
      <c r="M1266" s="12" t="str">
        <f>VLOOKUP(K1266,[2]Hoja4!$A$2:$C$443,3,FALSE)</f>
        <v>Unspecified place</v>
      </c>
      <c r="N1266" s="1">
        <v>7.5</v>
      </c>
      <c r="O1266" s="1" t="s">
        <v>98</v>
      </c>
      <c r="P1266" s="1">
        <v>10.4</v>
      </c>
      <c r="Q1266" s="1">
        <v>974.8</v>
      </c>
      <c r="R1266" s="1">
        <v>1.3</v>
      </c>
      <c r="S1266" s="1">
        <v>96.2</v>
      </c>
      <c r="T1266" s="5">
        <v>0.1158</v>
      </c>
      <c r="U1266" s="10">
        <v>7.0000000000000001E-3</v>
      </c>
    </row>
    <row r="1267" spans="1:21" customFormat="1">
      <c r="A1267">
        <v>2</v>
      </c>
      <c r="B1267">
        <v>36</v>
      </c>
      <c r="C1267">
        <v>15</v>
      </c>
      <c r="D1267">
        <v>10</v>
      </c>
      <c r="E1267">
        <v>2020</v>
      </c>
      <c r="F1267">
        <v>13115</v>
      </c>
      <c r="G1267" t="str">
        <f>VLOOKUP(F1267,'[1]Sheet 1'!$B$2:$E$347,2,FALSE)</f>
        <v>Metropolitana de Santiago</v>
      </c>
      <c r="H1267" t="str">
        <f>VLOOKUP(F1267,'[1]Sheet 1'!$B$2:$E$347,3,FALSE)</f>
        <v>Santiago</v>
      </c>
      <c r="I1267" t="str">
        <f>VLOOKUP(F1267,'[1]Sheet 1'!$B$2:$E$347,4,FALSE)</f>
        <v>Lo Barnechea</v>
      </c>
      <c r="J1267" t="s">
        <v>136</v>
      </c>
      <c r="K1267" s="3" t="s">
        <v>0</v>
      </c>
      <c r="L1267" s="12" t="str">
        <f>VLOOKUP(K1267,[2]Hoja4!$A$2:$C$443,2,FALSE)</f>
        <v>Intentional self-harm by hanging, strangulation and suffocation</v>
      </c>
      <c r="M1267" s="12" t="str">
        <f>VLOOKUP(K1267,[2]Hoja4!$A$2:$C$443,3,FALSE)</f>
        <v>Unspecified place</v>
      </c>
      <c r="N1267" s="1">
        <v>9.5</v>
      </c>
      <c r="O1267" s="1">
        <v>30.6</v>
      </c>
      <c r="P1267" s="1">
        <v>18.5</v>
      </c>
      <c r="Q1267" s="1">
        <v>952.3</v>
      </c>
      <c r="R1267" s="1"/>
      <c r="S1267" s="1">
        <v>59</v>
      </c>
      <c r="T1267" s="5">
        <v>0.1158</v>
      </c>
      <c r="U1267" s="10">
        <v>7.0000000000000001E-3</v>
      </c>
    </row>
    <row r="1268" spans="1:21" customFormat="1">
      <c r="A1268">
        <v>1</v>
      </c>
      <c r="B1268">
        <v>17</v>
      </c>
      <c r="C1268">
        <v>15</v>
      </c>
      <c r="D1268">
        <v>10</v>
      </c>
      <c r="E1268">
        <v>2020</v>
      </c>
      <c r="F1268">
        <v>7404</v>
      </c>
      <c r="G1268" t="str">
        <f>VLOOKUP(F1268,'[1]Sheet 1'!$B$2:$E$347,2,FALSE)</f>
        <v>Maule</v>
      </c>
      <c r="H1268" t="str">
        <f>VLOOKUP(F1268,'[1]Sheet 1'!$B$2:$E$347,3,FALSE)</f>
        <v>Linares</v>
      </c>
      <c r="I1268" t="str">
        <f>VLOOKUP(F1268,'[1]Sheet 1'!$B$2:$E$347,4,FALSE)</f>
        <v>Parral</v>
      </c>
      <c r="J1268" t="s">
        <v>136</v>
      </c>
      <c r="K1268" s="3" t="s">
        <v>4</v>
      </c>
      <c r="L1268" s="12" t="str">
        <f>VLOOKUP(K1268,[2]Hoja4!$A$2:$C$443,2,FALSE)</f>
        <v>Intentional self-harm by hanging, strangulation and suffocation</v>
      </c>
      <c r="M1268" s="12" t="str">
        <f>VLOOKUP(K1268,[2]Hoja4!$A$2:$C$443,3,FALSE)</f>
        <v>At home</v>
      </c>
      <c r="N1268" s="1"/>
      <c r="O1268" s="1">
        <v>26.3</v>
      </c>
      <c r="P1268" s="1">
        <v>16.7</v>
      </c>
      <c r="Q1268" s="1">
        <v>993.9</v>
      </c>
      <c r="R1268" s="1">
        <v>0</v>
      </c>
      <c r="S1268" s="1">
        <v>76.599999999999994</v>
      </c>
      <c r="T1268" s="5">
        <v>0.1158</v>
      </c>
      <c r="U1268" s="10">
        <v>7.0000000000000001E-3</v>
      </c>
    </row>
    <row r="1269" spans="1:21" customFormat="1">
      <c r="A1269">
        <v>1</v>
      </c>
      <c r="B1269">
        <v>25</v>
      </c>
      <c r="C1269">
        <v>15</v>
      </c>
      <c r="D1269">
        <v>10</v>
      </c>
      <c r="E1269">
        <v>2020</v>
      </c>
      <c r="F1269">
        <v>10101</v>
      </c>
      <c r="G1269" t="str">
        <f>VLOOKUP(F1269,'[1]Sheet 1'!$B$2:$E$347,2,FALSE)</f>
        <v>Los Lagos</v>
      </c>
      <c r="H1269" t="str">
        <f>VLOOKUP(F1269,'[1]Sheet 1'!$B$2:$E$347,3,FALSE)</f>
        <v>Llanquihue</v>
      </c>
      <c r="I1269" t="str">
        <f>VLOOKUP(F1269,'[1]Sheet 1'!$B$2:$E$347,4,FALSE)</f>
        <v>Puerto Montt</v>
      </c>
      <c r="J1269" t="s">
        <v>136</v>
      </c>
      <c r="K1269" s="3" t="s">
        <v>4</v>
      </c>
      <c r="L1269" s="12" t="str">
        <f>VLOOKUP(K1269,[2]Hoja4!$A$2:$C$443,2,FALSE)</f>
        <v>Intentional self-harm by hanging, strangulation and suffocation</v>
      </c>
      <c r="M1269" s="12" t="str">
        <f>VLOOKUP(K1269,[2]Hoja4!$A$2:$C$443,3,FALSE)</f>
        <v>At home</v>
      </c>
      <c r="N1269" s="1">
        <v>2.1</v>
      </c>
      <c r="O1269" s="1">
        <v>18.3</v>
      </c>
      <c r="P1269" s="1">
        <v>9.6</v>
      </c>
      <c r="Q1269" s="1">
        <v>1006.8</v>
      </c>
      <c r="R1269" s="1">
        <v>0</v>
      </c>
      <c r="S1269" s="1">
        <v>78</v>
      </c>
      <c r="T1269" s="5">
        <v>0.1158</v>
      </c>
      <c r="U1269" s="10">
        <v>7.0000000000000001E-3</v>
      </c>
    </row>
    <row r="1270" spans="1:21" customFormat="1">
      <c r="A1270">
        <v>1</v>
      </c>
      <c r="B1270">
        <v>78</v>
      </c>
      <c r="C1270">
        <v>16</v>
      </c>
      <c r="D1270">
        <v>10</v>
      </c>
      <c r="E1270">
        <v>2020</v>
      </c>
      <c r="F1270">
        <v>14101</v>
      </c>
      <c r="G1270" t="str">
        <f>VLOOKUP(F1270,'[1]Sheet 1'!$B$2:$E$347,2,FALSE)</f>
        <v>Los Ríos</v>
      </c>
      <c r="H1270" t="str">
        <f>VLOOKUP(F1270,'[1]Sheet 1'!$B$2:$E$347,3,FALSE)</f>
        <v>Valdivia</v>
      </c>
      <c r="I1270" t="str">
        <f>VLOOKUP(F1270,'[1]Sheet 1'!$B$2:$E$347,4,FALSE)</f>
        <v>Valdivia</v>
      </c>
      <c r="J1270" t="s">
        <v>136</v>
      </c>
      <c r="K1270" s="3" t="s">
        <v>4</v>
      </c>
      <c r="L1270" s="12" t="str">
        <f>VLOOKUP(K1270,[2]Hoja4!$A$2:$C$443,2,FALSE)</f>
        <v>Intentional self-harm by hanging, strangulation and suffocation</v>
      </c>
      <c r="M1270" s="12" t="str">
        <f>VLOOKUP(K1270,[2]Hoja4!$A$2:$C$443,3,FALSE)</f>
        <v>At home</v>
      </c>
      <c r="N1270" s="1">
        <v>0.1</v>
      </c>
      <c r="O1270" s="1">
        <v>23.3</v>
      </c>
      <c r="P1270" s="1">
        <v>10.6</v>
      </c>
      <c r="Q1270" s="1">
        <v>1013.3</v>
      </c>
      <c r="R1270" s="1">
        <v>0</v>
      </c>
      <c r="S1270" s="1">
        <v>82</v>
      </c>
      <c r="T1270" s="5">
        <v>0.1158</v>
      </c>
      <c r="U1270" s="10">
        <v>7.0000000000000001E-3</v>
      </c>
    </row>
    <row r="1271" spans="1:21" customFormat="1">
      <c r="A1271">
        <v>1</v>
      </c>
      <c r="B1271">
        <v>73</v>
      </c>
      <c r="C1271">
        <v>16</v>
      </c>
      <c r="D1271">
        <v>10</v>
      </c>
      <c r="E1271">
        <v>2020</v>
      </c>
      <c r="F1271">
        <v>8301</v>
      </c>
      <c r="G1271" t="str">
        <f>VLOOKUP(F1271,'[1]Sheet 1'!$B$2:$E$347,2,FALSE)</f>
        <v>Biobío</v>
      </c>
      <c r="H1271" t="str">
        <f>VLOOKUP(F1271,'[1]Sheet 1'!$B$2:$E$347,3,FALSE)</f>
        <v>Biobío</v>
      </c>
      <c r="I1271" t="str">
        <f>VLOOKUP(F1271,'[1]Sheet 1'!$B$2:$E$347,4,FALSE)</f>
        <v>Los Angeles</v>
      </c>
      <c r="J1271" t="s">
        <v>136</v>
      </c>
      <c r="K1271" s="3" t="s">
        <v>0</v>
      </c>
      <c r="L1271" s="12" t="str">
        <f>VLOOKUP(K1271,[2]Hoja4!$A$2:$C$443,2,FALSE)</f>
        <v>Intentional self-harm by hanging, strangulation and suffocation</v>
      </c>
      <c r="M1271" s="12" t="str">
        <f>VLOOKUP(K1271,[2]Hoja4!$A$2:$C$443,3,FALSE)</f>
        <v>Unspecified place</v>
      </c>
      <c r="N1271" s="1">
        <v>12</v>
      </c>
      <c r="O1271" s="1">
        <v>25</v>
      </c>
      <c r="P1271" s="1">
        <v>18.5</v>
      </c>
      <c r="Q1271" s="1">
        <v>1002.5</v>
      </c>
      <c r="R1271" s="1">
        <v>0</v>
      </c>
      <c r="S1271" s="1">
        <v>81.2</v>
      </c>
      <c r="T1271" s="5">
        <v>0.1158</v>
      </c>
      <c r="U1271" s="10">
        <v>7.0000000000000001E-3</v>
      </c>
    </row>
    <row r="1272" spans="1:21" customFormat="1">
      <c r="A1272">
        <v>2</v>
      </c>
      <c r="B1272">
        <v>61</v>
      </c>
      <c r="C1272">
        <v>16</v>
      </c>
      <c r="D1272">
        <v>10</v>
      </c>
      <c r="E1272">
        <v>2020</v>
      </c>
      <c r="F1272">
        <v>13128</v>
      </c>
      <c r="G1272" t="str">
        <f>VLOOKUP(F1272,'[1]Sheet 1'!$B$2:$E$347,2,FALSE)</f>
        <v>Metropolitana de Santiago</v>
      </c>
      <c r="H1272" t="str">
        <f>VLOOKUP(F1272,'[1]Sheet 1'!$B$2:$E$347,3,FALSE)</f>
        <v>Santiago</v>
      </c>
      <c r="I1272" t="str">
        <f>VLOOKUP(F1272,'[1]Sheet 1'!$B$2:$E$347,4,FALSE)</f>
        <v>Renca</v>
      </c>
      <c r="J1272" t="s">
        <v>136</v>
      </c>
      <c r="K1272" s="3" t="s">
        <v>0</v>
      </c>
      <c r="L1272" s="12" t="str">
        <f>VLOOKUP(K1272,[2]Hoja4!$A$2:$C$443,2,FALSE)</f>
        <v>Intentional self-harm by hanging, strangulation and suffocation</v>
      </c>
      <c r="M1272" s="12" t="str">
        <f>VLOOKUP(K1272,[2]Hoja4!$A$2:$C$443,3,FALSE)</f>
        <v>Unspecified place</v>
      </c>
      <c r="N1272" s="1">
        <v>9.1999999999999993</v>
      </c>
      <c r="O1272" s="1">
        <v>24.3</v>
      </c>
      <c r="P1272" s="1">
        <v>16.3</v>
      </c>
      <c r="Q1272" s="1">
        <v>956.4</v>
      </c>
      <c r="R1272" s="1"/>
      <c r="S1272" s="1">
        <v>77.5</v>
      </c>
      <c r="T1272" s="5">
        <v>0.1158</v>
      </c>
      <c r="U1272" s="10">
        <v>7.0000000000000001E-3</v>
      </c>
    </row>
    <row r="1273" spans="1:21" customFormat="1">
      <c r="A1273">
        <v>1</v>
      </c>
      <c r="B1273">
        <v>56</v>
      </c>
      <c r="C1273">
        <v>16</v>
      </c>
      <c r="D1273">
        <v>10</v>
      </c>
      <c r="E1273">
        <v>2020</v>
      </c>
      <c r="F1273">
        <v>11201</v>
      </c>
      <c r="G1273" t="str">
        <f>VLOOKUP(F1273,'[1]Sheet 1'!$B$2:$E$347,2,FALSE)</f>
        <v>Aysén del General Carlos Ibáñez del Campo</v>
      </c>
      <c r="H1273" t="str">
        <f>VLOOKUP(F1273,'[1]Sheet 1'!$B$2:$E$347,3,FALSE)</f>
        <v>Aisén</v>
      </c>
      <c r="I1273" t="str">
        <f>VLOOKUP(F1273,'[1]Sheet 1'!$B$2:$E$347,4,FALSE)</f>
        <v>Aisén</v>
      </c>
      <c r="J1273" t="s">
        <v>136</v>
      </c>
      <c r="K1273" s="3" t="s">
        <v>4</v>
      </c>
      <c r="L1273" s="12" t="str">
        <f>VLOOKUP(K1273,[2]Hoja4!$A$2:$C$443,2,FALSE)</f>
        <v>Intentional self-harm by hanging, strangulation and suffocation</v>
      </c>
      <c r="M1273" s="12" t="str">
        <f>VLOOKUP(K1273,[2]Hoja4!$A$2:$C$443,3,FALSE)</f>
        <v>At home</v>
      </c>
      <c r="N1273" s="1">
        <v>2.9</v>
      </c>
      <c r="O1273" s="1">
        <v>14</v>
      </c>
      <c r="P1273" s="1">
        <v>11.2</v>
      </c>
      <c r="Q1273" s="1">
        <v>1013.1</v>
      </c>
      <c r="R1273" s="1">
        <v>0</v>
      </c>
      <c r="S1273" s="1">
        <v>76.5</v>
      </c>
      <c r="T1273" s="5">
        <v>0.1158</v>
      </c>
      <c r="U1273" s="10">
        <v>7.0000000000000001E-3</v>
      </c>
    </row>
    <row r="1274" spans="1:21" customFormat="1">
      <c r="A1274">
        <v>1</v>
      </c>
      <c r="B1274">
        <v>38</v>
      </c>
      <c r="C1274">
        <v>16</v>
      </c>
      <c r="D1274">
        <v>10</v>
      </c>
      <c r="E1274">
        <v>2020</v>
      </c>
      <c r="F1274">
        <v>13302</v>
      </c>
      <c r="G1274" t="str">
        <f>VLOOKUP(F1274,'[1]Sheet 1'!$B$2:$E$347,2,FALSE)</f>
        <v>Metropolitana de Santiago</v>
      </c>
      <c r="H1274" t="str">
        <f>VLOOKUP(F1274,'[1]Sheet 1'!$B$2:$E$347,3,FALSE)</f>
        <v>Chacabuco</v>
      </c>
      <c r="I1274" t="str">
        <f>VLOOKUP(F1274,'[1]Sheet 1'!$B$2:$E$347,4,FALSE)</f>
        <v>Lampa</v>
      </c>
      <c r="J1274" t="s">
        <v>136</v>
      </c>
      <c r="K1274" s="3" t="s">
        <v>13</v>
      </c>
      <c r="L1274" s="12" t="str">
        <f>VLOOKUP(K1274,[2]Hoja4!$A$2:$C$443,2,FALSE)</f>
        <v>Intentional self-harm by hanging, strangulation and suffocation</v>
      </c>
      <c r="M1274" s="12" t="str">
        <f>VLOOKUP(K1274,[2]Hoja4!$A$2:$C$443,3,FALSE)</f>
        <v>Other specified places</v>
      </c>
      <c r="N1274" s="1">
        <v>9.6999999999999993</v>
      </c>
      <c r="O1274" s="1">
        <v>27.4</v>
      </c>
      <c r="P1274" s="1">
        <v>18.7</v>
      </c>
      <c r="Q1274" s="1">
        <v>937.9</v>
      </c>
      <c r="R1274" s="1"/>
      <c r="S1274" s="1">
        <v>56.5</v>
      </c>
      <c r="T1274" s="5">
        <v>0.1158</v>
      </c>
      <c r="U1274" s="10">
        <v>7.0000000000000001E-3</v>
      </c>
    </row>
    <row r="1275" spans="1:21" customFormat="1">
      <c r="A1275">
        <v>1</v>
      </c>
      <c r="B1275">
        <v>37</v>
      </c>
      <c r="C1275">
        <v>16</v>
      </c>
      <c r="D1275">
        <v>10</v>
      </c>
      <c r="E1275">
        <v>2020</v>
      </c>
      <c r="F1275">
        <v>13125</v>
      </c>
      <c r="G1275" t="str">
        <f>VLOOKUP(F1275,'[1]Sheet 1'!$B$2:$E$347,2,FALSE)</f>
        <v>Metropolitana de Santiago</v>
      </c>
      <c r="H1275" t="str">
        <f>VLOOKUP(F1275,'[1]Sheet 1'!$B$2:$E$347,3,FALSE)</f>
        <v>Santiago</v>
      </c>
      <c r="I1275" t="str">
        <f>VLOOKUP(F1275,'[1]Sheet 1'!$B$2:$E$347,4,FALSE)</f>
        <v>Quilicura</v>
      </c>
      <c r="J1275" t="s">
        <v>136</v>
      </c>
      <c r="K1275" s="3" t="s">
        <v>0</v>
      </c>
      <c r="L1275" s="12" t="str">
        <f>VLOOKUP(K1275,[2]Hoja4!$A$2:$C$443,2,FALSE)</f>
        <v>Intentional self-harm by hanging, strangulation and suffocation</v>
      </c>
      <c r="M1275" s="12" t="str">
        <f>VLOOKUP(K1275,[2]Hoja4!$A$2:$C$443,3,FALSE)</f>
        <v>Unspecified place</v>
      </c>
      <c r="N1275" s="1">
        <v>9.1999999999999993</v>
      </c>
      <c r="O1275" s="1">
        <v>24.3</v>
      </c>
      <c r="P1275" s="1">
        <v>16.3</v>
      </c>
      <c r="Q1275" s="1">
        <v>956.4</v>
      </c>
      <c r="R1275" s="1"/>
      <c r="S1275" s="1">
        <v>77.5</v>
      </c>
      <c r="T1275" s="5">
        <v>0.1158</v>
      </c>
      <c r="U1275" s="10">
        <v>7.0000000000000001E-3</v>
      </c>
    </row>
    <row r="1276" spans="1:21" customFormat="1">
      <c r="A1276">
        <v>1</v>
      </c>
      <c r="B1276">
        <v>31</v>
      </c>
      <c r="C1276">
        <v>16</v>
      </c>
      <c r="D1276">
        <v>10</v>
      </c>
      <c r="E1276">
        <v>2020</v>
      </c>
      <c r="F1276">
        <v>5101</v>
      </c>
      <c r="G1276" t="str">
        <f>VLOOKUP(F1276,'[1]Sheet 1'!$B$2:$E$347,2,FALSE)</f>
        <v>Valparaíso</v>
      </c>
      <c r="H1276" t="str">
        <f>VLOOKUP(F1276,'[1]Sheet 1'!$B$2:$E$347,3,FALSE)</f>
        <v>Valparaíso</v>
      </c>
      <c r="I1276" t="str">
        <f>VLOOKUP(F1276,'[1]Sheet 1'!$B$2:$E$347,4,FALSE)</f>
        <v>Valparaíso</v>
      </c>
      <c r="J1276" t="s">
        <v>136</v>
      </c>
      <c r="K1276" s="3" t="s">
        <v>0</v>
      </c>
      <c r="L1276" s="12" t="str">
        <f>VLOOKUP(K1276,[2]Hoja4!$A$2:$C$443,2,FALSE)</f>
        <v>Intentional self-harm by hanging, strangulation and suffocation</v>
      </c>
      <c r="M1276" s="12" t="str">
        <f>VLOOKUP(K1276,[2]Hoja4!$A$2:$C$443,3,FALSE)</f>
        <v>Unspecified place</v>
      </c>
      <c r="N1276" s="1">
        <v>9.1999999999999993</v>
      </c>
      <c r="O1276" s="1">
        <v>14.1</v>
      </c>
      <c r="P1276" s="1">
        <v>10.5</v>
      </c>
      <c r="Q1276" s="1">
        <v>978.4</v>
      </c>
      <c r="R1276" s="1">
        <v>1</v>
      </c>
      <c r="S1276" s="1">
        <v>100</v>
      </c>
      <c r="T1276" s="5">
        <v>0.1158</v>
      </c>
      <c r="U1276" s="10">
        <v>7.0000000000000001E-3</v>
      </c>
    </row>
    <row r="1277" spans="1:21" customFormat="1">
      <c r="A1277">
        <v>1</v>
      </c>
      <c r="B1277">
        <v>70</v>
      </c>
      <c r="C1277">
        <v>17</v>
      </c>
      <c r="D1277">
        <v>10</v>
      </c>
      <c r="E1277">
        <v>2020</v>
      </c>
      <c r="F1277">
        <v>13301</v>
      </c>
      <c r="G1277" t="str">
        <f>VLOOKUP(F1277,'[1]Sheet 1'!$B$2:$E$347,2,FALSE)</f>
        <v>Metropolitana de Santiago</v>
      </c>
      <c r="H1277" t="str">
        <f>VLOOKUP(F1277,'[1]Sheet 1'!$B$2:$E$347,3,FALSE)</f>
        <v>Chacabuco</v>
      </c>
      <c r="I1277" t="str">
        <f>VLOOKUP(F1277,'[1]Sheet 1'!$B$2:$E$347,4,FALSE)</f>
        <v>Colina</v>
      </c>
      <c r="J1277" t="s">
        <v>142</v>
      </c>
      <c r="K1277" s="3" t="s">
        <v>5</v>
      </c>
      <c r="L1277" s="12" t="str">
        <f>VLOOKUP(K1277,[2]Hoja4!$A$2:$C$443,2,FALSE)</f>
        <v>Intentional self-harm by other and unspecified firearm discharge</v>
      </c>
      <c r="M1277" s="12" t="str">
        <f>VLOOKUP(K1277,[2]Hoja4!$A$2:$C$443,3,FALSE)</f>
        <v>At home</v>
      </c>
      <c r="N1277" s="1">
        <v>8</v>
      </c>
      <c r="O1277" s="1">
        <v>30.3</v>
      </c>
      <c r="P1277" s="1">
        <v>19</v>
      </c>
      <c r="Q1277" s="1">
        <v>936</v>
      </c>
      <c r="R1277" s="1"/>
      <c r="S1277" s="1">
        <v>43</v>
      </c>
      <c r="T1277" s="5">
        <v>0.1158</v>
      </c>
      <c r="U1277" s="10">
        <v>7.0000000000000001E-3</v>
      </c>
    </row>
    <row r="1278" spans="1:21" customFormat="1">
      <c r="A1278">
        <v>2</v>
      </c>
      <c r="B1278">
        <v>63</v>
      </c>
      <c r="C1278">
        <v>17</v>
      </c>
      <c r="D1278">
        <v>10</v>
      </c>
      <c r="E1278">
        <v>2020</v>
      </c>
      <c r="F1278">
        <v>5101</v>
      </c>
      <c r="G1278" t="str">
        <f>VLOOKUP(F1278,'[1]Sheet 1'!$B$2:$E$347,2,FALSE)</f>
        <v>Valparaíso</v>
      </c>
      <c r="H1278" t="str">
        <f>VLOOKUP(F1278,'[1]Sheet 1'!$B$2:$E$347,3,FALSE)</f>
        <v>Valparaíso</v>
      </c>
      <c r="I1278" t="str">
        <f>VLOOKUP(F1278,'[1]Sheet 1'!$B$2:$E$347,4,FALSE)</f>
        <v>Valparaíso</v>
      </c>
      <c r="J1278" t="s">
        <v>136</v>
      </c>
      <c r="K1278" s="3" t="s">
        <v>4</v>
      </c>
      <c r="L1278" s="12" t="str">
        <f>VLOOKUP(K1278,[2]Hoja4!$A$2:$C$443,2,FALSE)</f>
        <v>Intentional self-harm by hanging, strangulation and suffocation</v>
      </c>
      <c r="M1278" s="12" t="str">
        <f>VLOOKUP(K1278,[2]Hoja4!$A$2:$C$443,3,FALSE)</f>
        <v>At home</v>
      </c>
      <c r="N1278" s="1">
        <v>8.9</v>
      </c>
      <c r="O1278" s="1">
        <v>19.5</v>
      </c>
      <c r="P1278" s="1">
        <v>11.8</v>
      </c>
      <c r="Q1278" s="1">
        <v>976.3</v>
      </c>
      <c r="R1278" s="1">
        <v>0</v>
      </c>
      <c r="S1278" s="1">
        <v>98</v>
      </c>
      <c r="T1278" s="5">
        <v>0.1158</v>
      </c>
      <c r="U1278" s="10">
        <v>7.0000000000000001E-3</v>
      </c>
    </row>
    <row r="1279" spans="1:21" customFormat="1">
      <c r="A1279">
        <v>1</v>
      </c>
      <c r="B1279">
        <v>49</v>
      </c>
      <c r="C1279">
        <v>17</v>
      </c>
      <c r="D1279">
        <v>10</v>
      </c>
      <c r="E1279">
        <v>2020</v>
      </c>
      <c r="F1279">
        <v>9105</v>
      </c>
      <c r="G1279" t="str">
        <f>VLOOKUP(F1279,'[1]Sheet 1'!$B$2:$E$347,2,FALSE)</f>
        <v>La Araucanía</v>
      </c>
      <c r="H1279" t="str">
        <f>VLOOKUP(F1279,'[1]Sheet 1'!$B$2:$E$347,3,FALSE)</f>
        <v>Cautín</v>
      </c>
      <c r="I1279" t="str">
        <f>VLOOKUP(F1279,'[1]Sheet 1'!$B$2:$E$347,4,FALSE)</f>
        <v>Freire</v>
      </c>
      <c r="J1279" t="s">
        <v>136</v>
      </c>
      <c r="K1279" s="3" t="s">
        <v>0</v>
      </c>
      <c r="L1279" s="12" t="str">
        <f>VLOOKUP(K1279,[2]Hoja4!$A$2:$C$443,2,FALSE)</f>
        <v>Intentional self-harm by hanging, strangulation and suffocation</v>
      </c>
      <c r="M1279" s="12" t="str">
        <f>VLOOKUP(K1279,[2]Hoja4!$A$2:$C$443,3,FALSE)</f>
        <v>Unspecified place</v>
      </c>
      <c r="N1279" s="1">
        <v>10.3</v>
      </c>
      <c r="O1279" s="1">
        <v>16.5</v>
      </c>
      <c r="P1279" s="1">
        <v>11.7</v>
      </c>
      <c r="Q1279" s="1">
        <v>1003.8</v>
      </c>
      <c r="R1279" s="1">
        <v>0.4</v>
      </c>
      <c r="S1279" s="1">
        <v>93.8</v>
      </c>
      <c r="T1279" s="5">
        <v>0.1158</v>
      </c>
      <c r="U1279" s="10">
        <v>7.0000000000000001E-3</v>
      </c>
    </row>
    <row r="1280" spans="1:21" customFormat="1">
      <c r="A1280">
        <v>2</v>
      </c>
      <c r="B1280">
        <v>62</v>
      </c>
      <c r="C1280">
        <v>17</v>
      </c>
      <c r="D1280">
        <v>10</v>
      </c>
      <c r="E1280">
        <v>2020</v>
      </c>
      <c r="F1280">
        <v>5501</v>
      </c>
      <c r="G1280" t="str">
        <f>VLOOKUP(F1280,'[1]Sheet 1'!$B$2:$E$347,2,FALSE)</f>
        <v>Valparaíso</v>
      </c>
      <c r="H1280" t="str">
        <f>VLOOKUP(F1280,'[1]Sheet 1'!$B$2:$E$347,3,FALSE)</f>
        <v>Quillota</v>
      </c>
      <c r="I1280" t="str">
        <f>VLOOKUP(F1280,'[1]Sheet 1'!$B$2:$E$347,4,FALSE)</f>
        <v>Quillota</v>
      </c>
      <c r="J1280" t="s">
        <v>136</v>
      </c>
      <c r="K1280" s="3" t="s">
        <v>4</v>
      </c>
      <c r="L1280" s="12" t="str">
        <f>VLOOKUP(K1280,[2]Hoja4!$A$2:$C$443,2,FALSE)</f>
        <v>Intentional self-harm by hanging, strangulation and suffocation</v>
      </c>
      <c r="M1280" s="12" t="str">
        <f>VLOOKUP(K1280,[2]Hoja4!$A$2:$C$443,3,FALSE)</f>
        <v>At home</v>
      </c>
      <c r="N1280" s="1"/>
      <c r="O1280" s="1"/>
      <c r="P1280" s="1">
        <v>13.9</v>
      </c>
      <c r="Q1280" s="1">
        <v>995.5</v>
      </c>
      <c r="R1280" s="1">
        <v>0</v>
      </c>
      <c r="S1280" s="1">
        <v>77.599999999999994</v>
      </c>
      <c r="T1280" s="5">
        <v>0.1158</v>
      </c>
      <c r="U1280" s="10">
        <v>7.0000000000000001E-3</v>
      </c>
    </row>
    <row r="1281" spans="1:21" customFormat="1">
      <c r="A1281">
        <v>1</v>
      </c>
      <c r="B1281">
        <v>35</v>
      </c>
      <c r="C1281">
        <v>17</v>
      </c>
      <c r="D1281">
        <v>10</v>
      </c>
      <c r="E1281">
        <v>2020</v>
      </c>
      <c r="F1281">
        <v>5801</v>
      </c>
      <c r="G1281" t="str">
        <f>VLOOKUP(F1281,'[1]Sheet 1'!$B$2:$E$347,2,FALSE)</f>
        <v>Valparaíso</v>
      </c>
      <c r="H1281" t="str">
        <f>VLOOKUP(F1281,'[1]Sheet 1'!$B$2:$E$347,3,FALSE)</f>
        <v>Marga Marga</v>
      </c>
      <c r="I1281" t="str">
        <f>VLOOKUP(F1281,'[1]Sheet 1'!$B$2:$E$347,4,FALSE)</f>
        <v>Quilpué</v>
      </c>
      <c r="J1281" t="s">
        <v>136</v>
      </c>
      <c r="K1281" s="3" t="s">
        <v>2</v>
      </c>
      <c r="L1281" s="12" t="str">
        <f>VLOOKUP(K1281,[2]Hoja4!$A$2:$C$443,2,FALSE)</f>
        <v>Intentional self-harm by hanging, strangulation and suffocation</v>
      </c>
      <c r="M1281" s="12" t="str">
        <f>VLOOKUP(K1281,[2]Hoja4!$A$2:$C$443,3,FALSE)</f>
        <v>Street and highway</v>
      </c>
      <c r="N1281" s="1">
        <v>6.4</v>
      </c>
      <c r="O1281" s="1">
        <v>20.100000000000001</v>
      </c>
      <c r="P1281" s="1">
        <v>12.5</v>
      </c>
      <c r="Q1281" s="1">
        <v>1013.1</v>
      </c>
      <c r="R1281" s="1">
        <v>0</v>
      </c>
      <c r="S1281" s="1">
        <v>83.7</v>
      </c>
      <c r="T1281" s="5">
        <v>0.1158</v>
      </c>
      <c r="U1281" s="10">
        <v>7.0000000000000001E-3</v>
      </c>
    </row>
    <row r="1282" spans="1:21" customFormat="1">
      <c r="A1282">
        <v>1</v>
      </c>
      <c r="B1282">
        <v>32</v>
      </c>
      <c r="C1282">
        <v>17</v>
      </c>
      <c r="D1282">
        <v>10</v>
      </c>
      <c r="E1282">
        <v>2020</v>
      </c>
      <c r="F1282">
        <v>12101</v>
      </c>
      <c r="G1282" t="str">
        <f>VLOOKUP(F1282,'[1]Sheet 1'!$B$2:$E$347,2,FALSE)</f>
        <v>Magallanes y de la Antártica Chilena</v>
      </c>
      <c r="H1282" t="str">
        <f>VLOOKUP(F1282,'[1]Sheet 1'!$B$2:$E$347,3,FALSE)</f>
        <v>Magallanes</v>
      </c>
      <c r="I1282" t="str">
        <f>VLOOKUP(F1282,'[1]Sheet 1'!$B$2:$E$347,4,FALSE)</f>
        <v>Punta Arenas</v>
      </c>
      <c r="J1282" t="s">
        <v>136</v>
      </c>
      <c r="K1282" s="3" t="s">
        <v>0</v>
      </c>
      <c r="L1282" s="12" t="str">
        <f>VLOOKUP(K1282,[2]Hoja4!$A$2:$C$443,2,FALSE)</f>
        <v>Intentional self-harm by hanging, strangulation and suffocation</v>
      </c>
      <c r="M1282" s="12" t="str">
        <f>VLOOKUP(K1282,[2]Hoja4!$A$2:$C$443,3,FALSE)</f>
        <v>Unspecified place</v>
      </c>
      <c r="N1282" s="1">
        <v>1.1000000000000001</v>
      </c>
      <c r="O1282" s="1">
        <v>7.4</v>
      </c>
      <c r="P1282" s="1">
        <v>4.5999999999999996</v>
      </c>
      <c r="Q1282" s="1">
        <v>986.7</v>
      </c>
      <c r="R1282" s="1">
        <v>3.6</v>
      </c>
      <c r="S1282" s="1">
        <v>89</v>
      </c>
      <c r="T1282" s="5">
        <v>0.1158</v>
      </c>
      <c r="U1282" s="10">
        <v>7.0000000000000001E-3</v>
      </c>
    </row>
    <row r="1283" spans="1:21" customFormat="1">
      <c r="A1283">
        <v>1</v>
      </c>
      <c r="B1283">
        <v>31</v>
      </c>
      <c r="C1283">
        <v>17</v>
      </c>
      <c r="D1283">
        <v>10</v>
      </c>
      <c r="E1283">
        <v>2020</v>
      </c>
      <c r="F1283">
        <v>6301</v>
      </c>
      <c r="G1283" t="str">
        <f>VLOOKUP(F1283,'[1]Sheet 1'!$B$2:$E$347,2,FALSE)</f>
        <v>Libertador General Bernardo O'Higgins</v>
      </c>
      <c r="H1283" t="str">
        <f>VLOOKUP(F1283,'[1]Sheet 1'!$B$2:$E$347,3,FALSE)</f>
        <v>Colchagua</v>
      </c>
      <c r="I1283" t="str">
        <f>VLOOKUP(F1283,'[1]Sheet 1'!$B$2:$E$347,4,FALSE)</f>
        <v>San Fernando</v>
      </c>
      <c r="J1283" t="s">
        <v>136</v>
      </c>
      <c r="K1283" s="3" t="s">
        <v>0</v>
      </c>
      <c r="L1283" s="12" t="str">
        <f>VLOOKUP(K1283,[2]Hoja4!$A$2:$C$443,2,FALSE)</f>
        <v>Intentional self-harm by hanging, strangulation and suffocation</v>
      </c>
      <c r="M1283" s="12" t="str">
        <f>VLOOKUP(K1283,[2]Hoja4!$A$2:$C$443,3,FALSE)</f>
        <v>Unspecified place</v>
      </c>
      <c r="N1283" s="1">
        <v>7.5</v>
      </c>
      <c r="O1283" s="1">
        <v>23.7</v>
      </c>
      <c r="P1283" s="1">
        <v>14</v>
      </c>
      <c r="Q1283" s="1">
        <v>980</v>
      </c>
      <c r="R1283" s="1">
        <v>0</v>
      </c>
      <c r="S1283" s="1">
        <v>84.2</v>
      </c>
      <c r="T1283" s="5">
        <v>0.1158</v>
      </c>
      <c r="U1283" s="10">
        <v>7.0000000000000001E-3</v>
      </c>
    </row>
    <row r="1284" spans="1:21" customFormat="1">
      <c r="A1284">
        <v>2</v>
      </c>
      <c r="B1284">
        <v>21</v>
      </c>
      <c r="C1284">
        <v>17</v>
      </c>
      <c r="D1284">
        <v>10</v>
      </c>
      <c r="E1284">
        <v>2020</v>
      </c>
      <c r="F1284">
        <v>5102</v>
      </c>
      <c r="G1284" t="str">
        <f>VLOOKUP(F1284,'[1]Sheet 1'!$B$2:$E$347,2,FALSE)</f>
        <v>Valparaíso</v>
      </c>
      <c r="H1284" t="str">
        <f>VLOOKUP(F1284,'[1]Sheet 1'!$B$2:$E$347,3,FALSE)</f>
        <v>Valparaíso</v>
      </c>
      <c r="I1284" t="str">
        <f>VLOOKUP(F1284,'[1]Sheet 1'!$B$2:$E$347,4,FALSE)</f>
        <v>Casablanca</v>
      </c>
      <c r="J1284" t="s">
        <v>136</v>
      </c>
      <c r="K1284" s="3" t="s">
        <v>0</v>
      </c>
      <c r="L1284" s="12" t="str">
        <f>VLOOKUP(K1284,[2]Hoja4!$A$2:$C$443,2,FALSE)</f>
        <v>Intentional self-harm by hanging, strangulation and suffocation</v>
      </c>
      <c r="M1284" s="12" t="str">
        <f>VLOOKUP(K1284,[2]Hoja4!$A$2:$C$443,3,FALSE)</f>
        <v>Unspecified place</v>
      </c>
      <c r="N1284" s="1">
        <v>8.9</v>
      </c>
      <c r="O1284" s="1">
        <v>19.5</v>
      </c>
      <c r="P1284" s="1">
        <v>11.8</v>
      </c>
      <c r="Q1284" s="1">
        <v>976.3</v>
      </c>
      <c r="R1284" s="1">
        <v>0</v>
      </c>
      <c r="S1284" s="1">
        <v>98</v>
      </c>
      <c r="T1284" s="5">
        <v>0.1158</v>
      </c>
      <c r="U1284" s="10">
        <v>7.0000000000000001E-3</v>
      </c>
    </row>
    <row r="1285" spans="1:21" customFormat="1">
      <c r="A1285">
        <v>1</v>
      </c>
      <c r="B1285">
        <v>28</v>
      </c>
      <c r="C1285">
        <v>17</v>
      </c>
      <c r="D1285">
        <v>10</v>
      </c>
      <c r="E1285">
        <v>2020</v>
      </c>
      <c r="F1285">
        <v>8102</v>
      </c>
      <c r="G1285" t="str">
        <f>VLOOKUP(F1285,'[1]Sheet 1'!$B$2:$E$347,2,FALSE)</f>
        <v>Biobío</v>
      </c>
      <c r="H1285" t="str">
        <f>VLOOKUP(F1285,'[1]Sheet 1'!$B$2:$E$347,3,FALSE)</f>
        <v>Concepción</v>
      </c>
      <c r="I1285" t="str">
        <f>VLOOKUP(F1285,'[1]Sheet 1'!$B$2:$E$347,4,FALSE)</f>
        <v>Coronel</v>
      </c>
      <c r="J1285" t="s">
        <v>136</v>
      </c>
      <c r="K1285" s="3" t="s">
        <v>0</v>
      </c>
      <c r="L1285" s="12" t="str">
        <f>VLOOKUP(K1285,[2]Hoja4!$A$2:$C$443,2,FALSE)</f>
        <v>Intentional self-harm by hanging, strangulation and suffocation</v>
      </c>
      <c r="M1285" s="12" t="str">
        <f>VLOOKUP(K1285,[2]Hoja4!$A$2:$C$443,3,FALSE)</f>
        <v>Unspecified place</v>
      </c>
      <c r="N1285" s="1">
        <v>10.6</v>
      </c>
      <c r="O1285" s="1">
        <v>15.4</v>
      </c>
      <c r="P1285" s="1">
        <v>12</v>
      </c>
      <c r="Q1285" s="1">
        <v>1016.1</v>
      </c>
      <c r="R1285" s="1">
        <v>0</v>
      </c>
      <c r="S1285" s="1">
        <v>82.8</v>
      </c>
      <c r="T1285" s="5">
        <v>0.1158</v>
      </c>
      <c r="U1285" s="10">
        <v>7.0000000000000001E-3</v>
      </c>
    </row>
    <row r="1286" spans="1:21" customFormat="1">
      <c r="A1286">
        <v>1</v>
      </c>
      <c r="B1286">
        <v>75</v>
      </c>
      <c r="C1286">
        <v>18</v>
      </c>
      <c r="D1286">
        <v>10</v>
      </c>
      <c r="E1286">
        <v>2020</v>
      </c>
      <c r="F1286">
        <v>4101</v>
      </c>
      <c r="G1286" t="str">
        <f>VLOOKUP(F1286,'[1]Sheet 1'!$B$2:$E$347,2,FALSE)</f>
        <v>Coquimbo</v>
      </c>
      <c r="H1286" t="str">
        <f>VLOOKUP(F1286,'[1]Sheet 1'!$B$2:$E$347,3,FALSE)</f>
        <v>Elqui</v>
      </c>
      <c r="I1286" t="str">
        <f>VLOOKUP(F1286,'[1]Sheet 1'!$B$2:$E$347,4,FALSE)</f>
        <v>La Serena</v>
      </c>
      <c r="J1286" t="s">
        <v>136</v>
      </c>
      <c r="K1286" s="3" t="s">
        <v>4</v>
      </c>
      <c r="L1286" s="12" t="str">
        <f>VLOOKUP(K1286,[2]Hoja4!$A$2:$C$443,2,FALSE)</f>
        <v>Intentional self-harm by hanging, strangulation and suffocation</v>
      </c>
      <c r="M1286" s="12" t="str">
        <f>VLOOKUP(K1286,[2]Hoja4!$A$2:$C$443,3,FALSE)</f>
        <v>At home</v>
      </c>
      <c r="N1286" s="1">
        <v>9.9</v>
      </c>
      <c r="O1286" s="1">
        <v>16.8</v>
      </c>
      <c r="P1286" s="1">
        <v>12.3</v>
      </c>
      <c r="Q1286" s="1">
        <v>998.7</v>
      </c>
      <c r="R1286" s="1">
        <v>0</v>
      </c>
      <c r="S1286" s="1">
        <v>90.8</v>
      </c>
      <c r="T1286" s="5">
        <v>0.1158</v>
      </c>
      <c r="U1286" s="10">
        <v>7.0000000000000001E-3</v>
      </c>
    </row>
    <row r="1287" spans="1:21" customFormat="1">
      <c r="A1287">
        <v>2</v>
      </c>
      <c r="B1287">
        <v>64</v>
      </c>
      <c r="C1287">
        <v>18</v>
      </c>
      <c r="D1287">
        <v>10</v>
      </c>
      <c r="E1287">
        <v>2020</v>
      </c>
      <c r="F1287">
        <v>5101</v>
      </c>
      <c r="G1287" t="str">
        <f>VLOOKUP(F1287,'[1]Sheet 1'!$B$2:$E$347,2,FALSE)</f>
        <v>Valparaíso</v>
      </c>
      <c r="H1287" t="str">
        <f>VLOOKUP(F1287,'[1]Sheet 1'!$B$2:$E$347,3,FALSE)</f>
        <v>Valparaíso</v>
      </c>
      <c r="I1287" t="str">
        <f>VLOOKUP(F1287,'[1]Sheet 1'!$B$2:$E$347,4,FALSE)</f>
        <v>Valparaíso</v>
      </c>
      <c r="J1287" t="s">
        <v>166</v>
      </c>
      <c r="K1287" s="3" t="s">
        <v>6</v>
      </c>
      <c r="L1287" s="12" t="str">
        <f>VLOOKUP(K1287,[2]Hoja4!$A$2:$C$443,2,FALSE)</f>
        <v>Intentional self-harm by sharp object</v>
      </c>
      <c r="M1287" s="12" t="str">
        <f>VLOOKUP(K1287,[2]Hoja4!$A$2:$C$443,3,FALSE)</f>
        <v>At home</v>
      </c>
      <c r="N1287" s="1">
        <v>7.4</v>
      </c>
      <c r="O1287" s="1">
        <v>21.7</v>
      </c>
      <c r="P1287" s="1">
        <v>12.1</v>
      </c>
      <c r="Q1287" s="1">
        <v>977.2</v>
      </c>
      <c r="R1287" s="1">
        <v>0</v>
      </c>
      <c r="S1287" s="1">
        <v>75.8</v>
      </c>
      <c r="T1287" s="5">
        <v>0.1158</v>
      </c>
      <c r="U1287" s="10">
        <v>7.0000000000000001E-3</v>
      </c>
    </row>
    <row r="1288" spans="1:21" customFormat="1">
      <c r="A1288">
        <v>1</v>
      </c>
      <c r="B1288">
        <v>42</v>
      </c>
      <c r="C1288">
        <v>18</v>
      </c>
      <c r="D1288">
        <v>10</v>
      </c>
      <c r="E1288">
        <v>2020</v>
      </c>
      <c r="F1288">
        <v>4201</v>
      </c>
      <c r="G1288" t="str">
        <f>VLOOKUP(F1288,'[1]Sheet 1'!$B$2:$E$347,2,FALSE)</f>
        <v>Coquimbo</v>
      </c>
      <c r="H1288" t="str">
        <f>VLOOKUP(F1288,'[1]Sheet 1'!$B$2:$E$347,3,FALSE)</f>
        <v>Choapa</v>
      </c>
      <c r="I1288" t="str">
        <f>VLOOKUP(F1288,'[1]Sheet 1'!$B$2:$E$347,4,FALSE)</f>
        <v>Illapel</v>
      </c>
      <c r="J1288" t="s">
        <v>136</v>
      </c>
      <c r="K1288" s="3" t="s">
        <v>4</v>
      </c>
      <c r="L1288" s="12" t="str">
        <f>VLOOKUP(K1288,[2]Hoja4!$A$2:$C$443,2,FALSE)</f>
        <v>Intentional self-harm by hanging, strangulation and suffocation</v>
      </c>
      <c r="M1288" s="12" t="str">
        <f>VLOOKUP(K1288,[2]Hoja4!$A$2:$C$443,3,FALSE)</f>
        <v>At home</v>
      </c>
      <c r="N1288" s="1">
        <v>7</v>
      </c>
      <c r="O1288" s="1">
        <v>24.5</v>
      </c>
      <c r="P1288" s="1">
        <v>14.4</v>
      </c>
      <c r="Q1288" s="1">
        <v>978</v>
      </c>
      <c r="R1288" s="1">
        <v>0</v>
      </c>
      <c r="S1288" s="1">
        <v>77.900000000000006</v>
      </c>
      <c r="T1288" s="5">
        <v>0.1158</v>
      </c>
      <c r="U1288" s="10">
        <v>7.0000000000000001E-3</v>
      </c>
    </row>
    <row r="1289" spans="1:21" customFormat="1">
      <c r="A1289">
        <v>1</v>
      </c>
      <c r="B1289">
        <v>27</v>
      </c>
      <c r="C1289">
        <v>18</v>
      </c>
      <c r="D1289">
        <v>10</v>
      </c>
      <c r="E1289">
        <v>2020</v>
      </c>
      <c r="F1289">
        <v>11401</v>
      </c>
      <c r="G1289" t="str">
        <f>VLOOKUP(F1289,'[1]Sheet 1'!$B$2:$E$347,2,FALSE)</f>
        <v>Aysén del General Carlos Ibáñez del Campo</v>
      </c>
      <c r="H1289" t="str">
        <f>VLOOKUP(F1289,'[1]Sheet 1'!$B$2:$E$347,3,FALSE)</f>
        <v>General Carrera</v>
      </c>
      <c r="I1289" t="str">
        <f>VLOOKUP(F1289,'[1]Sheet 1'!$B$2:$E$347,4,FALSE)</f>
        <v>Chile Chico</v>
      </c>
      <c r="J1289" t="s">
        <v>136</v>
      </c>
      <c r="K1289" s="3" t="s">
        <v>4</v>
      </c>
      <c r="L1289" s="12" t="str">
        <f>VLOOKUP(K1289,[2]Hoja4!$A$2:$C$443,2,FALSE)</f>
        <v>Intentional self-harm by hanging, strangulation and suffocation</v>
      </c>
      <c r="M1289" s="12" t="str">
        <f>VLOOKUP(K1289,[2]Hoja4!$A$2:$C$443,3,FALSE)</f>
        <v>At home</v>
      </c>
      <c r="N1289" s="1">
        <v>4</v>
      </c>
      <c r="O1289" s="1">
        <v>10.3</v>
      </c>
      <c r="P1289" s="1">
        <v>7.7</v>
      </c>
      <c r="Q1289" s="1">
        <v>971.3</v>
      </c>
      <c r="R1289" s="1">
        <v>1.4</v>
      </c>
      <c r="S1289" s="1">
        <v>66</v>
      </c>
      <c r="T1289" s="5">
        <v>0.1158</v>
      </c>
      <c r="U1289" s="10">
        <v>7.0000000000000001E-3</v>
      </c>
    </row>
    <row r="1290" spans="1:21" customFormat="1">
      <c r="A1290">
        <v>2</v>
      </c>
      <c r="B1290">
        <v>67</v>
      </c>
      <c r="C1290">
        <v>19</v>
      </c>
      <c r="D1290">
        <v>10</v>
      </c>
      <c r="E1290">
        <v>2020</v>
      </c>
      <c r="F1290">
        <v>13501</v>
      </c>
      <c r="G1290" t="str">
        <f>VLOOKUP(F1290,'[1]Sheet 1'!$B$2:$E$347,2,FALSE)</f>
        <v>Metropolitana de Santiago</v>
      </c>
      <c r="H1290" t="str">
        <f>VLOOKUP(F1290,'[1]Sheet 1'!$B$2:$E$347,3,FALSE)</f>
        <v>Melipilla</v>
      </c>
      <c r="I1290" t="str">
        <f>VLOOKUP(F1290,'[1]Sheet 1'!$B$2:$E$347,4,FALSE)</f>
        <v>Melipilla</v>
      </c>
      <c r="J1290" t="s">
        <v>177</v>
      </c>
      <c r="K1290" s="3" t="s">
        <v>12</v>
      </c>
      <c r="L1290" s="12" t="str">
        <f>VLOOKUP(K1290,[2]Hoja4!$A$2:$C$443,2,FALSE)</f>
        <v>Intentional self-poisoning by and exposure to other and unspecified chemicals and noxious substances</v>
      </c>
      <c r="M1290" s="12" t="str">
        <f>VLOOKUP(K1290,[2]Hoja4!$A$2:$C$443,3,FALSE)</f>
        <v>Unspecified place</v>
      </c>
      <c r="N1290" s="1">
        <v>5.3</v>
      </c>
      <c r="O1290" s="1">
        <v>25.8</v>
      </c>
      <c r="P1290" s="1">
        <v>14</v>
      </c>
      <c r="Q1290" s="1">
        <v>1018.5</v>
      </c>
      <c r="R1290" s="1">
        <v>0</v>
      </c>
      <c r="S1290" s="1">
        <v>52.8</v>
      </c>
      <c r="T1290" s="5">
        <v>0.1158</v>
      </c>
      <c r="U1290" s="10">
        <v>7.0000000000000001E-3</v>
      </c>
    </row>
    <row r="1291" spans="1:21" customFormat="1">
      <c r="A1291">
        <v>1</v>
      </c>
      <c r="B1291">
        <v>52</v>
      </c>
      <c r="C1291">
        <v>19</v>
      </c>
      <c r="D1291">
        <v>10</v>
      </c>
      <c r="E1291">
        <v>2020</v>
      </c>
      <c r="F1291">
        <v>8101</v>
      </c>
      <c r="G1291" t="str">
        <f>VLOOKUP(F1291,'[1]Sheet 1'!$B$2:$E$347,2,FALSE)</f>
        <v>Biobío</v>
      </c>
      <c r="H1291" t="str">
        <f>VLOOKUP(F1291,'[1]Sheet 1'!$B$2:$E$347,3,FALSE)</f>
        <v>Concepción</v>
      </c>
      <c r="I1291" t="str">
        <f>VLOOKUP(F1291,'[1]Sheet 1'!$B$2:$E$347,4,FALSE)</f>
        <v>Concepción</v>
      </c>
      <c r="J1291" t="s">
        <v>178</v>
      </c>
      <c r="K1291" s="3" t="s">
        <v>6</v>
      </c>
      <c r="L1291" s="12" t="str">
        <f>VLOOKUP(K1291,[2]Hoja4!$A$2:$C$443,2,FALSE)</f>
        <v>Intentional self-harm by sharp object</v>
      </c>
      <c r="M1291" s="12" t="str">
        <f>VLOOKUP(K1291,[2]Hoja4!$A$2:$C$443,3,FALSE)</f>
        <v>At home</v>
      </c>
      <c r="N1291" s="1">
        <v>6</v>
      </c>
      <c r="O1291" s="1">
        <v>17.8</v>
      </c>
      <c r="P1291" s="1">
        <v>12.2</v>
      </c>
      <c r="Q1291" s="1">
        <v>1020.5</v>
      </c>
      <c r="R1291" s="1">
        <v>0</v>
      </c>
      <c r="S1291" s="1">
        <v>72</v>
      </c>
      <c r="T1291" s="5">
        <v>0.1158</v>
      </c>
      <c r="U1291" s="10">
        <v>7.0000000000000001E-3</v>
      </c>
    </row>
    <row r="1292" spans="1:21" customFormat="1">
      <c r="A1292">
        <v>1</v>
      </c>
      <c r="B1292">
        <v>46</v>
      </c>
      <c r="C1292">
        <v>19</v>
      </c>
      <c r="D1292">
        <v>10</v>
      </c>
      <c r="E1292">
        <v>2020</v>
      </c>
      <c r="F1292">
        <v>13107</v>
      </c>
      <c r="G1292" t="str">
        <f>VLOOKUP(F1292,'[1]Sheet 1'!$B$2:$E$347,2,FALSE)</f>
        <v>Metropolitana de Santiago</v>
      </c>
      <c r="H1292" t="str">
        <f>VLOOKUP(F1292,'[1]Sheet 1'!$B$2:$E$347,3,FALSE)</f>
        <v>Santiago</v>
      </c>
      <c r="I1292" t="str">
        <f>VLOOKUP(F1292,'[1]Sheet 1'!$B$2:$E$347,4,FALSE)</f>
        <v>Huechuraba</v>
      </c>
      <c r="J1292" t="s">
        <v>136</v>
      </c>
      <c r="K1292" s="3" t="s">
        <v>0</v>
      </c>
      <c r="L1292" s="12" t="str">
        <f>VLOOKUP(K1292,[2]Hoja4!$A$2:$C$443,2,FALSE)</f>
        <v>Intentional self-harm by hanging, strangulation and suffocation</v>
      </c>
      <c r="M1292" s="12" t="str">
        <f>VLOOKUP(K1292,[2]Hoja4!$A$2:$C$443,3,FALSE)</f>
        <v>Unspecified place</v>
      </c>
      <c r="N1292" s="1">
        <v>7.3</v>
      </c>
      <c r="O1292" s="1">
        <v>26.3</v>
      </c>
      <c r="P1292" s="1">
        <v>16.7</v>
      </c>
      <c r="Q1292" s="1">
        <v>957</v>
      </c>
      <c r="R1292" s="1"/>
      <c r="S1292" s="1">
        <v>52</v>
      </c>
      <c r="T1292" s="5">
        <v>0.1158</v>
      </c>
      <c r="U1292" s="10">
        <v>7.0000000000000001E-3</v>
      </c>
    </row>
    <row r="1293" spans="1:21" customFormat="1">
      <c r="A1293">
        <v>1</v>
      </c>
      <c r="B1293">
        <v>23</v>
      </c>
      <c r="C1293">
        <v>19</v>
      </c>
      <c r="D1293">
        <v>10</v>
      </c>
      <c r="E1293">
        <v>2020</v>
      </c>
      <c r="F1293">
        <v>6101</v>
      </c>
      <c r="G1293" t="str">
        <f>VLOOKUP(F1293,'[1]Sheet 1'!$B$2:$E$347,2,FALSE)</f>
        <v>Libertador General Bernardo O'Higgins</v>
      </c>
      <c r="H1293" t="str">
        <f>VLOOKUP(F1293,'[1]Sheet 1'!$B$2:$E$347,3,FALSE)</f>
        <v>Cachapoal</v>
      </c>
      <c r="I1293" t="str">
        <f>VLOOKUP(F1293,'[1]Sheet 1'!$B$2:$E$347,4,FALSE)</f>
        <v>Rancagua</v>
      </c>
      <c r="J1293" t="s">
        <v>136</v>
      </c>
      <c r="K1293" s="3" t="s">
        <v>0</v>
      </c>
      <c r="L1293" s="12" t="str">
        <f>VLOOKUP(K1293,[2]Hoja4!$A$2:$C$443,2,FALSE)</f>
        <v>Intentional self-harm by hanging, strangulation and suffocation</v>
      </c>
      <c r="M1293" s="12" t="str">
        <f>VLOOKUP(K1293,[2]Hoja4!$A$2:$C$443,3,FALSE)</f>
        <v>Unspecified place</v>
      </c>
      <c r="N1293" s="1">
        <v>6.4</v>
      </c>
      <c r="O1293" s="1">
        <v>24.5</v>
      </c>
      <c r="P1293" s="1">
        <v>14.6</v>
      </c>
      <c r="Q1293" s="1">
        <v>961</v>
      </c>
      <c r="R1293" s="1">
        <v>0</v>
      </c>
      <c r="S1293" s="1">
        <v>61.5</v>
      </c>
      <c r="T1293" s="5">
        <v>0.1158</v>
      </c>
      <c r="U1293" s="10">
        <v>7.0000000000000001E-3</v>
      </c>
    </row>
    <row r="1294" spans="1:21" customFormat="1">
      <c r="A1294">
        <v>1</v>
      </c>
      <c r="B1294">
        <v>66</v>
      </c>
      <c r="C1294">
        <v>20</v>
      </c>
      <c r="D1294">
        <v>10</v>
      </c>
      <c r="E1294">
        <v>2020</v>
      </c>
      <c r="F1294">
        <v>5601</v>
      </c>
      <c r="G1294" t="str">
        <f>VLOOKUP(F1294,'[1]Sheet 1'!$B$2:$E$347,2,FALSE)</f>
        <v>Valparaíso</v>
      </c>
      <c r="H1294" t="str">
        <f>VLOOKUP(F1294,'[1]Sheet 1'!$B$2:$E$347,3,FALSE)</f>
        <v>San Antonio</v>
      </c>
      <c r="I1294" t="str">
        <f>VLOOKUP(F1294,'[1]Sheet 1'!$B$2:$E$347,4,FALSE)</f>
        <v>San Antonio</v>
      </c>
      <c r="J1294" t="s">
        <v>136</v>
      </c>
      <c r="K1294" s="3" t="s">
        <v>4</v>
      </c>
      <c r="L1294" s="12" t="str">
        <f>VLOOKUP(K1294,[2]Hoja4!$A$2:$C$443,2,FALSE)</f>
        <v>Intentional self-harm by hanging, strangulation and suffocation</v>
      </c>
      <c r="M1294" s="12" t="str">
        <f>VLOOKUP(K1294,[2]Hoja4!$A$2:$C$443,3,FALSE)</f>
        <v>At home</v>
      </c>
      <c r="N1294" s="1">
        <v>8.4</v>
      </c>
      <c r="O1294" s="1">
        <v>17.5</v>
      </c>
      <c r="P1294" s="1">
        <v>12.9</v>
      </c>
      <c r="Q1294" s="1">
        <v>1007.8</v>
      </c>
      <c r="R1294" s="1">
        <v>0</v>
      </c>
      <c r="S1294" s="1">
        <v>86.2</v>
      </c>
      <c r="T1294" s="5">
        <v>0.1158</v>
      </c>
      <c r="U1294" s="10">
        <v>7.0000000000000001E-3</v>
      </c>
    </row>
    <row r="1295" spans="1:21" customFormat="1">
      <c r="A1295">
        <v>1</v>
      </c>
      <c r="B1295">
        <v>64</v>
      </c>
      <c r="C1295">
        <v>20</v>
      </c>
      <c r="D1295">
        <v>10</v>
      </c>
      <c r="E1295">
        <v>2020</v>
      </c>
      <c r="F1295">
        <v>6101</v>
      </c>
      <c r="G1295" t="str">
        <f>VLOOKUP(F1295,'[1]Sheet 1'!$B$2:$E$347,2,FALSE)</f>
        <v>Libertador General Bernardo O'Higgins</v>
      </c>
      <c r="H1295" t="str">
        <f>VLOOKUP(F1295,'[1]Sheet 1'!$B$2:$E$347,3,FALSE)</f>
        <v>Cachapoal</v>
      </c>
      <c r="I1295" t="str">
        <f>VLOOKUP(F1295,'[1]Sheet 1'!$B$2:$E$347,4,FALSE)</f>
        <v>Rancagua</v>
      </c>
      <c r="J1295" t="s">
        <v>136</v>
      </c>
      <c r="K1295" s="3" t="s">
        <v>0</v>
      </c>
      <c r="L1295" s="12" t="str">
        <f>VLOOKUP(K1295,[2]Hoja4!$A$2:$C$443,2,FALSE)</f>
        <v>Intentional self-harm by hanging, strangulation and suffocation</v>
      </c>
      <c r="M1295" s="12" t="str">
        <f>VLOOKUP(K1295,[2]Hoja4!$A$2:$C$443,3,FALSE)</f>
        <v>Unspecified place</v>
      </c>
      <c r="N1295" s="1">
        <v>7.9</v>
      </c>
      <c r="O1295" s="1">
        <v>27.3</v>
      </c>
      <c r="P1295" s="1">
        <v>17.899999999999999</v>
      </c>
      <c r="Q1295" s="1">
        <v>958</v>
      </c>
      <c r="R1295" s="1">
        <v>0</v>
      </c>
      <c r="S1295" s="1">
        <v>45.8</v>
      </c>
      <c r="T1295" s="5">
        <v>0.1158</v>
      </c>
      <c r="U1295" s="10">
        <v>7.0000000000000001E-3</v>
      </c>
    </row>
    <row r="1296" spans="1:21" customFormat="1">
      <c r="A1296">
        <v>1</v>
      </c>
      <c r="B1296">
        <v>26</v>
      </c>
      <c r="C1296">
        <v>20</v>
      </c>
      <c r="D1296">
        <v>10</v>
      </c>
      <c r="E1296">
        <v>2020</v>
      </c>
      <c r="F1296">
        <v>4102</v>
      </c>
      <c r="G1296" t="str">
        <f>VLOOKUP(F1296,'[1]Sheet 1'!$B$2:$E$347,2,FALSE)</f>
        <v>Coquimbo</v>
      </c>
      <c r="H1296" t="str">
        <f>VLOOKUP(F1296,'[1]Sheet 1'!$B$2:$E$347,3,FALSE)</f>
        <v>Elqui</v>
      </c>
      <c r="I1296" t="str">
        <f>VLOOKUP(F1296,'[1]Sheet 1'!$B$2:$E$347,4,FALSE)</f>
        <v>Coquimbo</v>
      </c>
      <c r="J1296" t="s">
        <v>136</v>
      </c>
      <c r="K1296" s="3" t="s">
        <v>0</v>
      </c>
      <c r="L1296" s="12" t="str">
        <f>VLOOKUP(K1296,[2]Hoja4!$A$2:$C$443,2,FALSE)</f>
        <v>Intentional self-harm by hanging, strangulation and suffocation</v>
      </c>
      <c r="M1296" s="12" t="str">
        <f>VLOOKUP(K1296,[2]Hoja4!$A$2:$C$443,3,FALSE)</f>
        <v>Unspecified place</v>
      </c>
      <c r="N1296" s="1">
        <v>9.5</v>
      </c>
      <c r="O1296" s="1">
        <v>17.7</v>
      </c>
      <c r="P1296" s="1">
        <v>13.5</v>
      </c>
      <c r="Q1296" s="1">
        <v>997.8</v>
      </c>
      <c r="R1296" s="1">
        <v>0</v>
      </c>
      <c r="S1296" s="1">
        <v>79</v>
      </c>
      <c r="T1296" s="5">
        <v>0.1158</v>
      </c>
      <c r="U1296" s="10">
        <v>7.0000000000000001E-3</v>
      </c>
    </row>
    <row r="1297" spans="1:21" customFormat="1">
      <c r="A1297">
        <v>1</v>
      </c>
      <c r="B1297">
        <v>65</v>
      </c>
      <c r="C1297">
        <v>21</v>
      </c>
      <c r="D1297">
        <v>10</v>
      </c>
      <c r="E1297">
        <v>2020</v>
      </c>
      <c r="F1297">
        <v>7401</v>
      </c>
      <c r="G1297" t="str">
        <f>VLOOKUP(F1297,'[1]Sheet 1'!$B$2:$E$347,2,FALSE)</f>
        <v>Maule</v>
      </c>
      <c r="H1297" t="str">
        <f>VLOOKUP(F1297,'[1]Sheet 1'!$B$2:$E$347,3,FALSE)</f>
        <v>Linares</v>
      </c>
      <c r="I1297" t="str">
        <f>VLOOKUP(F1297,'[1]Sheet 1'!$B$2:$E$347,4,FALSE)</f>
        <v>Linares</v>
      </c>
      <c r="J1297" t="s">
        <v>136</v>
      </c>
      <c r="K1297" s="3" t="s">
        <v>4</v>
      </c>
      <c r="L1297" s="12" t="str">
        <f>VLOOKUP(K1297,[2]Hoja4!$A$2:$C$443,2,FALSE)</f>
        <v>Intentional self-harm by hanging, strangulation and suffocation</v>
      </c>
      <c r="M1297" s="12" t="str">
        <f>VLOOKUP(K1297,[2]Hoja4!$A$2:$C$443,3,FALSE)</f>
        <v>At home</v>
      </c>
      <c r="N1297" s="1">
        <v>6.6</v>
      </c>
      <c r="O1297" s="1">
        <v>25.8</v>
      </c>
      <c r="P1297" s="1">
        <v>15</v>
      </c>
      <c r="Q1297" s="1">
        <v>998.2</v>
      </c>
      <c r="R1297" s="1">
        <v>0</v>
      </c>
      <c r="S1297" s="1">
        <v>61.7</v>
      </c>
      <c r="T1297" s="5">
        <v>0.1158</v>
      </c>
      <c r="U1297" s="10">
        <v>7.0000000000000001E-3</v>
      </c>
    </row>
    <row r="1298" spans="1:21" customFormat="1">
      <c r="A1298">
        <v>1</v>
      </c>
      <c r="B1298">
        <v>90</v>
      </c>
      <c r="C1298">
        <v>22</v>
      </c>
      <c r="D1298">
        <v>10</v>
      </c>
      <c r="E1298">
        <v>2020</v>
      </c>
      <c r="F1298">
        <v>8101</v>
      </c>
      <c r="G1298" t="str">
        <f>VLOOKUP(F1298,'[1]Sheet 1'!$B$2:$E$347,2,FALSE)</f>
        <v>Biobío</v>
      </c>
      <c r="H1298" t="str">
        <f>VLOOKUP(F1298,'[1]Sheet 1'!$B$2:$E$347,3,FALSE)</f>
        <v>Concepción</v>
      </c>
      <c r="I1298" t="str">
        <f>VLOOKUP(F1298,'[1]Sheet 1'!$B$2:$E$347,4,FALSE)</f>
        <v>Concepción</v>
      </c>
      <c r="J1298" t="s">
        <v>142</v>
      </c>
      <c r="K1298" s="3" t="s">
        <v>8</v>
      </c>
      <c r="L1298" s="12" t="str">
        <f>VLOOKUP(K1298,[2]Hoja4!$A$2:$C$443,2,FALSE)</f>
        <v>Intentional self-harm by jumping from a high place</v>
      </c>
      <c r="M1298" s="12" t="str">
        <f>VLOOKUP(K1298,[2]Hoja4!$A$2:$C$443,3,FALSE)</f>
        <v>At home</v>
      </c>
      <c r="N1298" s="1">
        <v>5.9</v>
      </c>
      <c r="O1298" s="1">
        <v>18.3</v>
      </c>
      <c r="P1298" s="1">
        <v>12.2</v>
      </c>
      <c r="Q1298" s="1">
        <v>1016.3</v>
      </c>
      <c r="R1298" s="1">
        <v>0</v>
      </c>
      <c r="S1298" s="1">
        <v>77.8</v>
      </c>
      <c r="T1298" s="5">
        <v>0.1158</v>
      </c>
      <c r="U1298" s="10">
        <v>7.0000000000000001E-3</v>
      </c>
    </row>
    <row r="1299" spans="1:21" customFormat="1">
      <c r="A1299">
        <v>1</v>
      </c>
      <c r="B1299">
        <v>66</v>
      </c>
      <c r="C1299">
        <v>22</v>
      </c>
      <c r="D1299">
        <v>10</v>
      </c>
      <c r="E1299">
        <v>2020</v>
      </c>
      <c r="F1299">
        <v>14101</v>
      </c>
      <c r="G1299" t="str">
        <f>VLOOKUP(F1299,'[1]Sheet 1'!$B$2:$E$347,2,FALSE)</f>
        <v>Los Ríos</v>
      </c>
      <c r="H1299" t="str">
        <f>VLOOKUP(F1299,'[1]Sheet 1'!$B$2:$E$347,3,FALSE)</f>
        <v>Valdivia</v>
      </c>
      <c r="I1299" t="str">
        <f>VLOOKUP(F1299,'[1]Sheet 1'!$B$2:$E$347,4,FALSE)</f>
        <v>Valdivia</v>
      </c>
      <c r="J1299" t="s">
        <v>136</v>
      </c>
      <c r="K1299" s="3" t="s">
        <v>4</v>
      </c>
      <c r="L1299" s="12" t="str">
        <f>VLOOKUP(K1299,[2]Hoja4!$A$2:$C$443,2,FALSE)</f>
        <v>Intentional self-harm by hanging, strangulation and suffocation</v>
      </c>
      <c r="M1299" s="12" t="str">
        <f>VLOOKUP(K1299,[2]Hoja4!$A$2:$C$443,3,FALSE)</f>
        <v>At home</v>
      </c>
      <c r="N1299" s="1">
        <v>-0.4</v>
      </c>
      <c r="O1299" s="1">
        <v>22</v>
      </c>
      <c r="P1299" s="1">
        <v>9.3000000000000007</v>
      </c>
      <c r="Q1299" s="1">
        <v>1016</v>
      </c>
      <c r="R1299" s="1">
        <v>0</v>
      </c>
      <c r="S1299" s="1">
        <v>81.8</v>
      </c>
      <c r="T1299" s="5">
        <v>0.1158</v>
      </c>
      <c r="U1299" s="10">
        <v>7.0000000000000001E-3</v>
      </c>
    </row>
    <row r="1300" spans="1:21" customFormat="1">
      <c r="A1300">
        <v>1</v>
      </c>
      <c r="B1300">
        <v>39</v>
      </c>
      <c r="C1300">
        <v>22</v>
      </c>
      <c r="D1300">
        <v>10</v>
      </c>
      <c r="E1300">
        <v>2020</v>
      </c>
      <c r="F1300">
        <v>9101</v>
      </c>
      <c r="G1300" t="str">
        <f>VLOOKUP(F1300,'[1]Sheet 1'!$B$2:$E$347,2,FALSE)</f>
        <v>La Araucanía</v>
      </c>
      <c r="H1300" t="str">
        <f>VLOOKUP(F1300,'[1]Sheet 1'!$B$2:$E$347,3,FALSE)</f>
        <v>Cautín</v>
      </c>
      <c r="I1300" t="str">
        <f>VLOOKUP(F1300,'[1]Sheet 1'!$B$2:$E$347,4,FALSE)</f>
        <v>Temuco</v>
      </c>
      <c r="J1300" t="s">
        <v>136</v>
      </c>
      <c r="K1300" s="3" t="s">
        <v>4</v>
      </c>
      <c r="L1300" s="12" t="str">
        <f>VLOOKUP(K1300,[2]Hoja4!$A$2:$C$443,2,FALSE)</f>
        <v>Intentional self-harm by hanging, strangulation and suffocation</v>
      </c>
      <c r="M1300" s="12" t="str">
        <f>VLOOKUP(K1300,[2]Hoja4!$A$2:$C$443,3,FALSE)</f>
        <v>At home</v>
      </c>
      <c r="N1300" s="1">
        <v>0.8</v>
      </c>
      <c r="O1300" s="1">
        <v>20.3</v>
      </c>
      <c r="P1300" s="1">
        <v>9.1999999999999993</v>
      </c>
      <c r="Q1300" s="1">
        <v>1006</v>
      </c>
      <c r="R1300" s="1">
        <v>0</v>
      </c>
      <c r="S1300" s="1">
        <v>84.5</v>
      </c>
      <c r="T1300" s="5">
        <v>0.1158</v>
      </c>
      <c r="U1300" s="10">
        <v>7.0000000000000001E-3</v>
      </c>
    </row>
    <row r="1301" spans="1:21" customFormat="1">
      <c r="A1301">
        <v>1</v>
      </c>
      <c r="B1301">
        <v>31</v>
      </c>
      <c r="C1301">
        <v>22</v>
      </c>
      <c r="D1301">
        <v>10</v>
      </c>
      <c r="E1301">
        <v>2020</v>
      </c>
      <c r="F1301">
        <v>13117</v>
      </c>
      <c r="G1301" t="str">
        <f>VLOOKUP(F1301,'[1]Sheet 1'!$B$2:$E$347,2,FALSE)</f>
        <v>Metropolitana de Santiago</v>
      </c>
      <c r="H1301" t="str">
        <f>VLOOKUP(F1301,'[1]Sheet 1'!$B$2:$E$347,3,FALSE)</f>
        <v>Santiago</v>
      </c>
      <c r="I1301" t="str">
        <f>VLOOKUP(F1301,'[1]Sheet 1'!$B$2:$E$347,4,FALSE)</f>
        <v>Lo Prado</v>
      </c>
      <c r="J1301" t="s">
        <v>136</v>
      </c>
      <c r="K1301" s="3" t="s">
        <v>0</v>
      </c>
      <c r="L1301" s="12" t="str">
        <f>VLOOKUP(K1301,[2]Hoja4!$A$2:$C$443,2,FALSE)</f>
        <v>Intentional self-harm by hanging, strangulation and suffocation</v>
      </c>
      <c r="M1301" s="12" t="str">
        <f>VLOOKUP(K1301,[2]Hoja4!$A$2:$C$443,3,FALSE)</f>
        <v>Unspecified place</v>
      </c>
      <c r="N1301" s="1">
        <v>7.3</v>
      </c>
      <c r="O1301" s="1">
        <v>28</v>
      </c>
      <c r="P1301" s="1">
        <v>16.8</v>
      </c>
      <c r="Q1301" s="1">
        <v>955</v>
      </c>
      <c r="R1301" s="1"/>
      <c r="S1301" s="1">
        <v>56.2</v>
      </c>
      <c r="T1301" s="5">
        <v>0.1158</v>
      </c>
      <c r="U1301" s="10">
        <v>7.0000000000000001E-3</v>
      </c>
    </row>
    <row r="1302" spans="1:21" customFormat="1">
      <c r="A1302">
        <v>1</v>
      </c>
      <c r="B1302">
        <v>57</v>
      </c>
      <c r="C1302">
        <v>23</v>
      </c>
      <c r="D1302">
        <v>10</v>
      </c>
      <c r="E1302">
        <v>2020</v>
      </c>
      <c r="F1302">
        <v>10101</v>
      </c>
      <c r="G1302" t="str">
        <f>VLOOKUP(F1302,'[1]Sheet 1'!$B$2:$E$347,2,FALSE)</f>
        <v>Los Lagos</v>
      </c>
      <c r="H1302" t="str">
        <f>VLOOKUP(F1302,'[1]Sheet 1'!$B$2:$E$347,3,FALSE)</f>
        <v>Llanquihue</v>
      </c>
      <c r="I1302" t="str">
        <f>VLOOKUP(F1302,'[1]Sheet 1'!$B$2:$E$347,4,FALSE)</f>
        <v>Puerto Montt</v>
      </c>
      <c r="J1302" t="s">
        <v>167</v>
      </c>
      <c r="K1302" s="3" t="s">
        <v>6</v>
      </c>
      <c r="L1302" s="12" t="str">
        <f>VLOOKUP(K1302,[2]Hoja4!$A$2:$C$443,2,FALSE)</f>
        <v>Intentional self-harm by sharp object</v>
      </c>
      <c r="M1302" s="12" t="str">
        <f>VLOOKUP(K1302,[2]Hoja4!$A$2:$C$443,3,FALSE)</f>
        <v>At home</v>
      </c>
      <c r="N1302" s="1">
        <v>3.5</v>
      </c>
      <c r="O1302" s="1">
        <v>15.8</v>
      </c>
      <c r="P1302" s="1">
        <v>9.4</v>
      </c>
      <c r="Q1302" s="1">
        <v>1004.6</v>
      </c>
      <c r="R1302" s="1">
        <v>11.8</v>
      </c>
      <c r="S1302" s="1">
        <v>83</v>
      </c>
      <c r="T1302" s="5">
        <v>0.1158</v>
      </c>
      <c r="U1302" s="10">
        <v>7.0000000000000001E-3</v>
      </c>
    </row>
    <row r="1303" spans="1:21" customFormat="1">
      <c r="A1303">
        <v>1</v>
      </c>
      <c r="B1303">
        <v>46</v>
      </c>
      <c r="C1303">
        <v>23</v>
      </c>
      <c r="D1303">
        <v>10</v>
      </c>
      <c r="E1303">
        <v>2020</v>
      </c>
      <c r="F1303">
        <v>2201</v>
      </c>
      <c r="G1303" t="str">
        <f>VLOOKUP(F1303,'[1]Sheet 1'!$B$2:$E$347,2,FALSE)</f>
        <v>Antofagasta</v>
      </c>
      <c r="H1303" t="str">
        <f>VLOOKUP(F1303,'[1]Sheet 1'!$B$2:$E$347,3,FALSE)</f>
        <v>El Loa</v>
      </c>
      <c r="I1303" t="str">
        <f>VLOOKUP(F1303,'[1]Sheet 1'!$B$2:$E$347,4,FALSE)</f>
        <v>Calama</v>
      </c>
      <c r="J1303" t="s">
        <v>136</v>
      </c>
      <c r="K1303" s="3" t="s">
        <v>4</v>
      </c>
      <c r="L1303" s="12" t="str">
        <f>VLOOKUP(K1303,[2]Hoja4!$A$2:$C$443,2,FALSE)</f>
        <v>Intentional self-harm by hanging, strangulation and suffocation</v>
      </c>
      <c r="M1303" s="12" t="str">
        <f>VLOOKUP(K1303,[2]Hoja4!$A$2:$C$443,3,FALSE)</f>
        <v>At home</v>
      </c>
      <c r="N1303" s="1">
        <v>7.8</v>
      </c>
      <c r="O1303" s="1">
        <v>26.9</v>
      </c>
      <c r="P1303" s="1">
        <v>17.3</v>
      </c>
      <c r="Q1303" s="1">
        <v>772.9</v>
      </c>
      <c r="R1303" s="1">
        <v>0</v>
      </c>
      <c r="S1303" s="1">
        <v>16.2</v>
      </c>
      <c r="T1303" s="5">
        <v>0.1158</v>
      </c>
      <c r="U1303" s="10">
        <v>7.0000000000000001E-3</v>
      </c>
    </row>
    <row r="1304" spans="1:21" customFormat="1">
      <c r="A1304">
        <v>1</v>
      </c>
      <c r="B1304">
        <v>47</v>
      </c>
      <c r="C1304">
        <v>23</v>
      </c>
      <c r="D1304">
        <v>10</v>
      </c>
      <c r="E1304">
        <v>2020</v>
      </c>
      <c r="F1304">
        <v>9203</v>
      </c>
      <c r="G1304" t="str">
        <f>VLOOKUP(F1304,'[1]Sheet 1'!$B$2:$E$347,2,FALSE)</f>
        <v>La Araucanía</v>
      </c>
      <c r="H1304" t="str">
        <f>VLOOKUP(F1304,'[1]Sheet 1'!$B$2:$E$347,3,FALSE)</f>
        <v>Malleco</v>
      </c>
      <c r="I1304" t="str">
        <f>VLOOKUP(F1304,'[1]Sheet 1'!$B$2:$E$347,4,FALSE)</f>
        <v>Curacautín</v>
      </c>
      <c r="J1304" t="s">
        <v>136</v>
      </c>
      <c r="K1304" s="3" t="s">
        <v>0</v>
      </c>
      <c r="L1304" s="12" t="str">
        <f>VLOOKUP(K1304,[2]Hoja4!$A$2:$C$443,2,FALSE)</f>
        <v>Intentional self-harm by hanging, strangulation and suffocation</v>
      </c>
      <c r="M1304" s="12" t="str">
        <f>VLOOKUP(K1304,[2]Hoja4!$A$2:$C$443,3,FALSE)</f>
        <v>Unspecified place</v>
      </c>
      <c r="N1304" s="1">
        <v>4.5</v>
      </c>
      <c r="O1304" s="1">
        <v>24.7</v>
      </c>
      <c r="P1304" s="1">
        <v>14.3</v>
      </c>
      <c r="Q1304" s="1">
        <v>502.1</v>
      </c>
      <c r="R1304" s="1">
        <v>0</v>
      </c>
      <c r="S1304" s="1">
        <v>73.099999999999994</v>
      </c>
      <c r="T1304" s="5">
        <v>0.1158</v>
      </c>
      <c r="U1304" s="10">
        <v>7.0000000000000001E-3</v>
      </c>
    </row>
    <row r="1305" spans="1:21" customFormat="1">
      <c r="A1305">
        <v>2</v>
      </c>
      <c r="B1305">
        <v>23</v>
      </c>
      <c r="C1305">
        <v>23</v>
      </c>
      <c r="D1305">
        <v>10</v>
      </c>
      <c r="E1305">
        <v>2020</v>
      </c>
      <c r="F1305">
        <v>16301</v>
      </c>
      <c r="G1305" t="str">
        <f>VLOOKUP(F1305,'[1]Sheet 1'!$B$2:$E$347,2,FALSE)</f>
        <v>Ñuble</v>
      </c>
      <c r="H1305" t="str">
        <f>VLOOKUP(F1305,'[1]Sheet 1'!$B$2:$E$347,3,FALSE)</f>
        <v>Punilla</v>
      </c>
      <c r="I1305" t="str">
        <f>VLOOKUP(F1305,'[1]Sheet 1'!$B$2:$E$347,4,FALSE)</f>
        <v>San Carlos</v>
      </c>
      <c r="J1305" t="s">
        <v>136</v>
      </c>
      <c r="K1305" s="3" t="s">
        <v>17</v>
      </c>
      <c r="L1305" s="12" t="str">
        <f>VLOOKUP(K1305,[2]Hoja4!$A$2:$C$443,2,FALSE)</f>
        <v>Intentional self-harm by hanging, strangulation and suffocation</v>
      </c>
      <c r="M1305" s="12" t="str">
        <f>VLOOKUP(K1305,[2]Hoja4!$A$2:$C$443,3,FALSE)</f>
        <v>Industrial and construction area</v>
      </c>
      <c r="N1305" s="1">
        <v>2.7</v>
      </c>
      <c r="O1305" s="1">
        <v>26.1</v>
      </c>
      <c r="P1305" s="1">
        <v>13.5</v>
      </c>
      <c r="Q1305" s="1">
        <v>990.3</v>
      </c>
      <c r="R1305" s="1">
        <v>0</v>
      </c>
      <c r="S1305" s="1">
        <v>74.7</v>
      </c>
      <c r="T1305" s="5">
        <v>0.1158</v>
      </c>
      <c r="U1305" s="10">
        <v>7.0000000000000001E-3</v>
      </c>
    </row>
    <row r="1306" spans="1:21" customFormat="1">
      <c r="A1306">
        <v>1</v>
      </c>
      <c r="B1306">
        <v>25</v>
      </c>
      <c r="C1306">
        <v>23</v>
      </c>
      <c r="D1306">
        <v>10</v>
      </c>
      <c r="E1306">
        <v>2020</v>
      </c>
      <c r="F1306">
        <v>2101</v>
      </c>
      <c r="G1306" t="str">
        <f>VLOOKUP(F1306,'[1]Sheet 1'!$B$2:$E$347,2,FALSE)</f>
        <v>Antofagasta</v>
      </c>
      <c r="H1306" t="str">
        <f>VLOOKUP(F1306,'[1]Sheet 1'!$B$2:$E$347,3,FALSE)</f>
        <v>Antofagasta</v>
      </c>
      <c r="I1306" t="str">
        <f>VLOOKUP(F1306,'[1]Sheet 1'!$B$2:$E$347,4,FALSE)</f>
        <v>Antofagasta</v>
      </c>
      <c r="J1306" t="s">
        <v>136</v>
      </c>
      <c r="K1306" s="3" t="s">
        <v>4</v>
      </c>
      <c r="L1306" s="12" t="str">
        <f>VLOOKUP(K1306,[2]Hoja4!$A$2:$C$443,2,FALSE)</f>
        <v>Intentional self-harm by hanging, strangulation and suffocation</v>
      </c>
      <c r="M1306" s="12" t="str">
        <f>VLOOKUP(K1306,[2]Hoja4!$A$2:$C$443,3,FALSE)</f>
        <v>At home</v>
      </c>
      <c r="N1306" s="1">
        <v>12.5</v>
      </c>
      <c r="O1306" s="1">
        <v>17.3</v>
      </c>
      <c r="P1306" s="1">
        <v>14.4</v>
      </c>
      <c r="Q1306" s="1">
        <v>998.9</v>
      </c>
      <c r="R1306" s="1">
        <v>0.2</v>
      </c>
      <c r="S1306" s="1">
        <v>85.5</v>
      </c>
      <c r="T1306" s="5">
        <v>0.1158</v>
      </c>
      <c r="U1306" s="10">
        <v>7.0000000000000001E-3</v>
      </c>
    </row>
    <row r="1307" spans="1:21" customFormat="1">
      <c r="A1307">
        <v>1</v>
      </c>
      <c r="B1307">
        <v>74</v>
      </c>
      <c r="C1307">
        <v>24</v>
      </c>
      <c r="D1307">
        <v>10</v>
      </c>
      <c r="E1307">
        <v>2020</v>
      </c>
      <c r="F1307">
        <v>13119</v>
      </c>
      <c r="G1307" t="str">
        <f>VLOOKUP(F1307,'[1]Sheet 1'!$B$2:$E$347,2,FALSE)</f>
        <v>Metropolitana de Santiago</v>
      </c>
      <c r="H1307" t="str">
        <f>VLOOKUP(F1307,'[1]Sheet 1'!$B$2:$E$347,3,FALSE)</f>
        <v>Santiago</v>
      </c>
      <c r="I1307" t="str">
        <f>VLOOKUP(F1307,'[1]Sheet 1'!$B$2:$E$347,4,FALSE)</f>
        <v>Maipú</v>
      </c>
      <c r="J1307" t="s">
        <v>136</v>
      </c>
      <c r="K1307" s="3" t="s">
        <v>0</v>
      </c>
      <c r="L1307" s="12" t="str">
        <f>VLOOKUP(K1307,[2]Hoja4!$A$2:$C$443,2,FALSE)</f>
        <v>Intentional self-harm by hanging, strangulation and suffocation</v>
      </c>
      <c r="M1307" s="12" t="str">
        <f>VLOOKUP(K1307,[2]Hoja4!$A$2:$C$443,3,FALSE)</f>
        <v>Unspecified place</v>
      </c>
      <c r="N1307" s="1">
        <v>7.3</v>
      </c>
      <c r="O1307" s="1">
        <v>24.7</v>
      </c>
      <c r="P1307" s="1">
        <v>15.8</v>
      </c>
      <c r="Q1307" s="1">
        <v>956.3</v>
      </c>
      <c r="R1307" s="1"/>
      <c r="S1307" s="1">
        <v>56.8</v>
      </c>
      <c r="T1307" s="5">
        <v>0.1158</v>
      </c>
      <c r="U1307" s="10">
        <v>7.0000000000000001E-3</v>
      </c>
    </row>
    <row r="1308" spans="1:21" customFormat="1">
      <c r="A1308">
        <v>2</v>
      </c>
      <c r="B1308">
        <v>49</v>
      </c>
      <c r="C1308">
        <v>24</v>
      </c>
      <c r="D1308">
        <v>10</v>
      </c>
      <c r="E1308">
        <v>2020</v>
      </c>
      <c r="F1308">
        <v>13123</v>
      </c>
      <c r="G1308" t="str">
        <f>VLOOKUP(F1308,'[1]Sheet 1'!$B$2:$E$347,2,FALSE)</f>
        <v>Metropolitana de Santiago</v>
      </c>
      <c r="H1308" t="str">
        <f>VLOOKUP(F1308,'[1]Sheet 1'!$B$2:$E$347,3,FALSE)</f>
        <v>Santiago</v>
      </c>
      <c r="I1308" t="str">
        <f>VLOOKUP(F1308,'[1]Sheet 1'!$B$2:$E$347,4,FALSE)</f>
        <v>Providencia</v>
      </c>
      <c r="J1308" t="s">
        <v>136</v>
      </c>
      <c r="K1308" s="3" t="s">
        <v>0</v>
      </c>
      <c r="L1308" s="12" t="str">
        <f>VLOOKUP(K1308,[2]Hoja4!$A$2:$C$443,2,FALSE)</f>
        <v>Intentional self-harm by hanging, strangulation and suffocation</v>
      </c>
      <c r="M1308" s="12" t="str">
        <f>VLOOKUP(K1308,[2]Hoja4!$A$2:$C$443,3,FALSE)</f>
        <v>Unspecified place</v>
      </c>
      <c r="N1308" s="1">
        <v>7.3</v>
      </c>
      <c r="O1308" s="1">
        <v>24.7</v>
      </c>
      <c r="P1308" s="1">
        <v>15.8</v>
      </c>
      <c r="Q1308" s="1">
        <v>956.3</v>
      </c>
      <c r="R1308" s="1"/>
      <c r="S1308" s="1">
        <v>56.8</v>
      </c>
      <c r="T1308" s="5">
        <v>0.1158</v>
      </c>
      <c r="U1308" s="10">
        <v>7.0000000000000001E-3</v>
      </c>
    </row>
    <row r="1309" spans="1:21" customFormat="1">
      <c r="A1309">
        <v>1</v>
      </c>
      <c r="B1309">
        <v>45</v>
      </c>
      <c r="C1309">
        <v>24</v>
      </c>
      <c r="D1309">
        <v>10</v>
      </c>
      <c r="E1309">
        <v>2020</v>
      </c>
      <c r="F1309">
        <v>9103</v>
      </c>
      <c r="G1309" t="str">
        <f>VLOOKUP(F1309,'[1]Sheet 1'!$B$2:$E$347,2,FALSE)</f>
        <v>La Araucanía</v>
      </c>
      <c r="H1309" t="str">
        <f>VLOOKUP(F1309,'[1]Sheet 1'!$B$2:$E$347,3,FALSE)</f>
        <v>Cautín</v>
      </c>
      <c r="I1309" t="str">
        <f>VLOOKUP(F1309,'[1]Sheet 1'!$B$2:$E$347,4,FALSE)</f>
        <v>Cunco</v>
      </c>
      <c r="J1309" t="s">
        <v>136</v>
      </c>
      <c r="K1309" s="3" t="s">
        <v>0</v>
      </c>
      <c r="L1309" s="12" t="str">
        <f>VLOOKUP(K1309,[2]Hoja4!$A$2:$C$443,2,FALSE)</f>
        <v>Intentional self-harm by hanging, strangulation and suffocation</v>
      </c>
      <c r="M1309" s="12" t="str">
        <f>VLOOKUP(K1309,[2]Hoja4!$A$2:$C$443,3,FALSE)</f>
        <v>Unspecified place</v>
      </c>
      <c r="N1309" s="1">
        <v>5.4</v>
      </c>
      <c r="O1309" s="1">
        <v>13.8</v>
      </c>
      <c r="P1309" s="1">
        <v>10</v>
      </c>
      <c r="Q1309" s="1">
        <v>1006.5</v>
      </c>
      <c r="R1309" s="1">
        <v>8.4</v>
      </c>
      <c r="S1309" s="1">
        <v>95.5</v>
      </c>
      <c r="T1309" s="5">
        <v>0.1158</v>
      </c>
      <c r="U1309" s="10">
        <v>7.0000000000000001E-3</v>
      </c>
    </row>
    <row r="1310" spans="1:21" customFormat="1">
      <c r="A1310">
        <v>1</v>
      </c>
      <c r="B1310">
        <v>70</v>
      </c>
      <c r="C1310">
        <v>25</v>
      </c>
      <c r="D1310">
        <v>10</v>
      </c>
      <c r="E1310">
        <v>2020</v>
      </c>
      <c r="F1310">
        <v>6304</v>
      </c>
      <c r="G1310" t="str">
        <f>VLOOKUP(F1310,'[1]Sheet 1'!$B$2:$E$347,2,FALSE)</f>
        <v>Libertador General Bernardo O'Higgins</v>
      </c>
      <c r="H1310" t="str">
        <f>VLOOKUP(F1310,'[1]Sheet 1'!$B$2:$E$347,3,FALSE)</f>
        <v>Colchagua</v>
      </c>
      <c r="I1310" t="str">
        <f>VLOOKUP(F1310,'[1]Sheet 1'!$B$2:$E$347,4,FALSE)</f>
        <v>Lolol</v>
      </c>
      <c r="J1310" t="s">
        <v>136</v>
      </c>
      <c r="K1310" s="3" t="s">
        <v>0</v>
      </c>
      <c r="L1310" s="12" t="str">
        <f>VLOOKUP(K1310,[2]Hoja4!$A$2:$C$443,2,FALSE)</f>
        <v>Intentional self-harm by hanging, strangulation and suffocation</v>
      </c>
      <c r="M1310" s="12" t="str">
        <f>VLOOKUP(K1310,[2]Hoja4!$A$2:$C$443,3,FALSE)</f>
        <v>Unspecified place</v>
      </c>
      <c r="N1310" s="1">
        <v>9.9</v>
      </c>
      <c r="O1310" s="1">
        <v>18.600000000000001</v>
      </c>
      <c r="P1310" s="1">
        <v>13.1</v>
      </c>
      <c r="Q1310" s="1">
        <v>986.8</v>
      </c>
      <c r="R1310" s="1">
        <v>0</v>
      </c>
      <c r="S1310" s="1">
        <v>83.2</v>
      </c>
      <c r="T1310" s="5">
        <v>0.1158</v>
      </c>
      <c r="U1310" s="10">
        <v>7.0000000000000001E-3</v>
      </c>
    </row>
    <row r="1311" spans="1:21" customFormat="1">
      <c r="A1311">
        <v>1</v>
      </c>
      <c r="B1311">
        <v>63</v>
      </c>
      <c r="C1311">
        <v>25</v>
      </c>
      <c r="D1311">
        <v>10</v>
      </c>
      <c r="E1311">
        <v>2020</v>
      </c>
      <c r="F1311">
        <v>5601</v>
      </c>
      <c r="G1311" t="str">
        <f>VLOOKUP(F1311,'[1]Sheet 1'!$B$2:$E$347,2,FALSE)</f>
        <v>Valparaíso</v>
      </c>
      <c r="H1311" t="str">
        <f>VLOOKUP(F1311,'[1]Sheet 1'!$B$2:$E$347,3,FALSE)</f>
        <v>San Antonio</v>
      </c>
      <c r="I1311" t="str">
        <f>VLOOKUP(F1311,'[1]Sheet 1'!$B$2:$E$347,4,FALSE)</f>
        <v>San Antonio</v>
      </c>
      <c r="J1311" t="s">
        <v>136</v>
      </c>
      <c r="K1311" s="3" t="s">
        <v>4</v>
      </c>
      <c r="L1311" s="12" t="str">
        <f>VLOOKUP(K1311,[2]Hoja4!$A$2:$C$443,2,FALSE)</f>
        <v>Intentional self-harm by hanging, strangulation and suffocation</v>
      </c>
      <c r="M1311" s="12" t="str">
        <f>VLOOKUP(K1311,[2]Hoja4!$A$2:$C$443,3,FALSE)</f>
        <v>At home</v>
      </c>
      <c r="N1311" s="1">
        <v>9.8000000000000007</v>
      </c>
      <c r="O1311" s="1">
        <v>17.8</v>
      </c>
      <c r="P1311" s="1">
        <v>13.8</v>
      </c>
      <c r="Q1311" s="1">
        <v>1014</v>
      </c>
      <c r="R1311" s="1">
        <v>0</v>
      </c>
      <c r="S1311" s="1">
        <v>87</v>
      </c>
      <c r="T1311" s="5">
        <v>0.1158</v>
      </c>
      <c r="U1311" s="10">
        <v>7.0000000000000001E-3</v>
      </c>
    </row>
    <row r="1312" spans="1:21" customFormat="1">
      <c r="A1312">
        <v>1</v>
      </c>
      <c r="B1312">
        <v>56</v>
      </c>
      <c r="C1312">
        <v>25</v>
      </c>
      <c r="D1312">
        <v>10</v>
      </c>
      <c r="E1312">
        <v>2020</v>
      </c>
      <c r="F1312">
        <v>4204</v>
      </c>
      <c r="G1312" t="str">
        <f>VLOOKUP(F1312,'[1]Sheet 1'!$B$2:$E$347,2,FALSE)</f>
        <v>Coquimbo</v>
      </c>
      <c r="H1312" t="str">
        <f>VLOOKUP(F1312,'[1]Sheet 1'!$B$2:$E$347,3,FALSE)</f>
        <v>Choapa</v>
      </c>
      <c r="I1312" t="str">
        <f>VLOOKUP(F1312,'[1]Sheet 1'!$B$2:$E$347,4,FALSE)</f>
        <v>Salamanca</v>
      </c>
      <c r="J1312" t="s">
        <v>136</v>
      </c>
      <c r="K1312" s="3" t="s">
        <v>4</v>
      </c>
      <c r="L1312" s="12" t="str">
        <f>VLOOKUP(K1312,[2]Hoja4!$A$2:$C$443,2,FALSE)</f>
        <v>Intentional self-harm by hanging, strangulation and suffocation</v>
      </c>
      <c r="M1312" s="12" t="str">
        <f>VLOOKUP(K1312,[2]Hoja4!$A$2:$C$443,3,FALSE)</f>
        <v>At home</v>
      </c>
      <c r="N1312" s="1">
        <v>7.7</v>
      </c>
      <c r="O1312" s="1">
        <v>24.2</v>
      </c>
      <c r="P1312" s="1">
        <v>14.5</v>
      </c>
      <c r="Q1312" s="1">
        <v>982.5</v>
      </c>
      <c r="R1312" s="1">
        <v>0</v>
      </c>
      <c r="S1312" s="1">
        <v>66.3</v>
      </c>
      <c r="T1312" s="5">
        <v>0.1158</v>
      </c>
      <c r="U1312" s="10">
        <v>7.0000000000000001E-3</v>
      </c>
    </row>
    <row r="1313" spans="1:21" customFormat="1">
      <c r="A1313">
        <v>1</v>
      </c>
      <c r="B1313">
        <v>51</v>
      </c>
      <c r="C1313">
        <v>25</v>
      </c>
      <c r="D1313">
        <v>10</v>
      </c>
      <c r="E1313">
        <v>2020</v>
      </c>
      <c r="F1313">
        <v>13115</v>
      </c>
      <c r="G1313" t="str">
        <f>VLOOKUP(F1313,'[1]Sheet 1'!$B$2:$E$347,2,FALSE)</f>
        <v>Metropolitana de Santiago</v>
      </c>
      <c r="H1313" t="str">
        <f>VLOOKUP(F1313,'[1]Sheet 1'!$B$2:$E$347,3,FALSE)</f>
        <v>Santiago</v>
      </c>
      <c r="I1313" t="str">
        <f>VLOOKUP(F1313,'[1]Sheet 1'!$B$2:$E$347,4,FALSE)</f>
        <v>Lo Barnechea</v>
      </c>
      <c r="J1313" t="s">
        <v>136</v>
      </c>
      <c r="K1313" s="3" t="s">
        <v>0</v>
      </c>
      <c r="L1313" s="12" t="str">
        <f>VLOOKUP(K1313,[2]Hoja4!$A$2:$C$443,2,FALSE)</f>
        <v>Intentional self-harm by hanging, strangulation and suffocation</v>
      </c>
      <c r="M1313" s="12" t="str">
        <f>VLOOKUP(K1313,[2]Hoja4!$A$2:$C$443,3,FALSE)</f>
        <v>Unspecified place</v>
      </c>
      <c r="N1313" s="1">
        <v>10.7</v>
      </c>
      <c r="O1313" s="1">
        <v>23</v>
      </c>
      <c r="P1313" s="1">
        <v>15.3</v>
      </c>
      <c r="Q1313" s="1">
        <v>960.2</v>
      </c>
      <c r="R1313" s="1"/>
      <c r="S1313" s="1">
        <v>64</v>
      </c>
      <c r="T1313" s="5">
        <v>0.1158</v>
      </c>
      <c r="U1313" s="10">
        <v>7.0000000000000001E-3</v>
      </c>
    </row>
    <row r="1314" spans="1:21" customFormat="1">
      <c r="A1314">
        <v>1</v>
      </c>
      <c r="B1314">
        <v>27</v>
      </c>
      <c r="C1314">
        <v>25</v>
      </c>
      <c r="D1314">
        <v>10</v>
      </c>
      <c r="E1314">
        <v>2020</v>
      </c>
      <c r="F1314">
        <v>7401</v>
      </c>
      <c r="G1314" t="str">
        <f>VLOOKUP(F1314,'[1]Sheet 1'!$B$2:$E$347,2,FALSE)</f>
        <v>Maule</v>
      </c>
      <c r="H1314" t="str">
        <f>VLOOKUP(F1314,'[1]Sheet 1'!$B$2:$E$347,3,FALSE)</f>
        <v>Linares</v>
      </c>
      <c r="I1314" t="str">
        <f>VLOOKUP(F1314,'[1]Sheet 1'!$B$2:$E$347,4,FALSE)</f>
        <v>Linares</v>
      </c>
      <c r="J1314" t="s">
        <v>136</v>
      </c>
      <c r="K1314" s="3" t="s">
        <v>0</v>
      </c>
      <c r="L1314" s="12" t="str">
        <f>VLOOKUP(K1314,[2]Hoja4!$A$2:$C$443,2,FALSE)</f>
        <v>Intentional self-harm by hanging, strangulation and suffocation</v>
      </c>
      <c r="M1314" s="12" t="str">
        <f>VLOOKUP(K1314,[2]Hoja4!$A$2:$C$443,3,FALSE)</f>
        <v>Unspecified place</v>
      </c>
      <c r="N1314" s="1">
        <v>8.5</v>
      </c>
      <c r="O1314" s="1">
        <v>19.3</v>
      </c>
      <c r="P1314" s="1">
        <v>11.6</v>
      </c>
      <c r="Q1314" s="1">
        <v>1002.8</v>
      </c>
      <c r="R1314" s="1">
        <v>0</v>
      </c>
      <c r="S1314" s="1">
        <v>72.099999999999994</v>
      </c>
      <c r="T1314" s="5">
        <v>0.1158</v>
      </c>
      <c r="U1314" s="10">
        <v>7.0000000000000001E-3</v>
      </c>
    </row>
    <row r="1315" spans="1:21" customFormat="1">
      <c r="A1315">
        <v>1</v>
      </c>
      <c r="B1315">
        <v>84</v>
      </c>
      <c r="C1315">
        <v>26</v>
      </c>
      <c r="D1315">
        <v>10</v>
      </c>
      <c r="E1315">
        <v>2020</v>
      </c>
      <c r="F1315">
        <v>5109</v>
      </c>
      <c r="G1315" t="str">
        <f>VLOOKUP(F1315,'[1]Sheet 1'!$B$2:$E$347,2,FALSE)</f>
        <v>Valparaíso</v>
      </c>
      <c r="H1315" t="str">
        <f>VLOOKUP(F1315,'[1]Sheet 1'!$B$2:$E$347,3,FALSE)</f>
        <v>Valparaíso</v>
      </c>
      <c r="I1315" t="str">
        <f>VLOOKUP(F1315,'[1]Sheet 1'!$B$2:$E$347,4,FALSE)</f>
        <v>Viña del Mar</v>
      </c>
      <c r="J1315" t="s">
        <v>142</v>
      </c>
      <c r="K1315" s="3" t="s">
        <v>11</v>
      </c>
      <c r="L1315" s="12" t="str">
        <f>VLOOKUP(K1315,[2]Hoja4!$A$2:$C$443,2,FALSE)</f>
        <v>Intentional self-harm by other and unspecified firearm discharge</v>
      </c>
      <c r="M1315" s="12" t="str">
        <f>VLOOKUP(K1315,[2]Hoja4!$A$2:$C$443,3,FALSE)</f>
        <v>Unspecified place</v>
      </c>
      <c r="N1315" s="1">
        <v>9.1</v>
      </c>
      <c r="O1315" s="1">
        <v>23.2</v>
      </c>
      <c r="P1315" s="1">
        <v>14.5</v>
      </c>
      <c r="Q1315" s="1">
        <v>976.8</v>
      </c>
      <c r="R1315" s="1">
        <v>0</v>
      </c>
      <c r="S1315" s="1">
        <v>64</v>
      </c>
      <c r="T1315" s="5">
        <v>0.1158</v>
      </c>
      <c r="U1315" s="10">
        <v>7.0000000000000001E-3</v>
      </c>
    </row>
    <row r="1316" spans="1:21" customFormat="1">
      <c r="A1316">
        <v>1</v>
      </c>
      <c r="B1316">
        <v>66</v>
      </c>
      <c r="C1316">
        <v>26</v>
      </c>
      <c r="D1316">
        <v>10</v>
      </c>
      <c r="E1316">
        <v>2020</v>
      </c>
      <c r="F1316">
        <v>7105</v>
      </c>
      <c r="G1316" t="str">
        <f>VLOOKUP(F1316,'[1]Sheet 1'!$B$2:$E$347,2,FALSE)</f>
        <v>Maule</v>
      </c>
      <c r="H1316" t="str">
        <f>VLOOKUP(F1316,'[1]Sheet 1'!$B$2:$E$347,3,FALSE)</f>
        <v>Talca</v>
      </c>
      <c r="I1316" t="str">
        <f>VLOOKUP(F1316,'[1]Sheet 1'!$B$2:$E$347,4,FALSE)</f>
        <v>Maule</v>
      </c>
      <c r="J1316" t="s">
        <v>136</v>
      </c>
      <c r="K1316" s="3" t="s">
        <v>4</v>
      </c>
      <c r="L1316" s="12" t="str">
        <f>VLOOKUP(K1316,[2]Hoja4!$A$2:$C$443,2,FALSE)</f>
        <v>Intentional self-harm by hanging, strangulation and suffocation</v>
      </c>
      <c r="M1316" s="12" t="str">
        <f>VLOOKUP(K1316,[2]Hoja4!$A$2:$C$443,3,FALSE)</f>
        <v>At home</v>
      </c>
      <c r="N1316" s="1">
        <v>5.5</v>
      </c>
      <c r="O1316" s="1">
        <v>24.1</v>
      </c>
      <c r="P1316" s="1">
        <v>14.6</v>
      </c>
      <c r="Q1316" s="1">
        <v>1003.2</v>
      </c>
      <c r="R1316" s="1">
        <v>0.5</v>
      </c>
      <c r="S1316" s="1">
        <v>56.8</v>
      </c>
      <c r="T1316" s="5">
        <v>0.1158</v>
      </c>
      <c r="U1316" s="10">
        <v>7.0000000000000001E-3</v>
      </c>
    </row>
    <row r="1317" spans="1:21" customFormat="1">
      <c r="A1317">
        <v>1</v>
      </c>
      <c r="B1317">
        <v>64</v>
      </c>
      <c r="C1317">
        <v>26</v>
      </c>
      <c r="D1317">
        <v>10</v>
      </c>
      <c r="E1317">
        <v>2020</v>
      </c>
      <c r="F1317">
        <v>7403</v>
      </c>
      <c r="G1317" t="str">
        <f>VLOOKUP(F1317,'[1]Sheet 1'!$B$2:$E$347,2,FALSE)</f>
        <v>Maule</v>
      </c>
      <c r="H1317" t="str">
        <f>VLOOKUP(F1317,'[1]Sheet 1'!$B$2:$E$347,3,FALSE)</f>
        <v>Linares</v>
      </c>
      <c r="I1317" t="str">
        <f>VLOOKUP(F1317,'[1]Sheet 1'!$B$2:$E$347,4,FALSE)</f>
        <v>Longaví</v>
      </c>
      <c r="J1317" t="s">
        <v>136</v>
      </c>
      <c r="K1317" s="3" t="s">
        <v>4</v>
      </c>
      <c r="L1317" s="12" t="str">
        <f>VLOOKUP(K1317,[2]Hoja4!$A$2:$C$443,2,FALSE)</f>
        <v>Intentional self-harm by hanging, strangulation and suffocation</v>
      </c>
      <c r="M1317" s="12" t="str">
        <f>VLOOKUP(K1317,[2]Hoja4!$A$2:$C$443,3,FALSE)</f>
        <v>At home</v>
      </c>
      <c r="N1317" s="1">
        <v>4.5999999999999996</v>
      </c>
      <c r="O1317" s="1">
        <v>19.5</v>
      </c>
      <c r="P1317" s="1">
        <v>12.7</v>
      </c>
      <c r="Q1317" s="1">
        <v>997</v>
      </c>
      <c r="R1317" s="1">
        <v>0.1</v>
      </c>
      <c r="S1317" s="1">
        <v>67.599999999999994</v>
      </c>
      <c r="T1317" s="5">
        <v>0.1158</v>
      </c>
      <c r="U1317" s="10">
        <v>7.0000000000000001E-3</v>
      </c>
    </row>
    <row r="1318" spans="1:21" customFormat="1">
      <c r="A1318">
        <v>1</v>
      </c>
      <c r="B1318">
        <v>51</v>
      </c>
      <c r="C1318">
        <v>26</v>
      </c>
      <c r="D1318">
        <v>10</v>
      </c>
      <c r="E1318">
        <v>2020</v>
      </c>
      <c r="F1318">
        <v>13101</v>
      </c>
      <c r="G1318" t="str">
        <f>VLOOKUP(F1318,'[1]Sheet 1'!$B$2:$E$347,2,FALSE)</f>
        <v>Metropolitana de Santiago</v>
      </c>
      <c r="H1318" t="str">
        <f>VLOOKUP(F1318,'[1]Sheet 1'!$B$2:$E$347,3,FALSE)</f>
        <v>Santiago</v>
      </c>
      <c r="I1318" t="str">
        <f>VLOOKUP(F1318,'[1]Sheet 1'!$B$2:$E$347,4,FALSE)</f>
        <v>Santiago</v>
      </c>
      <c r="J1318" t="s">
        <v>136</v>
      </c>
      <c r="K1318" s="3" t="s">
        <v>0</v>
      </c>
      <c r="L1318" s="12" t="str">
        <f>VLOOKUP(K1318,[2]Hoja4!$A$2:$C$443,2,FALSE)</f>
        <v>Intentional self-harm by hanging, strangulation and suffocation</v>
      </c>
      <c r="M1318" s="12" t="str">
        <f>VLOOKUP(K1318,[2]Hoja4!$A$2:$C$443,3,FALSE)</f>
        <v>Unspecified place</v>
      </c>
      <c r="N1318" s="1">
        <v>8.4</v>
      </c>
      <c r="O1318" s="1">
        <v>27.7</v>
      </c>
      <c r="P1318" s="1">
        <v>17.2</v>
      </c>
      <c r="Q1318" s="1">
        <v>955.1</v>
      </c>
      <c r="R1318" s="1"/>
      <c r="S1318" s="1">
        <v>52</v>
      </c>
      <c r="T1318" s="5">
        <v>0.1158</v>
      </c>
      <c r="U1318" s="10">
        <v>7.0000000000000001E-3</v>
      </c>
    </row>
    <row r="1319" spans="1:21" customFormat="1">
      <c r="A1319">
        <v>1</v>
      </c>
      <c r="B1319">
        <v>34</v>
      </c>
      <c r="C1319">
        <v>26</v>
      </c>
      <c r="D1319">
        <v>10</v>
      </c>
      <c r="E1319">
        <v>2020</v>
      </c>
      <c r="F1319">
        <v>1107</v>
      </c>
      <c r="G1319" t="str">
        <f>VLOOKUP(F1319,'[1]Sheet 1'!$B$2:$E$347,2,FALSE)</f>
        <v>Tarapacá</v>
      </c>
      <c r="H1319" t="str">
        <f>VLOOKUP(F1319,'[1]Sheet 1'!$B$2:$E$347,3,FALSE)</f>
        <v>Iquique</v>
      </c>
      <c r="I1319" t="str">
        <f>VLOOKUP(F1319,'[1]Sheet 1'!$B$2:$E$347,4,FALSE)</f>
        <v>Alto Hospicio</v>
      </c>
      <c r="J1319" t="s">
        <v>136</v>
      </c>
      <c r="K1319" s="3" t="s">
        <v>2</v>
      </c>
      <c r="L1319" s="12" t="str">
        <f>VLOOKUP(K1319,[2]Hoja4!$A$2:$C$443,2,FALSE)</f>
        <v>Intentional self-harm by hanging, strangulation and suffocation</v>
      </c>
      <c r="M1319" s="12" t="str">
        <f>VLOOKUP(K1319,[2]Hoja4!$A$2:$C$443,3,FALSE)</f>
        <v>Street and highway</v>
      </c>
      <c r="N1319" s="1">
        <v>15.5</v>
      </c>
      <c r="O1319" s="1">
        <v>18.899999999999999</v>
      </c>
      <c r="P1319" s="1">
        <v>16.7</v>
      </c>
      <c r="Q1319" s="1">
        <v>1012.6</v>
      </c>
      <c r="R1319" s="1">
        <v>0</v>
      </c>
      <c r="S1319" s="1">
        <v>75.599999999999994</v>
      </c>
      <c r="T1319" s="5">
        <v>0.1158</v>
      </c>
      <c r="U1319" s="10">
        <v>7.0000000000000001E-3</v>
      </c>
    </row>
    <row r="1320" spans="1:21" customFormat="1">
      <c r="A1320">
        <v>1</v>
      </c>
      <c r="B1320">
        <v>35</v>
      </c>
      <c r="C1320">
        <v>26</v>
      </c>
      <c r="D1320">
        <v>10</v>
      </c>
      <c r="E1320">
        <v>2020</v>
      </c>
      <c r="F1320">
        <v>7101</v>
      </c>
      <c r="G1320" t="str">
        <f>VLOOKUP(F1320,'[1]Sheet 1'!$B$2:$E$347,2,FALSE)</f>
        <v>Maule</v>
      </c>
      <c r="H1320" t="str">
        <f>VLOOKUP(F1320,'[1]Sheet 1'!$B$2:$E$347,3,FALSE)</f>
        <v>Talca</v>
      </c>
      <c r="I1320" t="str">
        <f>VLOOKUP(F1320,'[1]Sheet 1'!$B$2:$E$347,4,FALSE)</f>
        <v>Talca</v>
      </c>
      <c r="J1320" t="s">
        <v>136</v>
      </c>
      <c r="K1320" s="3" t="s">
        <v>4</v>
      </c>
      <c r="L1320" s="12" t="str">
        <f>VLOOKUP(K1320,[2]Hoja4!$A$2:$C$443,2,FALSE)</f>
        <v>Intentional self-harm by hanging, strangulation and suffocation</v>
      </c>
      <c r="M1320" s="12" t="str">
        <f>VLOOKUP(K1320,[2]Hoja4!$A$2:$C$443,3,FALSE)</f>
        <v>At home</v>
      </c>
      <c r="N1320" s="1">
        <v>5.5</v>
      </c>
      <c r="O1320" s="1">
        <v>24.1</v>
      </c>
      <c r="P1320" s="1">
        <v>14.6</v>
      </c>
      <c r="Q1320" s="1">
        <v>1003.2</v>
      </c>
      <c r="R1320" s="1">
        <v>0.5</v>
      </c>
      <c r="S1320" s="1">
        <v>56.8</v>
      </c>
      <c r="T1320" s="5">
        <v>0.1158</v>
      </c>
      <c r="U1320" s="10">
        <v>7.0000000000000001E-3</v>
      </c>
    </row>
    <row r="1321" spans="1:21" customFormat="1">
      <c r="A1321">
        <v>1</v>
      </c>
      <c r="B1321">
        <v>18</v>
      </c>
      <c r="C1321">
        <v>26</v>
      </c>
      <c r="D1321">
        <v>10</v>
      </c>
      <c r="E1321">
        <v>2020</v>
      </c>
      <c r="F1321">
        <v>15101</v>
      </c>
      <c r="G1321" t="str">
        <f>VLOOKUP(F1321,'[1]Sheet 1'!$B$2:$E$347,2,FALSE)</f>
        <v>Arica y Parinacota</v>
      </c>
      <c r="H1321" t="str">
        <f>VLOOKUP(F1321,'[1]Sheet 1'!$B$2:$E$347,3,FALSE)</f>
        <v>Arica</v>
      </c>
      <c r="I1321" t="str">
        <f>VLOOKUP(F1321,'[1]Sheet 1'!$B$2:$E$347,4,FALSE)</f>
        <v>Arica</v>
      </c>
      <c r="J1321" t="s">
        <v>142</v>
      </c>
      <c r="K1321" s="3" t="s">
        <v>5</v>
      </c>
      <c r="L1321" s="12" t="str">
        <f>VLOOKUP(K1321,[2]Hoja4!$A$2:$C$443,2,FALSE)</f>
        <v>Intentional self-harm by other and unspecified firearm discharge</v>
      </c>
      <c r="M1321" s="12" t="str">
        <f>VLOOKUP(K1321,[2]Hoja4!$A$2:$C$443,3,FALSE)</f>
        <v>At home</v>
      </c>
      <c r="N1321" s="1">
        <v>16.399999999999999</v>
      </c>
      <c r="O1321" s="1">
        <v>21</v>
      </c>
      <c r="P1321" s="1">
        <v>18.7</v>
      </c>
      <c r="Q1321" s="1">
        <v>1010</v>
      </c>
      <c r="R1321" s="1">
        <v>0</v>
      </c>
      <c r="S1321" s="1">
        <v>67.8</v>
      </c>
      <c r="T1321" s="5">
        <v>0.1158</v>
      </c>
      <c r="U1321" s="10">
        <v>7.0000000000000001E-3</v>
      </c>
    </row>
    <row r="1322" spans="1:21" customFormat="1">
      <c r="A1322">
        <v>1</v>
      </c>
      <c r="B1322">
        <v>25</v>
      </c>
      <c r="C1322">
        <v>26</v>
      </c>
      <c r="D1322">
        <v>10</v>
      </c>
      <c r="E1322">
        <v>2020</v>
      </c>
      <c r="F1322">
        <v>9115</v>
      </c>
      <c r="G1322" t="str">
        <f>VLOOKUP(F1322,'[1]Sheet 1'!$B$2:$E$347,2,FALSE)</f>
        <v>La Araucanía</v>
      </c>
      <c r="H1322" t="str">
        <f>VLOOKUP(F1322,'[1]Sheet 1'!$B$2:$E$347,3,FALSE)</f>
        <v>Cautín</v>
      </c>
      <c r="I1322" t="str">
        <f>VLOOKUP(F1322,'[1]Sheet 1'!$B$2:$E$347,4,FALSE)</f>
        <v>Pucón</v>
      </c>
      <c r="J1322" t="s">
        <v>136</v>
      </c>
      <c r="K1322" s="3" t="s">
        <v>4</v>
      </c>
      <c r="L1322" s="12" t="str">
        <f>VLOOKUP(K1322,[2]Hoja4!$A$2:$C$443,2,FALSE)</f>
        <v>Intentional self-harm by hanging, strangulation and suffocation</v>
      </c>
      <c r="M1322" s="12" t="str">
        <f>VLOOKUP(K1322,[2]Hoja4!$A$2:$C$443,3,FALSE)</f>
        <v>At home</v>
      </c>
      <c r="N1322" s="1">
        <v>0.8</v>
      </c>
      <c r="O1322" s="1">
        <v>13.3</v>
      </c>
      <c r="P1322" s="1">
        <v>7.9</v>
      </c>
      <c r="Q1322" s="1">
        <v>1005.9</v>
      </c>
      <c r="R1322" s="1">
        <v>8</v>
      </c>
      <c r="S1322" s="1">
        <v>88.5</v>
      </c>
      <c r="T1322" s="5">
        <v>0.1158</v>
      </c>
      <c r="U1322" s="10">
        <v>7.0000000000000001E-3</v>
      </c>
    </row>
    <row r="1323" spans="1:21" customFormat="1">
      <c r="A1323">
        <v>2</v>
      </c>
      <c r="B1323">
        <v>27</v>
      </c>
      <c r="C1323">
        <v>26</v>
      </c>
      <c r="D1323">
        <v>10</v>
      </c>
      <c r="E1323">
        <v>2020</v>
      </c>
      <c r="F1323">
        <v>13603</v>
      </c>
      <c r="G1323" t="str">
        <f>VLOOKUP(F1323,'[1]Sheet 1'!$B$2:$E$347,2,FALSE)</f>
        <v>Metropolitana de Santiago</v>
      </c>
      <c r="H1323" t="str">
        <f>VLOOKUP(F1323,'[1]Sheet 1'!$B$2:$E$347,3,FALSE)</f>
        <v>Talagante</v>
      </c>
      <c r="I1323" t="str">
        <f>VLOOKUP(F1323,'[1]Sheet 1'!$B$2:$E$347,4,FALSE)</f>
        <v>Isla de Maipo</v>
      </c>
      <c r="J1323" t="s">
        <v>136</v>
      </c>
      <c r="K1323" s="3" t="s">
        <v>4</v>
      </c>
      <c r="L1323" s="12" t="str">
        <f>VLOOKUP(K1323,[2]Hoja4!$A$2:$C$443,2,FALSE)</f>
        <v>Intentional self-harm by hanging, strangulation and suffocation</v>
      </c>
      <c r="M1323" s="12" t="str">
        <f>VLOOKUP(K1323,[2]Hoja4!$A$2:$C$443,3,FALSE)</f>
        <v>At home</v>
      </c>
      <c r="N1323" s="1">
        <v>8.1</v>
      </c>
      <c r="O1323" s="1" t="s">
        <v>61</v>
      </c>
      <c r="P1323" s="1">
        <v>17.2</v>
      </c>
      <c r="Q1323" s="1">
        <v>1013.2</v>
      </c>
      <c r="R1323" s="1">
        <v>0</v>
      </c>
      <c r="S1323" s="1">
        <v>43.8</v>
      </c>
      <c r="T1323" s="5">
        <v>0.1158</v>
      </c>
      <c r="U1323" s="10">
        <v>7.0000000000000001E-3</v>
      </c>
    </row>
    <row r="1324" spans="1:21" customFormat="1">
      <c r="A1324">
        <v>1</v>
      </c>
      <c r="B1324">
        <v>92</v>
      </c>
      <c r="C1324">
        <v>27</v>
      </c>
      <c r="D1324">
        <v>10</v>
      </c>
      <c r="E1324">
        <v>2020</v>
      </c>
      <c r="F1324">
        <v>5701</v>
      </c>
      <c r="G1324" t="str">
        <f>VLOOKUP(F1324,'[1]Sheet 1'!$B$2:$E$347,2,FALSE)</f>
        <v>Valparaíso</v>
      </c>
      <c r="H1324" t="str">
        <f>VLOOKUP(F1324,'[1]Sheet 1'!$B$2:$E$347,3,FALSE)</f>
        <v>San Felipe de Aconcagua</v>
      </c>
      <c r="I1324" t="str">
        <f>VLOOKUP(F1324,'[1]Sheet 1'!$B$2:$E$347,4,FALSE)</f>
        <v>San Felipe</v>
      </c>
      <c r="J1324" t="s">
        <v>142</v>
      </c>
      <c r="K1324" s="3" t="s">
        <v>5</v>
      </c>
      <c r="L1324" s="12" t="str">
        <f>VLOOKUP(K1324,[2]Hoja4!$A$2:$C$443,2,FALSE)</f>
        <v>Intentional self-harm by other and unspecified firearm discharge</v>
      </c>
      <c r="M1324" s="12" t="str">
        <f>VLOOKUP(K1324,[2]Hoja4!$A$2:$C$443,3,FALSE)</f>
        <v>At home</v>
      </c>
      <c r="N1324" s="1">
        <v>7.5</v>
      </c>
      <c r="O1324" s="1" t="s">
        <v>104</v>
      </c>
      <c r="P1324" s="1">
        <v>13.9</v>
      </c>
      <c r="Q1324" s="1">
        <v>940.5</v>
      </c>
      <c r="R1324" s="1">
        <v>0</v>
      </c>
      <c r="S1324" s="1">
        <v>58</v>
      </c>
      <c r="T1324" s="5">
        <v>0.1158</v>
      </c>
      <c r="U1324" s="10">
        <v>7.0000000000000001E-3</v>
      </c>
    </row>
    <row r="1325" spans="1:21" customFormat="1">
      <c r="A1325">
        <v>1</v>
      </c>
      <c r="B1325">
        <v>59</v>
      </c>
      <c r="C1325">
        <v>27</v>
      </c>
      <c r="D1325">
        <v>10</v>
      </c>
      <c r="E1325">
        <v>2020</v>
      </c>
      <c r="F1325">
        <v>13402</v>
      </c>
      <c r="G1325" t="str">
        <f>VLOOKUP(F1325,'[1]Sheet 1'!$B$2:$E$347,2,FALSE)</f>
        <v>Metropolitana de Santiago</v>
      </c>
      <c r="H1325" t="str">
        <f>VLOOKUP(F1325,'[1]Sheet 1'!$B$2:$E$347,3,FALSE)</f>
        <v>Maipo</v>
      </c>
      <c r="I1325" t="str">
        <f>VLOOKUP(F1325,'[1]Sheet 1'!$B$2:$E$347,4,FALSE)</f>
        <v>Buin</v>
      </c>
      <c r="J1325" t="s">
        <v>137</v>
      </c>
      <c r="K1325" s="3" t="s">
        <v>3</v>
      </c>
      <c r="L1325" s="12" t="str">
        <f>VLOOKUP(K1325,[2]Hoja4!$A$2:$C$443,2,FALSE)</f>
        <v>Intentional self-poisoning by and exposure to pesticides</v>
      </c>
      <c r="M1325" s="12" t="str">
        <f>VLOOKUP(K1325,[2]Hoja4!$A$2:$C$443,3,FALSE)</f>
        <v>Unspecified place</v>
      </c>
      <c r="N1325" s="1">
        <v>7.7</v>
      </c>
      <c r="O1325" s="1">
        <v>14.8</v>
      </c>
      <c r="P1325" s="1">
        <v>11.5</v>
      </c>
      <c r="Q1325" s="1">
        <v>967.2</v>
      </c>
      <c r="R1325" s="1">
        <v>0</v>
      </c>
      <c r="S1325" s="1">
        <v>71.2</v>
      </c>
      <c r="T1325" s="5">
        <v>0.1158</v>
      </c>
      <c r="U1325" s="10">
        <v>7.0000000000000001E-3</v>
      </c>
    </row>
    <row r="1326" spans="1:21" customFormat="1">
      <c r="A1326">
        <v>1</v>
      </c>
      <c r="B1326">
        <v>51</v>
      </c>
      <c r="C1326">
        <v>27</v>
      </c>
      <c r="D1326">
        <v>10</v>
      </c>
      <c r="E1326">
        <v>2020</v>
      </c>
      <c r="F1326">
        <v>5109</v>
      </c>
      <c r="G1326" t="str">
        <f>VLOOKUP(F1326,'[1]Sheet 1'!$B$2:$E$347,2,FALSE)</f>
        <v>Valparaíso</v>
      </c>
      <c r="H1326" t="str">
        <f>VLOOKUP(F1326,'[1]Sheet 1'!$B$2:$E$347,3,FALSE)</f>
        <v>Valparaíso</v>
      </c>
      <c r="I1326" t="str">
        <f>VLOOKUP(F1326,'[1]Sheet 1'!$B$2:$E$347,4,FALSE)</f>
        <v>Viña del Mar</v>
      </c>
      <c r="J1326" t="s">
        <v>136</v>
      </c>
      <c r="K1326" s="3" t="s">
        <v>4</v>
      </c>
      <c r="L1326" s="12" t="str">
        <f>VLOOKUP(K1326,[2]Hoja4!$A$2:$C$443,2,FALSE)</f>
        <v>Intentional self-harm by hanging, strangulation and suffocation</v>
      </c>
      <c r="M1326" s="12" t="str">
        <f>VLOOKUP(K1326,[2]Hoja4!$A$2:$C$443,3,FALSE)</f>
        <v>At home</v>
      </c>
      <c r="N1326" s="1">
        <v>6.5</v>
      </c>
      <c r="O1326" s="1">
        <v>18.3</v>
      </c>
      <c r="P1326" s="1">
        <v>10.8</v>
      </c>
      <c r="Q1326" s="1">
        <v>979.3</v>
      </c>
      <c r="R1326" s="1">
        <v>0</v>
      </c>
      <c r="S1326" s="1">
        <v>77.2</v>
      </c>
      <c r="T1326" s="5">
        <v>0.1158</v>
      </c>
      <c r="U1326" s="10">
        <v>7.0000000000000001E-3</v>
      </c>
    </row>
    <row r="1327" spans="1:21" customFormat="1">
      <c r="A1327">
        <v>2</v>
      </c>
      <c r="B1327">
        <v>29</v>
      </c>
      <c r="C1327">
        <v>27</v>
      </c>
      <c r="D1327">
        <v>10</v>
      </c>
      <c r="E1327">
        <v>2020</v>
      </c>
      <c r="F1327">
        <v>5601</v>
      </c>
      <c r="G1327" t="str">
        <f>VLOOKUP(F1327,'[1]Sheet 1'!$B$2:$E$347,2,FALSE)</f>
        <v>Valparaíso</v>
      </c>
      <c r="H1327" t="str">
        <f>VLOOKUP(F1327,'[1]Sheet 1'!$B$2:$E$347,3,FALSE)</f>
        <v>San Antonio</v>
      </c>
      <c r="I1327" t="str">
        <f>VLOOKUP(F1327,'[1]Sheet 1'!$B$2:$E$347,4,FALSE)</f>
        <v>San Antonio</v>
      </c>
      <c r="J1327" t="s">
        <v>140</v>
      </c>
      <c r="K1327" s="3" t="s">
        <v>20</v>
      </c>
      <c r="L1327" s="12" t="str">
        <f>VLOOKUP(K1327,[2]Hoja4!$A$2:$C$443,2,FALSE)</f>
        <v>Intentional self-poisoning by and exposure to other and unspecified drugs, medicaments and biological substances</v>
      </c>
      <c r="M1327" s="12" t="str">
        <f>VLOOKUP(K1327,[2]Hoja4!$A$2:$C$443,3,FALSE)</f>
        <v>Unspecified place</v>
      </c>
      <c r="N1327" s="1">
        <v>7</v>
      </c>
      <c r="O1327" s="1">
        <v>16</v>
      </c>
      <c r="P1327" s="1">
        <v>11.5</v>
      </c>
      <c r="Q1327" s="1">
        <v>1011.3</v>
      </c>
      <c r="R1327" s="1">
        <v>0</v>
      </c>
      <c r="S1327" s="1">
        <v>86.8</v>
      </c>
      <c r="T1327" s="5">
        <v>0.1158</v>
      </c>
      <c r="U1327" s="10">
        <v>7.0000000000000001E-3</v>
      </c>
    </row>
    <row r="1328" spans="1:21" customFormat="1">
      <c r="A1328">
        <v>2</v>
      </c>
      <c r="B1328">
        <v>62</v>
      </c>
      <c r="C1328">
        <v>28</v>
      </c>
      <c r="D1328">
        <v>10</v>
      </c>
      <c r="E1328">
        <v>2020</v>
      </c>
      <c r="F1328">
        <v>13118</v>
      </c>
      <c r="G1328" t="str">
        <f>VLOOKUP(F1328,'[1]Sheet 1'!$B$2:$E$347,2,FALSE)</f>
        <v>Metropolitana de Santiago</v>
      </c>
      <c r="H1328" t="str">
        <f>VLOOKUP(F1328,'[1]Sheet 1'!$B$2:$E$347,3,FALSE)</f>
        <v>Santiago</v>
      </c>
      <c r="I1328" t="str">
        <f>VLOOKUP(F1328,'[1]Sheet 1'!$B$2:$E$347,4,FALSE)</f>
        <v>Macul</v>
      </c>
      <c r="J1328" t="s">
        <v>136</v>
      </c>
      <c r="K1328" s="3" t="s">
        <v>0</v>
      </c>
      <c r="L1328" s="12" t="str">
        <f>VLOOKUP(K1328,[2]Hoja4!$A$2:$C$443,2,FALSE)</f>
        <v>Intentional self-harm by hanging, strangulation and suffocation</v>
      </c>
      <c r="M1328" s="12" t="str">
        <f>VLOOKUP(K1328,[2]Hoja4!$A$2:$C$443,3,FALSE)</f>
        <v>Unspecified place</v>
      </c>
      <c r="N1328" s="1">
        <v>7</v>
      </c>
      <c r="O1328" s="1">
        <v>24.2</v>
      </c>
      <c r="P1328" s="1">
        <v>14.2</v>
      </c>
      <c r="Q1328" s="1">
        <v>958.5</v>
      </c>
      <c r="R1328" s="1"/>
      <c r="S1328" s="1">
        <v>55.5</v>
      </c>
      <c r="T1328" s="5">
        <v>0.1158</v>
      </c>
      <c r="U1328" s="10">
        <v>7.0000000000000001E-3</v>
      </c>
    </row>
    <row r="1329" spans="1:21" customFormat="1">
      <c r="A1329">
        <v>1</v>
      </c>
      <c r="B1329">
        <v>46</v>
      </c>
      <c r="C1329">
        <v>28</v>
      </c>
      <c r="D1329">
        <v>10</v>
      </c>
      <c r="E1329">
        <v>2020</v>
      </c>
      <c r="F1329">
        <v>13116</v>
      </c>
      <c r="G1329" t="str">
        <f>VLOOKUP(F1329,'[1]Sheet 1'!$B$2:$E$347,2,FALSE)</f>
        <v>Metropolitana de Santiago</v>
      </c>
      <c r="H1329" t="str">
        <f>VLOOKUP(F1329,'[1]Sheet 1'!$B$2:$E$347,3,FALSE)</f>
        <v>Santiago</v>
      </c>
      <c r="I1329" t="str">
        <f>VLOOKUP(F1329,'[1]Sheet 1'!$B$2:$E$347,4,FALSE)</f>
        <v>Lo Espejo</v>
      </c>
      <c r="J1329" t="s">
        <v>136</v>
      </c>
      <c r="K1329" s="3" t="s">
        <v>0</v>
      </c>
      <c r="L1329" s="12" t="str">
        <f>VLOOKUP(K1329,[2]Hoja4!$A$2:$C$443,2,FALSE)</f>
        <v>Intentional self-harm by hanging, strangulation and suffocation</v>
      </c>
      <c r="M1329" s="12" t="str">
        <f>VLOOKUP(K1329,[2]Hoja4!$A$2:$C$443,3,FALSE)</f>
        <v>Unspecified place</v>
      </c>
      <c r="N1329" s="1">
        <v>7</v>
      </c>
      <c r="O1329" s="1">
        <v>24.2</v>
      </c>
      <c r="P1329" s="1">
        <v>14.2</v>
      </c>
      <c r="Q1329" s="1">
        <v>958.5</v>
      </c>
      <c r="R1329" s="1"/>
      <c r="S1329" s="1">
        <v>55.5</v>
      </c>
      <c r="T1329" s="5">
        <v>0.1158</v>
      </c>
      <c r="U1329" s="10">
        <v>7.0000000000000001E-3</v>
      </c>
    </row>
    <row r="1330" spans="1:21" customFormat="1">
      <c r="A1330">
        <v>1</v>
      </c>
      <c r="B1330">
        <v>43</v>
      </c>
      <c r="C1330">
        <v>28</v>
      </c>
      <c r="D1330">
        <v>10</v>
      </c>
      <c r="E1330">
        <v>2020</v>
      </c>
      <c r="F1330">
        <v>13105</v>
      </c>
      <c r="G1330" t="str">
        <f>VLOOKUP(F1330,'[1]Sheet 1'!$B$2:$E$347,2,FALSE)</f>
        <v>Metropolitana de Santiago</v>
      </c>
      <c r="H1330" t="str">
        <f>VLOOKUP(F1330,'[1]Sheet 1'!$B$2:$E$347,3,FALSE)</f>
        <v>Santiago</v>
      </c>
      <c r="I1330" t="str">
        <f>VLOOKUP(F1330,'[1]Sheet 1'!$B$2:$E$347,4,FALSE)</f>
        <v>El Bosque</v>
      </c>
      <c r="J1330" t="s">
        <v>136</v>
      </c>
      <c r="K1330" s="3" t="s">
        <v>0</v>
      </c>
      <c r="L1330" s="12" t="str">
        <f>VLOOKUP(K1330,[2]Hoja4!$A$2:$C$443,2,FALSE)</f>
        <v>Intentional self-harm by hanging, strangulation and suffocation</v>
      </c>
      <c r="M1330" s="12" t="str">
        <f>VLOOKUP(K1330,[2]Hoja4!$A$2:$C$443,3,FALSE)</f>
        <v>Unspecified place</v>
      </c>
      <c r="N1330" s="1">
        <v>7</v>
      </c>
      <c r="O1330" s="1">
        <v>24.2</v>
      </c>
      <c r="P1330" s="1">
        <v>14.2</v>
      </c>
      <c r="Q1330" s="1">
        <v>958.5</v>
      </c>
      <c r="R1330" s="1"/>
      <c r="S1330" s="1">
        <v>55.5</v>
      </c>
      <c r="T1330" s="5">
        <v>0.1158</v>
      </c>
      <c r="U1330" s="10">
        <v>7.0000000000000001E-3</v>
      </c>
    </row>
    <row r="1331" spans="1:21" customFormat="1">
      <c r="A1331">
        <v>1</v>
      </c>
      <c r="B1331">
        <v>36</v>
      </c>
      <c r="C1331">
        <v>28</v>
      </c>
      <c r="D1331">
        <v>10</v>
      </c>
      <c r="E1331">
        <v>2020</v>
      </c>
      <c r="F1331">
        <v>16101</v>
      </c>
      <c r="G1331" t="str">
        <f>VLOOKUP(F1331,'[1]Sheet 1'!$B$2:$E$347,2,FALSE)</f>
        <v>Ñuble</v>
      </c>
      <c r="H1331" t="str">
        <f>VLOOKUP(F1331,'[1]Sheet 1'!$B$2:$E$347,3,FALSE)</f>
        <v>Diguillín</v>
      </c>
      <c r="I1331" t="str">
        <f>VLOOKUP(F1331,'[1]Sheet 1'!$B$2:$E$347,4,FALSE)</f>
        <v>Chillán</v>
      </c>
      <c r="J1331" t="s">
        <v>136</v>
      </c>
      <c r="K1331" s="3" t="s">
        <v>0</v>
      </c>
      <c r="L1331" s="12" t="str">
        <f>VLOOKUP(K1331,[2]Hoja4!$A$2:$C$443,2,FALSE)</f>
        <v>Intentional self-harm by hanging, strangulation and suffocation</v>
      </c>
      <c r="M1331" s="12" t="str">
        <f>VLOOKUP(K1331,[2]Hoja4!$A$2:$C$443,3,FALSE)</f>
        <v>Unspecified place</v>
      </c>
      <c r="N1331" s="1">
        <v>8.6999999999999993</v>
      </c>
      <c r="O1331" s="1">
        <v>19.2</v>
      </c>
      <c r="P1331" s="1">
        <v>12.7</v>
      </c>
      <c r="Q1331" s="1">
        <v>1005</v>
      </c>
      <c r="R1331" s="1">
        <v>0</v>
      </c>
      <c r="S1331" s="1">
        <v>74.8</v>
      </c>
      <c r="T1331" s="5">
        <v>0.1158</v>
      </c>
      <c r="U1331" s="10">
        <v>7.0000000000000001E-3</v>
      </c>
    </row>
    <row r="1332" spans="1:21" customFormat="1">
      <c r="A1332">
        <v>1</v>
      </c>
      <c r="B1332">
        <v>12</v>
      </c>
      <c r="C1332">
        <v>28</v>
      </c>
      <c r="D1332">
        <v>10</v>
      </c>
      <c r="E1332">
        <v>2020</v>
      </c>
      <c r="F1332">
        <v>13107</v>
      </c>
      <c r="G1332" t="str">
        <f>VLOOKUP(F1332,'[1]Sheet 1'!$B$2:$E$347,2,FALSE)</f>
        <v>Metropolitana de Santiago</v>
      </c>
      <c r="H1332" t="str">
        <f>VLOOKUP(F1332,'[1]Sheet 1'!$B$2:$E$347,3,FALSE)</f>
        <v>Santiago</v>
      </c>
      <c r="I1332" t="str">
        <f>VLOOKUP(F1332,'[1]Sheet 1'!$B$2:$E$347,4,FALSE)</f>
        <v>Huechuraba</v>
      </c>
      <c r="J1332" t="s">
        <v>136</v>
      </c>
      <c r="K1332" s="3" t="s">
        <v>0</v>
      </c>
      <c r="L1332" s="12" t="str">
        <f>VLOOKUP(K1332,[2]Hoja4!$A$2:$C$443,2,FALSE)</f>
        <v>Intentional self-harm by hanging, strangulation and suffocation</v>
      </c>
      <c r="M1332" s="12" t="str">
        <f>VLOOKUP(K1332,[2]Hoja4!$A$2:$C$443,3,FALSE)</f>
        <v>Unspecified place</v>
      </c>
      <c r="N1332" s="1">
        <v>7</v>
      </c>
      <c r="O1332" s="1">
        <v>24.2</v>
      </c>
      <c r="P1332" s="1">
        <v>14.2</v>
      </c>
      <c r="Q1332" s="1">
        <v>958.5</v>
      </c>
      <c r="R1332" s="1"/>
      <c r="S1332" s="1">
        <v>55.5</v>
      </c>
      <c r="T1332" s="5">
        <v>0.1158</v>
      </c>
      <c r="U1332" s="10">
        <v>7.0000000000000001E-3</v>
      </c>
    </row>
    <row r="1333" spans="1:21" customFormat="1">
      <c r="A1333">
        <v>1</v>
      </c>
      <c r="B1333">
        <v>59</v>
      </c>
      <c r="C1333">
        <v>29</v>
      </c>
      <c r="D1333">
        <v>10</v>
      </c>
      <c r="E1333">
        <v>2020</v>
      </c>
      <c r="F1333">
        <v>13131</v>
      </c>
      <c r="G1333" t="str">
        <f>VLOOKUP(F1333,'[1]Sheet 1'!$B$2:$E$347,2,FALSE)</f>
        <v>Metropolitana de Santiago</v>
      </c>
      <c r="H1333" t="str">
        <f>VLOOKUP(F1333,'[1]Sheet 1'!$B$2:$E$347,3,FALSE)</f>
        <v>Santiago</v>
      </c>
      <c r="I1333" t="str">
        <f>VLOOKUP(F1333,'[1]Sheet 1'!$B$2:$E$347,4,FALSE)</f>
        <v>San Ramón</v>
      </c>
      <c r="J1333" t="s">
        <v>136</v>
      </c>
      <c r="K1333" s="3" t="s">
        <v>0</v>
      </c>
      <c r="L1333" s="12" t="str">
        <f>VLOOKUP(K1333,[2]Hoja4!$A$2:$C$443,2,FALSE)</f>
        <v>Intentional self-harm by hanging, strangulation and suffocation</v>
      </c>
      <c r="M1333" s="12" t="str">
        <f>VLOOKUP(K1333,[2]Hoja4!$A$2:$C$443,3,FALSE)</f>
        <v>Unspecified place</v>
      </c>
      <c r="N1333" s="1">
        <v>6.7</v>
      </c>
      <c r="O1333" s="1">
        <v>27.4</v>
      </c>
      <c r="P1333" s="1">
        <v>17.2</v>
      </c>
      <c r="Q1333" s="1">
        <v>954.9</v>
      </c>
      <c r="R1333" s="1"/>
      <c r="S1333" s="1">
        <v>41.2</v>
      </c>
      <c r="T1333" s="5">
        <v>0.1158</v>
      </c>
      <c r="U1333" s="10">
        <v>7.0000000000000001E-3</v>
      </c>
    </row>
    <row r="1334" spans="1:21" customFormat="1">
      <c r="A1334">
        <v>1</v>
      </c>
      <c r="B1334">
        <v>54</v>
      </c>
      <c r="C1334">
        <v>29</v>
      </c>
      <c r="D1334">
        <v>10</v>
      </c>
      <c r="E1334">
        <v>2020</v>
      </c>
      <c r="F1334">
        <v>14201</v>
      </c>
      <c r="G1334" t="str">
        <f>VLOOKUP(F1334,'[1]Sheet 1'!$B$2:$E$347,2,FALSE)</f>
        <v>Los Ríos</v>
      </c>
      <c r="H1334" t="str">
        <f>VLOOKUP(F1334,'[1]Sheet 1'!$B$2:$E$347,3,FALSE)</f>
        <v>Ranco</v>
      </c>
      <c r="I1334" t="str">
        <f>VLOOKUP(F1334,'[1]Sheet 1'!$B$2:$E$347,4,FALSE)</f>
        <v>La Unión</v>
      </c>
      <c r="J1334" t="s">
        <v>136</v>
      </c>
      <c r="K1334" s="3" t="s">
        <v>0</v>
      </c>
      <c r="L1334" s="12" t="str">
        <f>VLOOKUP(K1334,[2]Hoja4!$A$2:$C$443,2,FALSE)</f>
        <v>Intentional self-harm by hanging, strangulation and suffocation</v>
      </c>
      <c r="M1334" s="12" t="str">
        <f>VLOOKUP(K1334,[2]Hoja4!$A$2:$C$443,3,FALSE)</f>
        <v>Unspecified place</v>
      </c>
      <c r="N1334" s="1">
        <v>4.5999999999999996</v>
      </c>
      <c r="O1334" s="1">
        <v>19</v>
      </c>
      <c r="P1334" s="1">
        <v>10.6</v>
      </c>
      <c r="Q1334" s="1">
        <v>1015</v>
      </c>
      <c r="R1334" s="1">
        <v>0</v>
      </c>
      <c r="S1334" s="1">
        <v>69.5</v>
      </c>
      <c r="T1334" s="5">
        <v>0.1158</v>
      </c>
      <c r="U1334" s="10">
        <v>7.0000000000000001E-3</v>
      </c>
    </row>
    <row r="1335" spans="1:21" customFormat="1">
      <c r="A1335">
        <v>1</v>
      </c>
      <c r="B1335">
        <v>49</v>
      </c>
      <c r="C1335">
        <v>29</v>
      </c>
      <c r="D1335">
        <v>10</v>
      </c>
      <c r="E1335">
        <v>2020</v>
      </c>
      <c r="F1335">
        <v>5606</v>
      </c>
      <c r="G1335" t="str">
        <f>VLOOKUP(F1335,'[1]Sheet 1'!$B$2:$E$347,2,FALSE)</f>
        <v>Valparaíso</v>
      </c>
      <c r="H1335" t="str">
        <f>VLOOKUP(F1335,'[1]Sheet 1'!$B$2:$E$347,3,FALSE)</f>
        <v>San Antonio</v>
      </c>
      <c r="I1335" t="str">
        <f>VLOOKUP(F1335,'[1]Sheet 1'!$B$2:$E$347,4,FALSE)</f>
        <v>Santo Domingo</v>
      </c>
      <c r="J1335" t="s">
        <v>136</v>
      </c>
      <c r="K1335" s="3" t="s">
        <v>0</v>
      </c>
      <c r="L1335" s="12" t="str">
        <f>VLOOKUP(K1335,[2]Hoja4!$A$2:$C$443,2,FALSE)</f>
        <v>Intentional self-harm by hanging, strangulation and suffocation</v>
      </c>
      <c r="M1335" s="12" t="str">
        <f>VLOOKUP(K1335,[2]Hoja4!$A$2:$C$443,3,FALSE)</f>
        <v>Unspecified place</v>
      </c>
      <c r="N1335" s="1">
        <v>7.6</v>
      </c>
      <c r="O1335" s="1">
        <v>17</v>
      </c>
      <c r="P1335" s="1">
        <v>12.3</v>
      </c>
      <c r="Q1335" s="1">
        <v>1008.5</v>
      </c>
      <c r="R1335" s="1">
        <v>0</v>
      </c>
      <c r="S1335" s="1">
        <v>85</v>
      </c>
      <c r="T1335" s="5">
        <v>0.1158</v>
      </c>
      <c r="U1335" s="10">
        <v>7.0000000000000001E-3</v>
      </c>
    </row>
    <row r="1336" spans="1:21" customFormat="1">
      <c r="A1336">
        <v>1</v>
      </c>
      <c r="B1336">
        <v>43</v>
      </c>
      <c r="C1336">
        <v>29</v>
      </c>
      <c r="D1336">
        <v>10</v>
      </c>
      <c r="E1336">
        <v>2020</v>
      </c>
      <c r="F1336">
        <v>13604</v>
      </c>
      <c r="G1336" t="str">
        <f>VLOOKUP(F1336,'[1]Sheet 1'!$B$2:$E$347,2,FALSE)</f>
        <v>Metropolitana de Santiago</v>
      </c>
      <c r="H1336" t="str">
        <f>VLOOKUP(F1336,'[1]Sheet 1'!$B$2:$E$347,3,FALSE)</f>
        <v>Talagante</v>
      </c>
      <c r="I1336" t="str">
        <f>VLOOKUP(F1336,'[1]Sheet 1'!$B$2:$E$347,4,FALSE)</f>
        <v>Padre Hurtado</v>
      </c>
      <c r="J1336" t="s">
        <v>136</v>
      </c>
      <c r="K1336" s="3" t="s">
        <v>4</v>
      </c>
      <c r="L1336" s="12" t="str">
        <f>VLOOKUP(K1336,[2]Hoja4!$A$2:$C$443,2,FALSE)</f>
        <v>Intentional self-harm by hanging, strangulation and suffocation</v>
      </c>
      <c r="M1336" s="12" t="str">
        <f>VLOOKUP(K1336,[2]Hoja4!$A$2:$C$443,3,FALSE)</f>
        <v>At home</v>
      </c>
      <c r="N1336" s="1">
        <v>6.7</v>
      </c>
      <c r="O1336" s="1">
        <v>27.6</v>
      </c>
      <c r="P1336" s="1">
        <v>17</v>
      </c>
      <c r="Q1336" s="1">
        <v>1013.1</v>
      </c>
      <c r="R1336" s="1">
        <v>0</v>
      </c>
      <c r="S1336" s="1">
        <v>37</v>
      </c>
      <c r="T1336" s="5">
        <v>0.1158</v>
      </c>
      <c r="U1336" s="10">
        <v>7.0000000000000001E-3</v>
      </c>
    </row>
    <row r="1337" spans="1:21" customFormat="1">
      <c r="A1337">
        <v>2</v>
      </c>
      <c r="B1337">
        <v>37</v>
      </c>
      <c r="C1337">
        <v>29</v>
      </c>
      <c r="D1337">
        <v>10</v>
      </c>
      <c r="E1337">
        <v>2020</v>
      </c>
      <c r="F1337">
        <v>13101</v>
      </c>
      <c r="G1337" t="str">
        <f>VLOOKUP(F1337,'[1]Sheet 1'!$B$2:$E$347,2,FALSE)</f>
        <v>Metropolitana de Santiago</v>
      </c>
      <c r="H1337" t="str">
        <f>VLOOKUP(F1337,'[1]Sheet 1'!$B$2:$E$347,3,FALSE)</f>
        <v>Santiago</v>
      </c>
      <c r="I1337" t="str">
        <f>VLOOKUP(F1337,'[1]Sheet 1'!$B$2:$E$347,4,FALSE)</f>
        <v>Santiago</v>
      </c>
      <c r="J1337" t="s">
        <v>136</v>
      </c>
      <c r="K1337" s="3" t="s">
        <v>0</v>
      </c>
      <c r="L1337" s="12" t="str">
        <f>VLOOKUP(K1337,[2]Hoja4!$A$2:$C$443,2,FALSE)</f>
        <v>Intentional self-harm by hanging, strangulation and suffocation</v>
      </c>
      <c r="M1337" s="12" t="str">
        <f>VLOOKUP(K1337,[2]Hoja4!$A$2:$C$443,3,FALSE)</f>
        <v>Unspecified place</v>
      </c>
      <c r="N1337" s="1">
        <v>6.7</v>
      </c>
      <c r="O1337" s="1">
        <v>27.4</v>
      </c>
      <c r="P1337" s="1">
        <v>17.2</v>
      </c>
      <c r="Q1337" s="1">
        <v>954.9</v>
      </c>
      <c r="R1337" s="1"/>
      <c r="S1337" s="1">
        <v>41.2</v>
      </c>
      <c r="T1337" s="5">
        <v>0.1158</v>
      </c>
      <c r="U1337" s="10">
        <v>7.0000000000000001E-3</v>
      </c>
    </row>
    <row r="1338" spans="1:21" customFormat="1">
      <c r="A1338">
        <v>1</v>
      </c>
      <c r="B1338">
        <v>35</v>
      </c>
      <c r="C1338">
        <v>29</v>
      </c>
      <c r="D1338">
        <v>10</v>
      </c>
      <c r="E1338">
        <v>2020</v>
      </c>
      <c r="F1338">
        <v>4301</v>
      </c>
      <c r="G1338" t="str">
        <f>VLOOKUP(F1338,'[1]Sheet 1'!$B$2:$E$347,2,FALSE)</f>
        <v>Coquimbo</v>
      </c>
      <c r="H1338" t="str">
        <f>VLOOKUP(F1338,'[1]Sheet 1'!$B$2:$E$347,3,FALSE)</f>
        <v>Limarí</v>
      </c>
      <c r="I1338" t="str">
        <f>VLOOKUP(F1338,'[1]Sheet 1'!$B$2:$E$347,4,FALSE)</f>
        <v>Ovalle</v>
      </c>
      <c r="J1338" t="s">
        <v>136</v>
      </c>
      <c r="K1338" s="3" t="s">
        <v>4</v>
      </c>
      <c r="L1338" s="12" t="str">
        <f>VLOOKUP(K1338,[2]Hoja4!$A$2:$C$443,2,FALSE)</f>
        <v>Intentional self-harm by hanging, strangulation and suffocation</v>
      </c>
      <c r="M1338" s="12" t="str">
        <f>VLOOKUP(K1338,[2]Hoja4!$A$2:$C$443,3,FALSE)</f>
        <v>At home</v>
      </c>
      <c r="N1338" s="1"/>
      <c r="O1338" s="1"/>
      <c r="P1338" s="1"/>
      <c r="Q1338" s="1"/>
      <c r="R1338" s="1"/>
      <c r="S1338" s="1"/>
      <c r="T1338" s="5">
        <v>0.1158</v>
      </c>
      <c r="U1338" s="10">
        <v>7.0000000000000001E-3</v>
      </c>
    </row>
    <row r="1339" spans="1:21" customFormat="1">
      <c r="A1339">
        <v>1</v>
      </c>
      <c r="B1339">
        <v>29</v>
      </c>
      <c r="C1339">
        <v>29</v>
      </c>
      <c r="D1339">
        <v>10</v>
      </c>
      <c r="E1339">
        <v>2020</v>
      </c>
      <c r="F1339">
        <v>13122</v>
      </c>
      <c r="G1339" t="str">
        <f>VLOOKUP(F1339,'[1]Sheet 1'!$B$2:$E$347,2,FALSE)</f>
        <v>Metropolitana de Santiago</v>
      </c>
      <c r="H1339" t="str">
        <f>VLOOKUP(F1339,'[1]Sheet 1'!$B$2:$E$347,3,FALSE)</f>
        <v>Santiago</v>
      </c>
      <c r="I1339" t="str">
        <f>VLOOKUP(F1339,'[1]Sheet 1'!$B$2:$E$347,4,FALSE)</f>
        <v>Peñalolén</v>
      </c>
      <c r="J1339" t="s">
        <v>136</v>
      </c>
      <c r="K1339" s="3" t="s">
        <v>0</v>
      </c>
      <c r="L1339" s="12" t="str">
        <f>VLOOKUP(K1339,[2]Hoja4!$A$2:$C$443,2,FALSE)</f>
        <v>Intentional self-harm by hanging, strangulation and suffocation</v>
      </c>
      <c r="M1339" s="12" t="str">
        <f>VLOOKUP(K1339,[2]Hoja4!$A$2:$C$443,3,FALSE)</f>
        <v>Unspecified place</v>
      </c>
      <c r="N1339" s="1">
        <v>6.7</v>
      </c>
      <c r="O1339" s="1">
        <v>27.4</v>
      </c>
      <c r="P1339" s="1">
        <v>17.2</v>
      </c>
      <c r="Q1339" s="1">
        <v>954.9</v>
      </c>
      <c r="R1339" s="1"/>
      <c r="S1339" s="1">
        <v>41.2</v>
      </c>
      <c r="T1339" s="5">
        <v>0.1158</v>
      </c>
      <c r="U1339" s="10">
        <v>7.0000000000000001E-3</v>
      </c>
    </row>
    <row r="1340" spans="1:21" customFormat="1">
      <c r="A1340">
        <v>2</v>
      </c>
      <c r="B1340">
        <v>23</v>
      </c>
      <c r="C1340">
        <v>29</v>
      </c>
      <c r="D1340">
        <v>10</v>
      </c>
      <c r="E1340">
        <v>2020</v>
      </c>
      <c r="F1340">
        <v>14204</v>
      </c>
      <c r="G1340" t="str">
        <f>VLOOKUP(F1340,'[1]Sheet 1'!$B$2:$E$347,2,FALSE)</f>
        <v>Los Ríos</v>
      </c>
      <c r="H1340" t="str">
        <f>VLOOKUP(F1340,'[1]Sheet 1'!$B$2:$E$347,3,FALSE)</f>
        <v>Ranco</v>
      </c>
      <c r="I1340" t="str">
        <f>VLOOKUP(F1340,'[1]Sheet 1'!$B$2:$E$347,4,FALSE)</f>
        <v>Río Bueno</v>
      </c>
      <c r="J1340" t="s">
        <v>136</v>
      </c>
      <c r="K1340" s="3" t="s">
        <v>0</v>
      </c>
      <c r="L1340" s="12" t="str">
        <f>VLOOKUP(K1340,[2]Hoja4!$A$2:$C$443,2,FALSE)</f>
        <v>Intentional self-harm by hanging, strangulation and suffocation</v>
      </c>
      <c r="M1340" s="12" t="str">
        <f>VLOOKUP(K1340,[2]Hoja4!$A$2:$C$443,3,FALSE)</f>
        <v>Unspecified place</v>
      </c>
      <c r="N1340" s="1">
        <v>4.5999999999999996</v>
      </c>
      <c r="O1340" s="1">
        <v>19</v>
      </c>
      <c r="P1340" s="1">
        <v>10.6</v>
      </c>
      <c r="Q1340" s="1">
        <v>1015</v>
      </c>
      <c r="R1340" s="1">
        <v>0</v>
      </c>
      <c r="S1340" s="1">
        <v>69.5</v>
      </c>
      <c r="T1340" s="5">
        <v>0.1158</v>
      </c>
      <c r="U1340" s="10">
        <v>7.0000000000000001E-3</v>
      </c>
    </row>
    <row r="1341" spans="1:21" customFormat="1">
      <c r="A1341">
        <v>1</v>
      </c>
      <c r="B1341">
        <v>69</v>
      </c>
      <c r="C1341">
        <v>30</v>
      </c>
      <c r="D1341">
        <v>10</v>
      </c>
      <c r="E1341">
        <v>2020</v>
      </c>
      <c r="F1341">
        <v>9102</v>
      </c>
      <c r="G1341" t="str">
        <f>VLOOKUP(F1341,'[1]Sheet 1'!$B$2:$E$347,2,FALSE)</f>
        <v>La Araucanía</v>
      </c>
      <c r="H1341" t="str">
        <f>VLOOKUP(F1341,'[1]Sheet 1'!$B$2:$E$347,3,FALSE)</f>
        <v>Cautín</v>
      </c>
      <c r="I1341" t="str">
        <f>VLOOKUP(F1341,'[1]Sheet 1'!$B$2:$E$347,4,FALSE)</f>
        <v>Carahue</v>
      </c>
      <c r="J1341" t="s">
        <v>136</v>
      </c>
      <c r="K1341" s="3" t="s">
        <v>0</v>
      </c>
      <c r="L1341" s="12" t="str">
        <f>VLOOKUP(K1341,[2]Hoja4!$A$2:$C$443,2,FALSE)</f>
        <v>Intentional self-harm by hanging, strangulation and suffocation</v>
      </c>
      <c r="M1341" s="12" t="str">
        <f>VLOOKUP(K1341,[2]Hoja4!$A$2:$C$443,3,FALSE)</f>
        <v>Unspecified place</v>
      </c>
      <c r="N1341" s="1">
        <v>3.9</v>
      </c>
      <c r="O1341" s="1">
        <v>25.3</v>
      </c>
      <c r="P1341" s="1">
        <v>14.5</v>
      </c>
      <c r="Q1341" s="1">
        <v>1006.1</v>
      </c>
      <c r="R1341" s="1">
        <v>0</v>
      </c>
      <c r="S1341" s="1">
        <v>67.5</v>
      </c>
      <c r="T1341" s="5">
        <v>0.1158</v>
      </c>
      <c r="U1341" s="10">
        <v>7.0000000000000001E-3</v>
      </c>
    </row>
    <row r="1342" spans="1:21" customFormat="1">
      <c r="A1342">
        <v>2</v>
      </c>
      <c r="B1342">
        <v>51</v>
      </c>
      <c r="C1342">
        <v>30</v>
      </c>
      <c r="D1342">
        <v>10</v>
      </c>
      <c r="E1342">
        <v>2020</v>
      </c>
      <c r="F1342">
        <v>5701</v>
      </c>
      <c r="G1342" t="str">
        <f>VLOOKUP(F1342,'[1]Sheet 1'!$B$2:$E$347,2,FALSE)</f>
        <v>Valparaíso</v>
      </c>
      <c r="H1342" t="str">
        <f>VLOOKUP(F1342,'[1]Sheet 1'!$B$2:$E$347,3,FALSE)</f>
        <v>San Felipe de Aconcagua</v>
      </c>
      <c r="I1342" t="str">
        <f>VLOOKUP(F1342,'[1]Sheet 1'!$B$2:$E$347,4,FALSE)</f>
        <v>San Felipe</v>
      </c>
      <c r="J1342" t="s">
        <v>136</v>
      </c>
      <c r="K1342" s="3" t="s">
        <v>4</v>
      </c>
      <c r="L1342" s="12" t="str">
        <f>VLOOKUP(K1342,[2]Hoja4!$A$2:$C$443,2,FALSE)</f>
        <v>Intentional self-harm by hanging, strangulation and suffocation</v>
      </c>
      <c r="M1342" s="12" t="str">
        <f>VLOOKUP(K1342,[2]Hoja4!$A$2:$C$443,3,FALSE)</f>
        <v>At home</v>
      </c>
      <c r="N1342" s="1">
        <v>6.4</v>
      </c>
      <c r="O1342" s="1">
        <v>30.8</v>
      </c>
      <c r="P1342" s="1">
        <v>18.5</v>
      </c>
      <c r="Q1342" s="1">
        <v>938.8</v>
      </c>
      <c r="R1342" s="1">
        <v>0</v>
      </c>
      <c r="S1342" s="1">
        <v>38.299999999999997</v>
      </c>
      <c r="T1342" s="5">
        <v>0.1158</v>
      </c>
      <c r="U1342" s="10">
        <v>7.0000000000000001E-3</v>
      </c>
    </row>
    <row r="1343" spans="1:21" customFormat="1">
      <c r="A1343">
        <v>1</v>
      </c>
      <c r="B1343">
        <v>49</v>
      </c>
      <c r="C1343">
        <v>30</v>
      </c>
      <c r="D1343">
        <v>10</v>
      </c>
      <c r="E1343">
        <v>2020</v>
      </c>
      <c r="F1343">
        <v>7101</v>
      </c>
      <c r="G1343" t="str">
        <f>VLOOKUP(F1343,'[1]Sheet 1'!$B$2:$E$347,2,FALSE)</f>
        <v>Maule</v>
      </c>
      <c r="H1343" t="str">
        <f>VLOOKUP(F1343,'[1]Sheet 1'!$B$2:$E$347,3,FALSE)</f>
        <v>Talca</v>
      </c>
      <c r="I1343" t="str">
        <f>VLOOKUP(F1343,'[1]Sheet 1'!$B$2:$E$347,4,FALSE)</f>
        <v>Talca</v>
      </c>
      <c r="J1343" t="s">
        <v>136</v>
      </c>
      <c r="K1343" s="3" t="s">
        <v>0</v>
      </c>
      <c r="L1343" s="12" t="str">
        <f>VLOOKUP(K1343,[2]Hoja4!$A$2:$C$443,2,FALSE)</f>
        <v>Intentional self-harm by hanging, strangulation and suffocation</v>
      </c>
      <c r="M1343" s="12" t="str">
        <f>VLOOKUP(K1343,[2]Hoja4!$A$2:$C$443,3,FALSE)</f>
        <v>Unspecified place</v>
      </c>
      <c r="N1343" s="1">
        <v>6.7</v>
      </c>
      <c r="O1343" s="1">
        <v>30.8</v>
      </c>
      <c r="P1343" s="1">
        <v>18.399999999999999</v>
      </c>
      <c r="Q1343" s="1">
        <v>1002.4</v>
      </c>
      <c r="R1343" s="1">
        <v>0.1</v>
      </c>
      <c r="S1343" s="1">
        <v>56</v>
      </c>
      <c r="T1343" s="5">
        <v>0.1158</v>
      </c>
      <c r="U1343" s="10">
        <v>7.0000000000000001E-3</v>
      </c>
    </row>
    <row r="1344" spans="1:21" customFormat="1">
      <c r="A1344">
        <v>1</v>
      </c>
      <c r="B1344">
        <v>48</v>
      </c>
      <c r="C1344">
        <v>30</v>
      </c>
      <c r="D1344">
        <v>10</v>
      </c>
      <c r="E1344">
        <v>2020</v>
      </c>
      <c r="F1344">
        <v>4301</v>
      </c>
      <c r="G1344" t="str">
        <f>VLOOKUP(F1344,'[1]Sheet 1'!$B$2:$E$347,2,FALSE)</f>
        <v>Coquimbo</v>
      </c>
      <c r="H1344" t="str">
        <f>VLOOKUP(F1344,'[1]Sheet 1'!$B$2:$E$347,3,FALSE)</f>
        <v>Limarí</v>
      </c>
      <c r="I1344" t="str">
        <f>VLOOKUP(F1344,'[1]Sheet 1'!$B$2:$E$347,4,FALSE)</f>
        <v>Ovalle</v>
      </c>
      <c r="J1344" t="s">
        <v>136</v>
      </c>
      <c r="K1344" s="3" t="s">
        <v>4</v>
      </c>
      <c r="L1344" s="12" t="str">
        <f>VLOOKUP(K1344,[2]Hoja4!$A$2:$C$443,2,FALSE)</f>
        <v>Intentional self-harm by hanging, strangulation and suffocation</v>
      </c>
      <c r="M1344" s="12" t="str">
        <f>VLOOKUP(K1344,[2]Hoja4!$A$2:$C$443,3,FALSE)</f>
        <v>At home</v>
      </c>
      <c r="N1344" s="1"/>
      <c r="O1344" s="1"/>
      <c r="P1344" s="1"/>
      <c r="Q1344" s="1"/>
      <c r="R1344" s="1"/>
      <c r="S1344" s="1"/>
      <c r="T1344" s="5">
        <v>0.1158</v>
      </c>
      <c r="U1344" s="10">
        <v>7.0000000000000001E-3</v>
      </c>
    </row>
    <row r="1345" spans="1:21" customFormat="1">
      <c r="A1345">
        <v>2</v>
      </c>
      <c r="B1345">
        <v>37</v>
      </c>
      <c r="C1345">
        <v>30</v>
      </c>
      <c r="D1345">
        <v>10</v>
      </c>
      <c r="E1345">
        <v>2020</v>
      </c>
      <c r="F1345">
        <v>4101</v>
      </c>
      <c r="G1345" t="str">
        <f>VLOOKUP(F1345,'[1]Sheet 1'!$B$2:$E$347,2,FALSE)</f>
        <v>Coquimbo</v>
      </c>
      <c r="H1345" t="str">
        <f>VLOOKUP(F1345,'[1]Sheet 1'!$B$2:$E$347,3,FALSE)</f>
        <v>Elqui</v>
      </c>
      <c r="I1345" t="str">
        <f>VLOOKUP(F1345,'[1]Sheet 1'!$B$2:$E$347,4,FALSE)</f>
        <v>La Serena</v>
      </c>
      <c r="J1345" t="s">
        <v>136</v>
      </c>
      <c r="K1345" s="3" t="s">
        <v>4</v>
      </c>
      <c r="L1345" s="12" t="str">
        <f>VLOOKUP(K1345,[2]Hoja4!$A$2:$C$443,2,FALSE)</f>
        <v>Intentional self-harm by hanging, strangulation and suffocation</v>
      </c>
      <c r="M1345" s="12" t="str">
        <f>VLOOKUP(K1345,[2]Hoja4!$A$2:$C$443,3,FALSE)</f>
        <v>At home</v>
      </c>
      <c r="N1345" s="1">
        <v>10.9</v>
      </c>
      <c r="O1345" s="1">
        <v>16</v>
      </c>
      <c r="P1345" s="1">
        <v>12.5</v>
      </c>
      <c r="Q1345" s="1">
        <v>1000.2</v>
      </c>
      <c r="R1345" s="1">
        <v>0</v>
      </c>
      <c r="S1345" s="1">
        <v>85</v>
      </c>
      <c r="T1345" s="5">
        <v>0.1158</v>
      </c>
      <c r="U1345" s="10">
        <v>7.0000000000000001E-3</v>
      </c>
    </row>
    <row r="1346" spans="1:21" customFormat="1">
      <c r="A1346">
        <v>2</v>
      </c>
      <c r="B1346">
        <v>17</v>
      </c>
      <c r="C1346">
        <v>30</v>
      </c>
      <c r="D1346">
        <v>10</v>
      </c>
      <c r="E1346">
        <v>2020</v>
      </c>
      <c r="F1346">
        <v>6117</v>
      </c>
      <c r="G1346" t="str">
        <f>VLOOKUP(F1346,'[1]Sheet 1'!$B$2:$E$347,2,FALSE)</f>
        <v>Libertador General Bernardo O'Higgins</v>
      </c>
      <c r="H1346" t="str">
        <f>VLOOKUP(F1346,'[1]Sheet 1'!$B$2:$E$347,3,FALSE)</f>
        <v>Cachapoal</v>
      </c>
      <c r="I1346" t="str">
        <f>VLOOKUP(F1346,'[1]Sheet 1'!$B$2:$E$347,4,FALSE)</f>
        <v>San Vicente</v>
      </c>
      <c r="J1346" t="s">
        <v>136</v>
      </c>
      <c r="K1346" s="3" t="s">
        <v>0</v>
      </c>
      <c r="L1346" s="12" t="str">
        <f>VLOOKUP(K1346,[2]Hoja4!$A$2:$C$443,2,FALSE)</f>
        <v>Intentional self-harm by hanging, strangulation and suffocation</v>
      </c>
      <c r="M1346" s="12" t="str">
        <f>VLOOKUP(K1346,[2]Hoja4!$A$2:$C$443,3,FALSE)</f>
        <v>Unspecified place</v>
      </c>
      <c r="N1346" s="1">
        <v>7</v>
      </c>
      <c r="O1346" s="1">
        <v>29.5</v>
      </c>
      <c r="P1346" s="1">
        <v>18.7</v>
      </c>
      <c r="Q1346" s="1">
        <v>959.2</v>
      </c>
      <c r="R1346" s="1">
        <v>0</v>
      </c>
      <c r="S1346" s="1">
        <v>41.3</v>
      </c>
      <c r="T1346" s="5">
        <v>0.1158</v>
      </c>
      <c r="U1346" s="10">
        <v>7.0000000000000001E-3</v>
      </c>
    </row>
    <row r="1347" spans="1:21" customFormat="1">
      <c r="A1347">
        <v>2</v>
      </c>
      <c r="B1347">
        <v>17</v>
      </c>
      <c r="C1347">
        <v>30</v>
      </c>
      <c r="D1347">
        <v>10</v>
      </c>
      <c r="E1347">
        <v>2020</v>
      </c>
      <c r="F1347">
        <v>10101</v>
      </c>
      <c r="G1347" t="str">
        <f>VLOOKUP(F1347,'[1]Sheet 1'!$B$2:$E$347,2,FALSE)</f>
        <v>Los Lagos</v>
      </c>
      <c r="H1347" t="str">
        <f>VLOOKUP(F1347,'[1]Sheet 1'!$B$2:$E$347,3,FALSE)</f>
        <v>Llanquihue</v>
      </c>
      <c r="I1347" t="str">
        <f>VLOOKUP(F1347,'[1]Sheet 1'!$B$2:$E$347,4,FALSE)</f>
        <v>Puerto Montt</v>
      </c>
      <c r="J1347" t="s">
        <v>136</v>
      </c>
      <c r="K1347" s="3" t="s">
        <v>0</v>
      </c>
      <c r="L1347" s="12" t="str">
        <f>VLOOKUP(K1347,[2]Hoja4!$A$2:$C$443,2,FALSE)</f>
        <v>Intentional self-harm by hanging, strangulation and suffocation</v>
      </c>
      <c r="M1347" s="12" t="str">
        <f>VLOOKUP(K1347,[2]Hoja4!$A$2:$C$443,3,FALSE)</f>
        <v>Unspecified place</v>
      </c>
      <c r="N1347" s="1">
        <v>5.8</v>
      </c>
      <c r="O1347" s="1">
        <v>16.5</v>
      </c>
      <c r="P1347" s="1">
        <v>11</v>
      </c>
      <c r="Q1347" s="1">
        <v>1011.8</v>
      </c>
      <c r="R1347" s="1">
        <v>0</v>
      </c>
      <c r="S1347" s="1">
        <v>80</v>
      </c>
      <c r="T1347" s="5">
        <v>0.1158</v>
      </c>
      <c r="U1347" s="10">
        <v>7.0000000000000001E-3</v>
      </c>
    </row>
    <row r="1348" spans="1:21" customFormat="1">
      <c r="A1348">
        <v>1</v>
      </c>
      <c r="B1348">
        <v>23</v>
      </c>
      <c r="C1348">
        <v>30</v>
      </c>
      <c r="D1348">
        <v>10</v>
      </c>
      <c r="E1348">
        <v>2020</v>
      </c>
      <c r="F1348">
        <v>13401</v>
      </c>
      <c r="G1348" t="str">
        <f>VLOOKUP(F1348,'[1]Sheet 1'!$B$2:$E$347,2,FALSE)</f>
        <v>Metropolitana de Santiago</v>
      </c>
      <c r="H1348" t="str">
        <f>VLOOKUP(F1348,'[1]Sheet 1'!$B$2:$E$347,3,FALSE)</f>
        <v>Maipo</v>
      </c>
      <c r="I1348" t="str">
        <f>VLOOKUP(F1348,'[1]Sheet 1'!$B$2:$E$347,4,FALSE)</f>
        <v>San Bernardo</v>
      </c>
      <c r="J1348" t="s">
        <v>142</v>
      </c>
      <c r="K1348" s="3" t="s">
        <v>1</v>
      </c>
      <c r="L1348" s="12" t="str">
        <f>VLOOKUP(K1348,[2]Hoja4!$A$2:$C$443,2,FALSE)</f>
        <v>Intentional self-harm by unspecified means</v>
      </c>
      <c r="M1348" s="12" t="str">
        <f>VLOOKUP(K1348,[2]Hoja4!$A$2:$C$443,3,FALSE)</f>
        <v>Unspecified place</v>
      </c>
      <c r="N1348" s="1">
        <v>5.6</v>
      </c>
      <c r="O1348" s="1">
        <v>30.2</v>
      </c>
      <c r="P1348" s="1">
        <v>17</v>
      </c>
      <c r="Q1348" s="1">
        <v>964.9</v>
      </c>
      <c r="R1348" s="1">
        <v>0</v>
      </c>
      <c r="S1348" s="1">
        <v>51</v>
      </c>
      <c r="T1348" s="5">
        <v>0.1158</v>
      </c>
      <c r="U1348" s="10">
        <v>7.0000000000000001E-3</v>
      </c>
    </row>
    <row r="1349" spans="1:21" customFormat="1">
      <c r="A1349">
        <v>1</v>
      </c>
      <c r="B1349">
        <v>33</v>
      </c>
      <c r="C1349">
        <v>31</v>
      </c>
      <c r="D1349">
        <v>10</v>
      </c>
      <c r="E1349">
        <v>2020</v>
      </c>
      <c r="F1349">
        <v>13104</v>
      </c>
      <c r="G1349" t="str">
        <f>VLOOKUP(F1349,'[1]Sheet 1'!$B$2:$E$347,2,FALSE)</f>
        <v>Metropolitana de Santiago</v>
      </c>
      <c r="H1349" t="str">
        <f>VLOOKUP(F1349,'[1]Sheet 1'!$B$2:$E$347,3,FALSE)</f>
        <v>Santiago</v>
      </c>
      <c r="I1349" t="str">
        <f>VLOOKUP(F1349,'[1]Sheet 1'!$B$2:$E$347,4,FALSE)</f>
        <v>Conchalí</v>
      </c>
      <c r="J1349" t="s">
        <v>136</v>
      </c>
      <c r="K1349" s="3" t="s">
        <v>0</v>
      </c>
      <c r="L1349" s="12" t="str">
        <f>VLOOKUP(K1349,[2]Hoja4!$A$2:$C$443,2,FALSE)</f>
        <v>Intentional self-harm by hanging, strangulation and suffocation</v>
      </c>
      <c r="M1349" s="12" t="str">
        <f>VLOOKUP(K1349,[2]Hoja4!$A$2:$C$443,3,FALSE)</f>
        <v>Unspecified place</v>
      </c>
      <c r="N1349" s="1">
        <v>9</v>
      </c>
      <c r="O1349" s="1">
        <v>29.5</v>
      </c>
      <c r="P1349" s="1">
        <v>18.899999999999999</v>
      </c>
      <c r="Q1349" s="1">
        <v>955.3</v>
      </c>
      <c r="R1349" s="1"/>
      <c r="S1349" s="1">
        <v>52.8</v>
      </c>
      <c r="T1349" s="5">
        <v>0.1158</v>
      </c>
      <c r="U1349" s="10">
        <v>7.0000000000000001E-3</v>
      </c>
    </row>
    <row r="1350" spans="1:21" customFormat="1">
      <c r="A1350">
        <v>1</v>
      </c>
      <c r="B1350">
        <v>35</v>
      </c>
      <c r="C1350">
        <v>31</v>
      </c>
      <c r="D1350">
        <v>10</v>
      </c>
      <c r="E1350">
        <v>2020</v>
      </c>
      <c r="F1350">
        <v>9201</v>
      </c>
      <c r="G1350" t="str">
        <f>VLOOKUP(F1350,'[1]Sheet 1'!$B$2:$E$347,2,FALSE)</f>
        <v>La Araucanía</v>
      </c>
      <c r="H1350" t="str">
        <f>VLOOKUP(F1350,'[1]Sheet 1'!$B$2:$E$347,3,FALSE)</f>
        <v>Malleco</v>
      </c>
      <c r="I1350" t="str">
        <f>VLOOKUP(F1350,'[1]Sheet 1'!$B$2:$E$347,4,FALSE)</f>
        <v>Angol</v>
      </c>
      <c r="J1350" t="s">
        <v>136</v>
      </c>
      <c r="K1350" s="3" t="s">
        <v>4</v>
      </c>
      <c r="L1350" s="12" t="str">
        <f>VLOOKUP(K1350,[2]Hoja4!$A$2:$C$443,2,FALSE)</f>
        <v>Intentional self-harm by hanging, strangulation and suffocation</v>
      </c>
      <c r="M1350" s="12" t="str">
        <f>VLOOKUP(K1350,[2]Hoja4!$A$2:$C$443,3,FALSE)</f>
        <v>At home</v>
      </c>
      <c r="N1350" s="1">
        <v>8.1999999999999993</v>
      </c>
      <c r="O1350" s="1">
        <v>30.6</v>
      </c>
      <c r="P1350" s="1">
        <v>19.399999999999999</v>
      </c>
      <c r="Q1350" s="1">
        <v>502.3</v>
      </c>
      <c r="R1350" s="1">
        <v>0</v>
      </c>
      <c r="S1350" s="1">
        <v>53.7</v>
      </c>
      <c r="T1350" s="5">
        <v>0.1158</v>
      </c>
      <c r="U1350" s="10">
        <v>7.0000000000000001E-3</v>
      </c>
    </row>
    <row r="1351" spans="1:21" customFormat="1">
      <c r="A1351">
        <v>2</v>
      </c>
      <c r="B1351">
        <v>26</v>
      </c>
      <c r="C1351">
        <v>31</v>
      </c>
      <c r="D1351">
        <v>10</v>
      </c>
      <c r="E1351">
        <v>2020</v>
      </c>
      <c r="F1351">
        <v>2201</v>
      </c>
      <c r="G1351" t="str">
        <f>VLOOKUP(F1351,'[1]Sheet 1'!$B$2:$E$347,2,FALSE)</f>
        <v>Antofagasta</v>
      </c>
      <c r="H1351" t="str">
        <f>VLOOKUP(F1351,'[1]Sheet 1'!$B$2:$E$347,3,FALSE)</f>
        <v>El Loa</v>
      </c>
      <c r="I1351" t="str">
        <f>VLOOKUP(F1351,'[1]Sheet 1'!$B$2:$E$347,4,FALSE)</f>
        <v>Calama</v>
      </c>
      <c r="J1351" t="s">
        <v>136</v>
      </c>
      <c r="K1351" s="3" t="s">
        <v>4</v>
      </c>
      <c r="L1351" s="12" t="str">
        <f>VLOOKUP(K1351,[2]Hoja4!$A$2:$C$443,2,FALSE)</f>
        <v>Intentional self-harm by hanging, strangulation and suffocation</v>
      </c>
      <c r="M1351" s="12" t="str">
        <f>VLOOKUP(K1351,[2]Hoja4!$A$2:$C$443,3,FALSE)</f>
        <v>At home</v>
      </c>
      <c r="N1351" s="1">
        <v>1.8</v>
      </c>
      <c r="O1351" s="1">
        <v>22.9</v>
      </c>
      <c r="P1351" s="1">
        <v>13.8</v>
      </c>
      <c r="Q1351" s="1">
        <v>773.6</v>
      </c>
      <c r="R1351" s="1">
        <v>0</v>
      </c>
      <c r="S1351" s="1">
        <v>18.2</v>
      </c>
      <c r="T1351" s="5">
        <v>0.1158</v>
      </c>
      <c r="U1351" s="10">
        <v>7.0000000000000001E-3</v>
      </c>
    </row>
    <row r="1352" spans="1:21" customFormat="1">
      <c r="A1352">
        <v>1</v>
      </c>
      <c r="B1352">
        <v>66</v>
      </c>
      <c r="C1352">
        <v>1</v>
      </c>
      <c r="D1352">
        <v>11</v>
      </c>
      <c r="E1352">
        <v>2020</v>
      </c>
      <c r="F1352">
        <v>16305</v>
      </c>
      <c r="G1352" t="str">
        <f>VLOOKUP(F1352,'[1]Sheet 1'!$B$2:$E$347,2,FALSE)</f>
        <v>Ñuble</v>
      </c>
      <c r="H1352" t="str">
        <f>VLOOKUP(F1352,'[1]Sheet 1'!$B$2:$E$347,3,FALSE)</f>
        <v>Punilla</v>
      </c>
      <c r="I1352" t="str">
        <f>VLOOKUP(F1352,'[1]Sheet 1'!$B$2:$E$347,4,FALSE)</f>
        <v>San Nicolás</v>
      </c>
      <c r="J1352" t="s">
        <v>136</v>
      </c>
      <c r="K1352" s="3" t="s">
        <v>0</v>
      </c>
      <c r="L1352" s="12" t="str">
        <f>VLOOKUP(K1352,[2]Hoja4!$A$2:$C$443,2,FALSE)</f>
        <v>Intentional self-harm by hanging, strangulation and suffocation</v>
      </c>
      <c r="M1352" s="12" t="str">
        <f>VLOOKUP(K1352,[2]Hoja4!$A$2:$C$443,3,FALSE)</f>
        <v>Unspecified place</v>
      </c>
      <c r="N1352" s="1"/>
      <c r="O1352" s="1"/>
      <c r="P1352" s="1"/>
      <c r="Q1352" s="1"/>
      <c r="R1352" s="1"/>
      <c r="S1352" s="1"/>
      <c r="T1352" s="4"/>
      <c r="U1352" s="10">
        <v>-1E-3</v>
      </c>
    </row>
    <row r="1353" spans="1:21" customFormat="1">
      <c r="A1353">
        <v>1</v>
      </c>
      <c r="B1353">
        <v>52</v>
      </c>
      <c r="C1353">
        <v>1</v>
      </c>
      <c r="D1353">
        <v>11</v>
      </c>
      <c r="E1353">
        <v>2020</v>
      </c>
      <c r="F1353">
        <v>13201</v>
      </c>
      <c r="G1353" t="str">
        <f>VLOOKUP(F1353,'[1]Sheet 1'!$B$2:$E$347,2,FALSE)</f>
        <v>Metropolitana de Santiago</v>
      </c>
      <c r="H1353" t="str">
        <f>VLOOKUP(F1353,'[1]Sheet 1'!$B$2:$E$347,3,FALSE)</f>
        <v>Cordillera</v>
      </c>
      <c r="I1353" t="str">
        <f>VLOOKUP(F1353,'[1]Sheet 1'!$B$2:$E$347,4,FALSE)</f>
        <v>Puente Alto</v>
      </c>
      <c r="J1353" t="s">
        <v>136</v>
      </c>
      <c r="K1353" s="3" t="s">
        <v>0</v>
      </c>
      <c r="L1353" s="12" t="str">
        <f>VLOOKUP(K1353,[2]Hoja4!$A$2:$C$443,2,FALSE)</f>
        <v>Intentional self-harm by hanging, strangulation and suffocation</v>
      </c>
      <c r="M1353" s="12" t="str">
        <f>VLOOKUP(K1353,[2]Hoja4!$A$2:$C$443,3,FALSE)</f>
        <v>Unspecified place</v>
      </c>
      <c r="N1353" s="1"/>
      <c r="O1353" s="1"/>
      <c r="P1353" s="1"/>
      <c r="Q1353" s="1"/>
      <c r="R1353" s="1"/>
      <c r="S1353" s="1"/>
      <c r="T1353" s="5">
        <v>0.1076</v>
      </c>
      <c r="U1353" s="10">
        <v>-1E-3</v>
      </c>
    </row>
    <row r="1354" spans="1:21" customFormat="1">
      <c r="A1354">
        <v>1</v>
      </c>
      <c r="B1354">
        <v>35</v>
      </c>
      <c r="C1354">
        <v>1</v>
      </c>
      <c r="D1354">
        <v>11</v>
      </c>
      <c r="E1354">
        <v>2020</v>
      </c>
      <c r="F1354">
        <v>6303</v>
      </c>
      <c r="G1354" t="str">
        <f>VLOOKUP(F1354,'[1]Sheet 1'!$B$2:$E$347,2,FALSE)</f>
        <v>Libertador General Bernardo O'Higgins</v>
      </c>
      <c r="H1354" t="str">
        <f>VLOOKUP(F1354,'[1]Sheet 1'!$B$2:$E$347,3,FALSE)</f>
        <v>Colchagua</v>
      </c>
      <c r="I1354" t="str">
        <f>VLOOKUP(F1354,'[1]Sheet 1'!$B$2:$E$347,4,FALSE)</f>
        <v>Chimbarongo</v>
      </c>
      <c r="J1354" t="s">
        <v>136</v>
      </c>
      <c r="K1354" s="3" t="s">
        <v>0</v>
      </c>
      <c r="L1354" s="12" t="str">
        <f>VLOOKUP(K1354,[2]Hoja4!$A$2:$C$443,2,FALSE)</f>
        <v>Intentional self-harm by hanging, strangulation and suffocation</v>
      </c>
      <c r="M1354" s="12" t="str">
        <f>VLOOKUP(K1354,[2]Hoja4!$A$2:$C$443,3,FALSE)</f>
        <v>Unspecified place</v>
      </c>
      <c r="N1354" s="1"/>
      <c r="O1354" s="1"/>
      <c r="P1354" s="1"/>
      <c r="Q1354" s="1"/>
      <c r="R1354" s="1">
        <v>0</v>
      </c>
      <c r="S1354" s="1"/>
      <c r="T1354" s="5">
        <v>0.1076</v>
      </c>
      <c r="U1354" s="10">
        <v>-1E-3</v>
      </c>
    </row>
    <row r="1355" spans="1:21" customFormat="1">
      <c r="A1355">
        <v>1</v>
      </c>
      <c r="B1355">
        <v>37</v>
      </c>
      <c r="C1355">
        <v>1</v>
      </c>
      <c r="D1355">
        <v>11</v>
      </c>
      <c r="E1355">
        <v>2020</v>
      </c>
      <c r="F1355">
        <v>13131</v>
      </c>
      <c r="G1355" t="str">
        <f>VLOOKUP(F1355,'[1]Sheet 1'!$B$2:$E$347,2,FALSE)</f>
        <v>Metropolitana de Santiago</v>
      </c>
      <c r="H1355" t="str">
        <f>VLOOKUP(F1355,'[1]Sheet 1'!$B$2:$E$347,3,FALSE)</f>
        <v>Santiago</v>
      </c>
      <c r="I1355" t="str">
        <f>VLOOKUP(F1355,'[1]Sheet 1'!$B$2:$E$347,4,FALSE)</f>
        <v>San Ramón</v>
      </c>
      <c r="J1355" t="s">
        <v>136</v>
      </c>
      <c r="K1355" s="3" t="s">
        <v>0</v>
      </c>
      <c r="L1355" s="12" t="str">
        <f>VLOOKUP(K1355,[2]Hoja4!$A$2:$C$443,2,FALSE)</f>
        <v>Intentional self-harm by hanging, strangulation and suffocation</v>
      </c>
      <c r="M1355" s="12" t="str">
        <f>VLOOKUP(K1355,[2]Hoja4!$A$2:$C$443,3,FALSE)</f>
        <v>Unspecified place</v>
      </c>
      <c r="N1355" s="1">
        <v>8.8000000000000007</v>
      </c>
      <c r="O1355" s="1">
        <v>26.6</v>
      </c>
      <c r="P1355" s="1">
        <v>16.7</v>
      </c>
      <c r="Q1355" s="1">
        <v>956.9</v>
      </c>
      <c r="R1355" s="1"/>
      <c r="S1355" s="1">
        <v>68.8</v>
      </c>
      <c r="T1355" s="5">
        <v>0.1076</v>
      </c>
      <c r="U1355" s="10">
        <v>-1E-3</v>
      </c>
    </row>
    <row r="1356" spans="1:21" customFormat="1">
      <c r="A1356">
        <v>1</v>
      </c>
      <c r="B1356">
        <v>23</v>
      </c>
      <c r="C1356">
        <v>1</v>
      </c>
      <c r="D1356">
        <v>11</v>
      </c>
      <c r="E1356">
        <v>2020</v>
      </c>
      <c r="F1356">
        <v>7101</v>
      </c>
      <c r="G1356" t="str">
        <f>VLOOKUP(F1356,'[1]Sheet 1'!$B$2:$E$347,2,FALSE)</f>
        <v>Maule</v>
      </c>
      <c r="H1356" t="str">
        <f>VLOOKUP(F1356,'[1]Sheet 1'!$B$2:$E$347,3,FALSE)</f>
        <v>Talca</v>
      </c>
      <c r="I1356" t="str">
        <f>VLOOKUP(F1356,'[1]Sheet 1'!$B$2:$E$347,4,FALSE)</f>
        <v>Talca</v>
      </c>
      <c r="J1356" t="s">
        <v>136</v>
      </c>
      <c r="K1356" s="3" t="s">
        <v>4</v>
      </c>
      <c r="L1356" s="12" t="str">
        <f>VLOOKUP(K1356,[2]Hoja4!$A$2:$C$443,2,FALSE)</f>
        <v>Intentional self-harm by hanging, strangulation and suffocation</v>
      </c>
      <c r="M1356" s="12" t="str">
        <f>VLOOKUP(K1356,[2]Hoja4!$A$2:$C$443,3,FALSE)</f>
        <v>At home</v>
      </c>
      <c r="N1356" s="1">
        <v>7.8</v>
      </c>
      <c r="O1356" s="1">
        <v>27.5</v>
      </c>
      <c r="P1356" s="1">
        <v>16.7</v>
      </c>
      <c r="Q1356" s="1">
        <v>1004.2</v>
      </c>
      <c r="R1356" s="1">
        <v>0</v>
      </c>
      <c r="S1356" s="1">
        <v>70.099999999999994</v>
      </c>
      <c r="T1356" s="5">
        <v>0.1076</v>
      </c>
      <c r="U1356" s="10">
        <v>-1E-3</v>
      </c>
    </row>
    <row r="1357" spans="1:21" customFormat="1">
      <c r="A1357">
        <v>1</v>
      </c>
      <c r="B1357">
        <v>85</v>
      </c>
      <c r="C1357">
        <v>2</v>
      </c>
      <c r="D1357">
        <v>11</v>
      </c>
      <c r="E1357">
        <v>2020</v>
      </c>
      <c r="F1357">
        <v>9207</v>
      </c>
      <c r="G1357" t="str">
        <f>VLOOKUP(F1357,'[1]Sheet 1'!$B$2:$E$347,2,FALSE)</f>
        <v>La Araucanía</v>
      </c>
      <c r="H1357" t="str">
        <f>VLOOKUP(F1357,'[1]Sheet 1'!$B$2:$E$347,3,FALSE)</f>
        <v>Malleco</v>
      </c>
      <c r="I1357" t="str">
        <f>VLOOKUP(F1357,'[1]Sheet 1'!$B$2:$E$347,4,FALSE)</f>
        <v>Lumaco</v>
      </c>
      <c r="J1357" t="s">
        <v>136</v>
      </c>
      <c r="K1357" s="3" t="s">
        <v>4</v>
      </c>
      <c r="L1357" s="12" t="str">
        <f>VLOOKUP(K1357,[2]Hoja4!$A$2:$C$443,2,FALSE)</f>
        <v>Intentional self-harm by hanging, strangulation and suffocation</v>
      </c>
      <c r="M1357" s="12" t="str">
        <f>VLOOKUP(K1357,[2]Hoja4!$A$2:$C$443,3,FALSE)</f>
        <v>At home</v>
      </c>
      <c r="N1357" s="1"/>
      <c r="O1357" s="1">
        <v>22.3</v>
      </c>
      <c r="P1357" s="1">
        <v>15.9</v>
      </c>
      <c r="Q1357" s="1">
        <v>502.1</v>
      </c>
      <c r="R1357" s="1">
        <v>0</v>
      </c>
      <c r="S1357" s="1">
        <v>79.7</v>
      </c>
      <c r="T1357" s="5">
        <v>0.1076</v>
      </c>
      <c r="U1357" s="10">
        <v>-1E-3</v>
      </c>
    </row>
    <row r="1358" spans="1:21" customFormat="1">
      <c r="A1358">
        <v>1</v>
      </c>
      <c r="B1358">
        <v>67</v>
      </c>
      <c r="C1358">
        <v>2</v>
      </c>
      <c r="D1358">
        <v>11</v>
      </c>
      <c r="E1358">
        <v>2020</v>
      </c>
      <c r="F1358">
        <v>4203</v>
      </c>
      <c r="G1358" t="str">
        <f>VLOOKUP(F1358,'[1]Sheet 1'!$B$2:$E$347,2,FALSE)</f>
        <v>Coquimbo</v>
      </c>
      <c r="H1358" t="str">
        <f>VLOOKUP(F1358,'[1]Sheet 1'!$B$2:$E$347,3,FALSE)</f>
        <v>Choapa</v>
      </c>
      <c r="I1358" t="str">
        <f>VLOOKUP(F1358,'[1]Sheet 1'!$B$2:$E$347,4,FALSE)</f>
        <v>Los Vilos</v>
      </c>
      <c r="J1358" t="s">
        <v>136</v>
      </c>
      <c r="K1358" s="3" t="s">
        <v>0</v>
      </c>
      <c r="L1358" s="12" t="str">
        <f>VLOOKUP(K1358,[2]Hoja4!$A$2:$C$443,2,FALSE)</f>
        <v>Intentional self-harm by hanging, strangulation and suffocation</v>
      </c>
      <c r="M1358" s="12" t="str">
        <f>VLOOKUP(K1358,[2]Hoja4!$A$2:$C$443,3,FALSE)</f>
        <v>Unspecified place</v>
      </c>
      <c r="N1358" s="1"/>
      <c r="O1358" s="1" t="s">
        <v>123</v>
      </c>
      <c r="P1358" s="1">
        <v>14.2</v>
      </c>
      <c r="Q1358" s="1">
        <v>978.2</v>
      </c>
      <c r="R1358" s="1">
        <v>0</v>
      </c>
      <c r="S1358" s="1">
        <v>73.599999999999994</v>
      </c>
      <c r="T1358" s="5">
        <v>0.1076</v>
      </c>
      <c r="U1358" s="10">
        <v>-1E-3</v>
      </c>
    </row>
    <row r="1359" spans="1:21" customFormat="1">
      <c r="A1359">
        <v>1</v>
      </c>
      <c r="B1359">
        <v>47</v>
      </c>
      <c r="C1359">
        <v>2</v>
      </c>
      <c r="D1359">
        <v>11</v>
      </c>
      <c r="E1359">
        <v>2020</v>
      </c>
      <c r="F1359">
        <v>4101</v>
      </c>
      <c r="G1359" t="str">
        <f>VLOOKUP(F1359,'[1]Sheet 1'!$B$2:$E$347,2,FALSE)</f>
        <v>Coquimbo</v>
      </c>
      <c r="H1359" t="str">
        <f>VLOOKUP(F1359,'[1]Sheet 1'!$B$2:$E$347,3,FALSE)</f>
        <v>Elqui</v>
      </c>
      <c r="I1359" t="str">
        <f>VLOOKUP(F1359,'[1]Sheet 1'!$B$2:$E$347,4,FALSE)</f>
        <v>La Serena</v>
      </c>
      <c r="J1359" t="s">
        <v>136</v>
      </c>
      <c r="K1359" s="3" t="s">
        <v>0</v>
      </c>
      <c r="L1359" s="12" t="str">
        <f>VLOOKUP(K1359,[2]Hoja4!$A$2:$C$443,2,FALSE)</f>
        <v>Intentional self-harm by hanging, strangulation and suffocation</v>
      </c>
      <c r="M1359" s="12" t="str">
        <f>VLOOKUP(K1359,[2]Hoja4!$A$2:$C$443,3,FALSE)</f>
        <v>Unspecified place</v>
      </c>
      <c r="N1359" s="1">
        <v>12.1</v>
      </c>
      <c r="O1359" s="1">
        <v>16.100000000000001</v>
      </c>
      <c r="P1359" s="1">
        <v>13.2</v>
      </c>
      <c r="Q1359" s="1">
        <v>999.7</v>
      </c>
      <c r="R1359" s="1">
        <v>0</v>
      </c>
      <c r="S1359" s="1">
        <v>83.2</v>
      </c>
      <c r="T1359" s="5">
        <v>0.1076</v>
      </c>
      <c r="U1359" s="10">
        <v>-1E-3</v>
      </c>
    </row>
    <row r="1360" spans="1:21" customFormat="1">
      <c r="A1360">
        <v>2</v>
      </c>
      <c r="B1360">
        <v>15</v>
      </c>
      <c r="C1360">
        <v>2</v>
      </c>
      <c r="D1360">
        <v>11</v>
      </c>
      <c r="E1360">
        <v>2020</v>
      </c>
      <c r="F1360">
        <v>13302</v>
      </c>
      <c r="G1360" t="str">
        <f>VLOOKUP(F1360,'[1]Sheet 1'!$B$2:$E$347,2,FALSE)</f>
        <v>Metropolitana de Santiago</v>
      </c>
      <c r="H1360" t="str">
        <f>VLOOKUP(F1360,'[1]Sheet 1'!$B$2:$E$347,3,FALSE)</f>
        <v>Chacabuco</v>
      </c>
      <c r="I1360" t="str">
        <f>VLOOKUP(F1360,'[1]Sheet 1'!$B$2:$E$347,4,FALSE)</f>
        <v>Lampa</v>
      </c>
      <c r="J1360" t="s">
        <v>136</v>
      </c>
      <c r="K1360" s="3" t="s">
        <v>0</v>
      </c>
      <c r="L1360" s="12" t="str">
        <f>VLOOKUP(K1360,[2]Hoja4!$A$2:$C$443,2,FALSE)</f>
        <v>Intentional self-harm by hanging, strangulation and suffocation</v>
      </c>
      <c r="M1360" s="12" t="str">
        <f>VLOOKUP(K1360,[2]Hoja4!$A$2:$C$443,3,FALSE)</f>
        <v>Unspecified place</v>
      </c>
      <c r="N1360" s="1">
        <v>8.4</v>
      </c>
      <c r="O1360" s="1">
        <v>30.9</v>
      </c>
      <c r="P1360" s="1">
        <v>19.5</v>
      </c>
      <c r="Q1360" s="1">
        <v>936.9</v>
      </c>
      <c r="R1360" s="1"/>
      <c r="S1360" s="1">
        <v>43</v>
      </c>
      <c r="T1360" s="5">
        <v>0.1076</v>
      </c>
      <c r="U1360" s="10">
        <v>-1E-3</v>
      </c>
    </row>
    <row r="1361" spans="1:21" customFormat="1">
      <c r="A1361">
        <v>1</v>
      </c>
      <c r="B1361">
        <v>26</v>
      </c>
      <c r="C1361">
        <v>3</v>
      </c>
      <c r="D1361">
        <v>11</v>
      </c>
      <c r="E1361">
        <v>2020</v>
      </c>
      <c r="F1361">
        <v>13112</v>
      </c>
      <c r="G1361" t="str">
        <f>VLOOKUP(F1361,'[1]Sheet 1'!$B$2:$E$347,2,FALSE)</f>
        <v>Metropolitana de Santiago</v>
      </c>
      <c r="H1361" t="str">
        <f>VLOOKUP(F1361,'[1]Sheet 1'!$B$2:$E$347,3,FALSE)</f>
        <v>Santiago</v>
      </c>
      <c r="I1361" t="str">
        <f>VLOOKUP(F1361,'[1]Sheet 1'!$B$2:$E$347,4,FALSE)</f>
        <v>La Pintana</v>
      </c>
      <c r="J1361" t="s">
        <v>136</v>
      </c>
      <c r="K1361" s="3" t="s">
        <v>0</v>
      </c>
      <c r="L1361" s="12" t="str">
        <f>VLOOKUP(K1361,[2]Hoja4!$A$2:$C$443,2,FALSE)</f>
        <v>Intentional self-harm by hanging, strangulation and suffocation</v>
      </c>
      <c r="M1361" s="12" t="str">
        <f>VLOOKUP(K1361,[2]Hoja4!$A$2:$C$443,3,FALSE)</f>
        <v>Unspecified place</v>
      </c>
      <c r="N1361" s="1">
        <v>8.6999999999999993</v>
      </c>
      <c r="O1361" s="1">
        <v>32</v>
      </c>
      <c r="P1361" s="1">
        <v>19</v>
      </c>
      <c r="Q1361" s="1">
        <v>954.9</v>
      </c>
      <c r="R1361" s="1"/>
      <c r="S1361" s="1">
        <v>52.8</v>
      </c>
      <c r="T1361" s="5">
        <v>0.1076</v>
      </c>
      <c r="U1361" s="10">
        <v>-1E-3</v>
      </c>
    </row>
    <row r="1362" spans="1:21" customFormat="1">
      <c r="A1362">
        <v>1</v>
      </c>
      <c r="B1362">
        <v>75</v>
      </c>
      <c r="C1362">
        <v>4</v>
      </c>
      <c r="D1362">
        <v>11</v>
      </c>
      <c r="E1362">
        <v>2020</v>
      </c>
      <c r="F1362">
        <v>16104</v>
      </c>
      <c r="G1362" t="str">
        <f>VLOOKUP(F1362,'[1]Sheet 1'!$B$2:$E$347,2,FALSE)</f>
        <v>Ñuble</v>
      </c>
      <c r="H1362" t="str">
        <f>VLOOKUP(F1362,'[1]Sheet 1'!$B$2:$E$347,3,FALSE)</f>
        <v>Diguillín</v>
      </c>
      <c r="I1362" t="str">
        <f>VLOOKUP(F1362,'[1]Sheet 1'!$B$2:$E$347,4,FALSE)</f>
        <v>El Carmen</v>
      </c>
      <c r="J1362" t="s">
        <v>136</v>
      </c>
      <c r="K1362" s="3" t="s">
        <v>4</v>
      </c>
      <c r="L1362" s="12" t="str">
        <f>VLOOKUP(K1362,[2]Hoja4!$A$2:$C$443,2,FALSE)</f>
        <v>Intentional self-harm by hanging, strangulation and suffocation</v>
      </c>
      <c r="M1362" s="12" t="str">
        <f>VLOOKUP(K1362,[2]Hoja4!$A$2:$C$443,3,FALSE)</f>
        <v>At home</v>
      </c>
      <c r="N1362" s="1">
        <v>10.3</v>
      </c>
      <c r="O1362" s="1">
        <v>21.3</v>
      </c>
      <c r="P1362" s="1">
        <v>14.8</v>
      </c>
      <c r="Q1362" s="1">
        <v>1001.7</v>
      </c>
      <c r="R1362" s="1">
        <v>0</v>
      </c>
      <c r="S1362" s="1">
        <v>66.2</v>
      </c>
      <c r="T1362" s="5">
        <v>0.1076</v>
      </c>
      <c r="U1362" s="10">
        <v>-1E-3</v>
      </c>
    </row>
    <row r="1363" spans="1:21" customFormat="1">
      <c r="A1363">
        <v>1</v>
      </c>
      <c r="B1363">
        <v>27</v>
      </c>
      <c r="C1363">
        <v>4</v>
      </c>
      <c r="D1363">
        <v>11</v>
      </c>
      <c r="E1363">
        <v>2020</v>
      </c>
      <c r="F1363">
        <v>4301</v>
      </c>
      <c r="G1363" t="str">
        <f>VLOOKUP(F1363,'[1]Sheet 1'!$B$2:$E$347,2,FALSE)</f>
        <v>Coquimbo</v>
      </c>
      <c r="H1363" t="str">
        <f>VLOOKUP(F1363,'[1]Sheet 1'!$B$2:$E$347,3,FALSE)</f>
        <v>Limarí</v>
      </c>
      <c r="I1363" t="str">
        <f>VLOOKUP(F1363,'[1]Sheet 1'!$B$2:$E$347,4,FALSE)</f>
        <v>Ovalle</v>
      </c>
      <c r="J1363" t="s">
        <v>136</v>
      </c>
      <c r="K1363" s="3" t="s">
        <v>4</v>
      </c>
      <c r="L1363" s="12" t="str">
        <f>VLOOKUP(K1363,[2]Hoja4!$A$2:$C$443,2,FALSE)</f>
        <v>Intentional self-harm by hanging, strangulation and suffocation</v>
      </c>
      <c r="M1363" s="12" t="str">
        <f>VLOOKUP(K1363,[2]Hoja4!$A$2:$C$443,3,FALSE)</f>
        <v>At home</v>
      </c>
      <c r="N1363" s="1"/>
      <c r="O1363" s="1"/>
      <c r="P1363" s="1"/>
      <c r="Q1363" s="1"/>
      <c r="R1363" s="1"/>
      <c r="S1363" s="1"/>
      <c r="T1363" s="5">
        <v>0.1076</v>
      </c>
      <c r="U1363" s="10">
        <v>-1E-3</v>
      </c>
    </row>
    <row r="1364" spans="1:21" customFormat="1">
      <c r="A1364">
        <v>2</v>
      </c>
      <c r="B1364">
        <v>19</v>
      </c>
      <c r="C1364">
        <v>4</v>
      </c>
      <c r="D1364">
        <v>11</v>
      </c>
      <c r="E1364">
        <v>2020</v>
      </c>
      <c r="F1364">
        <v>8108</v>
      </c>
      <c r="G1364" t="str">
        <f>VLOOKUP(F1364,'[1]Sheet 1'!$B$2:$E$347,2,FALSE)</f>
        <v>Biobío</v>
      </c>
      <c r="H1364" t="str">
        <f>VLOOKUP(F1364,'[1]Sheet 1'!$B$2:$E$347,3,FALSE)</f>
        <v>Concepción</v>
      </c>
      <c r="I1364" t="str">
        <f>VLOOKUP(F1364,'[1]Sheet 1'!$B$2:$E$347,4,FALSE)</f>
        <v>San Pedro de la Paz</v>
      </c>
      <c r="J1364" t="s">
        <v>140</v>
      </c>
      <c r="K1364" s="3" t="s">
        <v>20</v>
      </c>
      <c r="L1364" s="12" t="str">
        <f>VLOOKUP(K1364,[2]Hoja4!$A$2:$C$443,2,FALSE)</f>
        <v>Intentional self-poisoning by and exposure to other and unspecified drugs, medicaments and biological substances</v>
      </c>
      <c r="M1364" s="12" t="str">
        <f>VLOOKUP(K1364,[2]Hoja4!$A$2:$C$443,3,FALSE)</f>
        <v>Unspecified place</v>
      </c>
      <c r="N1364" s="1">
        <v>12</v>
      </c>
      <c r="O1364" s="1">
        <v>17.899999999999999</v>
      </c>
      <c r="P1364" s="1">
        <v>14.1</v>
      </c>
      <c r="Q1364" s="1">
        <v>1020.5</v>
      </c>
      <c r="R1364" s="1">
        <v>0</v>
      </c>
      <c r="S1364" s="1">
        <v>75</v>
      </c>
      <c r="T1364" s="5">
        <v>0.1076</v>
      </c>
      <c r="U1364" s="10">
        <v>-1E-3</v>
      </c>
    </row>
    <row r="1365" spans="1:21" customFormat="1">
      <c r="A1365">
        <v>2</v>
      </c>
      <c r="B1365">
        <v>66</v>
      </c>
      <c r="C1365">
        <v>5</v>
      </c>
      <c r="D1365">
        <v>11</v>
      </c>
      <c r="E1365">
        <v>2020</v>
      </c>
      <c r="F1365">
        <v>6115</v>
      </c>
      <c r="G1365" t="str">
        <f>VLOOKUP(F1365,'[1]Sheet 1'!$B$2:$E$347,2,FALSE)</f>
        <v>Libertador General Bernardo O'Higgins</v>
      </c>
      <c r="H1365" t="str">
        <f>VLOOKUP(F1365,'[1]Sheet 1'!$B$2:$E$347,3,FALSE)</f>
        <v>Cachapoal</v>
      </c>
      <c r="I1365" t="str">
        <f>VLOOKUP(F1365,'[1]Sheet 1'!$B$2:$E$347,4,FALSE)</f>
        <v>Rengo</v>
      </c>
      <c r="J1365" t="s">
        <v>136</v>
      </c>
      <c r="K1365" s="3" t="s">
        <v>0</v>
      </c>
      <c r="L1365" s="12" t="str">
        <f>VLOOKUP(K1365,[2]Hoja4!$A$2:$C$443,2,FALSE)</f>
        <v>Intentional self-harm by hanging, strangulation and suffocation</v>
      </c>
      <c r="M1365" s="12" t="str">
        <f>VLOOKUP(K1365,[2]Hoja4!$A$2:$C$443,3,FALSE)</f>
        <v>Unspecified place</v>
      </c>
      <c r="N1365" s="1">
        <v>7.9</v>
      </c>
      <c r="O1365" s="1">
        <v>26.2</v>
      </c>
      <c r="P1365" s="1">
        <v>16.8</v>
      </c>
      <c r="Q1365" s="1">
        <v>959.8</v>
      </c>
      <c r="R1365" s="1">
        <v>0</v>
      </c>
      <c r="S1365" s="1">
        <v>50.3</v>
      </c>
      <c r="T1365" s="5">
        <v>0.1076</v>
      </c>
      <c r="U1365" s="10">
        <v>-1E-3</v>
      </c>
    </row>
    <row r="1366" spans="1:21" customFormat="1">
      <c r="A1366">
        <v>1</v>
      </c>
      <c r="B1366">
        <v>45</v>
      </c>
      <c r="C1366">
        <v>5</v>
      </c>
      <c r="D1366">
        <v>11</v>
      </c>
      <c r="E1366">
        <v>2020</v>
      </c>
      <c r="F1366">
        <v>2101</v>
      </c>
      <c r="G1366" t="str">
        <f>VLOOKUP(F1366,'[1]Sheet 1'!$B$2:$E$347,2,FALSE)</f>
        <v>Antofagasta</v>
      </c>
      <c r="H1366" t="str">
        <f>VLOOKUP(F1366,'[1]Sheet 1'!$B$2:$E$347,3,FALSE)</f>
        <v>Antofagasta</v>
      </c>
      <c r="I1366" t="str">
        <f>VLOOKUP(F1366,'[1]Sheet 1'!$B$2:$E$347,4,FALSE)</f>
        <v>Antofagasta</v>
      </c>
      <c r="J1366" t="s">
        <v>136</v>
      </c>
      <c r="K1366" s="3" t="s">
        <v>4</v>
      </c>
      <c r="L1366" s="12" t="str">
        <f>VLOOKUP(K1366,[2]Hoja4!$A$2:$C$443,2,FALSE)</f>
        <v>Intentional self-harm by hanging, strangulation and suffocation</v>
      </c>
      <c r="M1366" s="12" t="str">
        <f>VLOOKUP(K1366,[2]Hoja4!$A$2:$C$443,3,FALSE)</f>
        <v>At home</v>
      </c>
      <c r="N1366" s="1">
        <v>13.3</v>
      </c>
      <c r="O1366" s="1">
        <v>18</v>
      </c>
      <c r="P1366" s="1">
        <v>15.6</v>
      </c>
      <c r="Q1366" s="1">
        <v>998.8</v>
      </c>
      <c r="R1366" s="1">
        <v>0</v>
      </c>
      <c r="S1366" s="1">
        <v>74</v>
      </c>
      <c r="T1366" s="5">
        <v>0.1076</v>
      </c>
      <c r="U1366" s="10">
        <v>-1E-3</v>
      </c>
    </row>
    <row r="1367" spans="1:21" customFormat="1">
      <c r="A1367">
        <v>2</v>
      </c>
      <c r="B1367">
        <v>29</v>
      </c>
      <c r="C1367">
        <v>5</v>
      </c>
      <c r="D1367">
        <v>11</v>
      </c>
      <c r="E1367">
        <v>2020</v>
      </c>
      <c r="F1367">
        <v>13601</v>
      </c>
      <c r="G1367" t="str">
        <f>VLOOKUP(F1367,'[1]Sheet 1'!$B$2:$E$347,2,FALSE)</f>
        <v>Metropolitana de Santiago</v>
      </c>
      <c r="H1367" t="str">
        <f>VLOOKUP(F1367,'[1]Sheet 1'!$B$2:$E$347,3,FALSE)</f>
        <v>Talagante</v>
      </c>
      <c r="I1367" t="str">
        <f>VLOOKUP(F1367,'[1]Sheet 1'!$B$2:$E$347,4,FALSE)</f>
        <v>Talagante</v>
      </c>
      <c r="J1367" t="s">
        <v>136</v>
      </c>
      <c r="K1367" s="3" t="s">
        <v>4</v>
      </c>
      <c r="L1367" s="12" t="str">
        <f>VLOOKUP(K1367,[2]Hoja4!$A$2:$C$443,2,FALSE)</f>
        <v>Intentional self-harm by hanging, strangulation and suffocation</v>
      </c>
      <c r="M1367" s="12" t="str">
        <f>VLOOKUP(K1367,[2]Hoja4!$A$2:$C$443,3,FALSE)</f>
        <v>At home</v>
      </c>
      <c r="N1367" s="1">
        <v>8.1999999999999993</v>
      </c>
      <c r="O1367" s="1">
        <v>28</v>
      </c>
      <c r="P1367" s="1">
        <v>17.399999999999999</v>
      </c>
      <c r="Q1367" s="1">
        <v>1013.7</v>
      </c>
      <c r="R1367" s="1">
        <v>0</v>
      </c>
      <c r="S1367" s="1">
        <v>41.5</v>
      </c>
      <c r="T1367" s="5">
        <v>0.1076</v>
      </c>
      <c r="U1367" s="10">
        <v>-1E-3</v>
      </c>
    </row>
    <row r="1368" spans="1:21" customFormat="1">
      <c r="A1368">
        <v>1</v>
      </c>
      <c r="B1368">
        <v>61</v>
      </c>
      <c r="C1368">
        <v>6</v>
      </c>
      <c r="D1368">
        <v>11</v>
      </c>
      <c r="E1368">
        <v>2020</v>
      </c>
      <c r="F1368">
        <v>8101</v>
      </c>
      <c r="G1368" t="str">
        <f>VLOOKUP(F1368,'[1]Sheet 1'!$B$2:$E$347,2,FALSE)</f>
        <v>Biobío</v>
      </c>
      <c r="H1368" t="str">
        <f>VLOOKUP(F1368,'[1]Sheet 1'!$B$2:$E$347,3,FALSE)</f>
        <v>Concepción</v>
      </c>
      <c r="I1368" t="str">
        <f>VLOOKUP(F1368,'[1]Sheet 1'!$B$2:$E$347,4,FALSE)</f>
        <v>Concepción</v>
      </c>
      <c r="J1368" t="s">
        <v>136</v>
      </c>
      <c r="K1368" s="3" t="s">
        <v>4</v>
      </c>
      <c r="L1368" s="12" t="str">
        <f>VLOOKUP(K1368,[2]Hoja4!$A$2:$C$443,2,FALSE)</f>
        <v>Intentional self-harm by hanging, strangulation and suffocation</v>
      </c>
      <c r="M1368" s="12" t="str">
        <f>VLOOKUP(K1368,[2]Hoja4!$A$2:$C$443,3,FALSE)</f>
        <v>At home</v>
      </c>
      <c r="N1368" s="1">
        <v>6.1</v>
      </c>
      <c r="O1368" s="1">
        <v>20.2</v>
      </c>
      <c r="P1368" s="1">
        <v>13.5</v>
      </c>
      <c r="Q1368" s="1">
        <v>1015.2</v>
      </c>
      <c r="R1368" s="1">
        <v>0</v>
      </c>
      <c r="S1368" s="1">
        <v>74.8</v>
      </c>
      <c r="T1368" s="5">
        <v>0.1076</v>
      </c>
      <c r="U1368" s="10">
        <v>-1E-3</v>
      </c>
    </row>
    <row r="1369" spans="1:21" customFormat="1">
      <c r="A1369">
        <v>1</v>
      </c>
      <c r="B1369">
        <v>76</v>
      </c>
      <c r="C1369">
        <v>6</v>
      </c>
      <c r="D1369">
        <v>11</v>
      </c>
      <c r="E1369">
        <v>2020</v>
      </c>
      <c r="F1369">
        <v>14105</v>
      </c>
      <c r="G1369" t="str">
        <f>VLOOKUP(F1369,'[1]Sheet 1'!$B$2:$E$347,2,FALSE)</f>
        <v>Los Ríos</v>
      </c>
      <c r="H1369" t="str">
        <f>VLOOKUP(F1369,'[1]Sheet 1'!$B$2:$E$347,3,FALSE)</f>
        <v>Valdivia</v>
      </c>
      <c r="I1369" t="str">
        <f>VLOOKUP(F1369,'[1]Sheet 1'!$B$2:$E$347,4,FALSE)</f>
        <v>Máfil</v>
      </c>
      <c r="J1369" t="s">
        <v>136</v>
      </c>
      <c r="K1369" s="3" t="s">
        <v>4</v>
      </c>
      <c r="L1369" s="12" t="str">
        <f>VLOOKUP(K1369,[2]Hoja4!$A$2:$C$443,2,FALSE)</f>
        <v>Intentional self-harm by hanging, strangulation and suffocation</v>
      </c>
      <c r="M1369" s="12" t="str">
        <f>VLOOKUP(K1369,[2]Hoja4!$A$2:$C$443,3,FALSE)</f>
        <v>At home</v>
      </c>
      <c r="N1369" s="1">
        <v>5.7</v>
      </c>
      <c r="O1369" s="1">
        <v>22.3</v>
      </c>
      <c r="P1369" s="1">
        <v>13.3</v>
      </c>
      <c r="Q1369" s="1">
        <v>1017.4</v>
      </c>
      <c r="R1369" s="1">
        <v>0</v>
      </c>
      <c r="S1369" s="1">
        <v>68.8</v>
      </c>
      <c r="T1369" s="5">
        <v>0.1076</v>
      </c>
      <c r="U1369" s="10">
        <v>-1E-3</v>
      </c>
    </row>
    <row r="1370" spans="1:21" customFormat="1">
      <c r="A1370">
        <v>1</v>
      </c>
      <c r="B1370">
        <v>63</v>
      </c>
      <c r="C1370">
        <v>6</v>
      </c>
      <c r="D1370">
        <v>11</v>
      </c>
      <c r="E1370">
        <v>2020</v>
      </c>
      <c r="F1370">
        <v>10301</v>
      </c>
      <c r="G1370" t="str">
        <f>VLOOKUP(F1370,'[1]Sheet 1'!$B$2:$E$347,2,FALSE)</f>
        <v>Los Lagos</v>
      </c>
      <c r="H1370" t="str">
        <f>VLOOKUP(F1370,'[1]Sheet 1'!$B$2:$E$347,3,FALSE)</f>
        <v>Osorno</v>
      </c>
      <c r="I1370" t="str">
        <f>VLOOKUP(F1370,'[1]Sheet 1'!$B$2:$E$347,4,FALSE)</f>
        <v>Osorno</v>
      </c>
      <c r="J1370" t="s">
        <v>136</v>
      </c>
      <c r="K1370" s="3" t="s">
        <v>4</v>
      </c>
      <c r="L1370" s="12" t="str">
        <f>VLOOKUP(K1370,[2]Hoja4!$A$2:$C$443,2,FALSE)</f>
        <v>Intentional self-harm by hanging, strangulation and suffocation</v>
      </c>
      <c r="M1370" s="12" t="str">
        <f>VLOOKUP(K1370,[2]Hoja4!$A$2:$C$443,3,FALSE)</f>
        <v>At home</v>
      </c>
      <c r="N1370" s="1">
        <v>5.9</v>
      </c>
      <c r="O1370" s="1">
        <v>19.100000000000001</v>
      </c>
      <c r="P1370" s="1">
        <v>12.1</v>
      </c>
      <c r="Q1370" s="1">
        <v>1014</v>
      </c>
      <c r="R1370" s="1">
        <v>0</v>
      </c>
      <c r="S1370" s="1">
        <v>72</v>
      </c>
      <c r="T1370" s="5">
        <v>0.1076</v>
      </c>
      <c r="U1370" s="10">
        <v>-1E-3</v>
      </c>
    </row>
    <row r="1371" spans="1:21" customFormat="1">
      <c r="A1371">
        <v>1</v>
      </c>
      <c r="B1371">
        <v>45</v>
      </c>
      <c r="C1371">
        <v>6</v>
      </c>
      <c r="D1371">
        <v>11</v>
      </c>
      <c r="E1371">
        <v>2020</v>
      </c>
      <c r="F1371">
        <v>5802</v>
      </c>
      <c r="G1371" t="str">
        <f>VLOOKUP(F1371,'[1]Sheet 1'!$B$2:$E$347,2,FALSE)</f>
        <v>Valparaíso</v>
      </c>
      <c r="H1371" t="str">
        <f>VLOOKUP(F1371,'[1]Sheet 1'!$B$2:$E$347,3,FALSE)</f>
        <v>Marga Marga</v>
      </c>
      <c r="I1371" t="str">
        <f>VLOOKUP(F1371,'[1]Sheet 1'!$B$2:$E$347,4,FALSE)</f>
        <v>Limache</v>
      </c>
      <c r="J1371" t="s">
        <v>136</v>
      </c>
      <c r="K1371" s="3" t="s">
        <v>0</v>
      </c>
      <c r="L1371" s="12" t="str">
        <f>VLOOKUP(K1371,[2]Hoja4!$A$2:$C$443,2,FALSE)</f>
        <v>Intentional self-harm by hanging, strangulation and suffocation</v>
      </c>
      <c r="M1371" s="12" t="str">
        <f>VLOOKUP(K1371,[2]Hoja4!$A$2:$C$443,3,FALSE)</f>
        <v>Unspecified place</v>
      </c>
      <c r="N1371" s="1">
        <v>4.9000000000000004</v>
      </c>
      <c r="O1371" s="1">
        <v>22.1</v>
      </c>
      <c r="P1371" s="1">
        <v>12.9</v>
      </c>
      <c r="Q1371" s="1">
        <v>1012.1</v>
      </c>
      <c r="R1371" s="1">
        <v>0</v>
      </c>
      <c r="S1371" s="1">
        <v>71.7</v>
      </c>
      <c r="T1371" s="5">
        <v>0.1076</v>
      </c>
      <c r="U1371" s="10">
        <v>-1E-3</v>
      </c>
    </row>
    <row r="1372" spans="1:21" customFormat="1">
      <c r="A1372">
        <v>1</v>
      </c>
      <c r="B1372">
        <v>33</v>
      </c>
      <c r="C1372">
        <v>6</v>
      </c>
      <c r="D1372">
        <v>11</v>
      </c>
      <c r="E1372">
        <v>2020</v>
      </c>
      <c r="F1372">
        <v>10304</v>
      </c>
      <c r="G1372" t="str">
        <f>VLOOKUP(F1372,'[1]Sheet 1'!$B$2:$E$347,2,FALSE)</f>
        <v>Los Lagos</v>
      </c>
      <c r="H1372" t="str">
        <f>VLOOKUP(F1372,'[1]Sheet 1'!$B$2:$E$347,3,FALSE)</f>
        <v>Osorno</v>
      </c>
      <c r="I1372" t="str">
        <f>VLOOKUP(F1372,'[1]Sheet 1'!$B$2:$E$347,4,FALSE)</f>
        <v>Puyehue</v>
      </c>
      <c r="J1372" t="s">
        <v>136</v>
      </c>
      <c r="K1372" s="3" t="s">
        <v>0</v>
      </c>
      <c r="L1372" s="12" t="str">
        <f>VLOOKUP(K1372,[2]Hoja4!$A$2:$C$443,2,FALSE)</f>
        <v>Intentional self-harm by hanging, strangulation and suffocation</v>
      </c>
      <c r="M1372" s="12" t="str">
        <f>VLOOKUP(K1372,[2]Hoja4!$A$2:$C$443,3,FALSE)</f>
        <v>Unspecified place</v>
      </c>
      <c r="N1372" s="1">
        <v>5.9</v>
      </c>
      <c r="O1372" s="1">
        <v>19.100000000000001</v>
      </c>
      <c r="P1372" s="1">
        <v>12.1</v>
      </c>
      <c r="Q1372" s="1">
        <v>1014</v>
      </c>
      <c r="R1372" s="1">
        <v>0</v>
      </c>
      <c r="S1372" s="1">
        <v>72</v>
      </c>
      <c r="T1372" s="5">
        <v>0.1076</v>
      </c>
      <c r="U1372" s="10">
        <v>-1E-3</v>
      </c>
    </row>
    <row r="1373" spans="1:21" customFormat="1">
      <c r="A1373">
        <v>1</v>
      </c>
      <c r="B1373">
        <v>31</v>
      </c>
      <c r="C1373">
        <v>6</v>
      </c>
      <c r="D1373">
        <v>11</v>
      </c>
      <c r="E1373">
        <v>2020</v>
      </c>
      <c r="F1373">
        <v>13119</v>
      </c>
      <c r="G1373" t="str">
        <f>VLOOKUP(F1373,'[1]Sheet 1'!$B$2:$E$347,2,FALSE)</f>
        <v>Metropolitana de Santiago</v>
      </c>
      <c r="H1373" t="str">
        <f>VLOOKUP(F1373,'[1]Sheet 1'!$B$2:$E$347,3,FALSE)</f>
        <v>Santiago</v>
      </c>
      <c r="I1373" t="str">
        <f>VLOOKUP(F1373,'[1]Sheet 1'!$B$2:$E$347,4,FALSE)</f>
        <v>Maipú</v>
      </c>
      <c r="J1373" t="s">
        <v>136</v>
      </c>
      <c r="K1373" s="3" t="s">
        <v>0</v>
      </c>
      <c r="L1373" s="12" t="str">
        <f>VLOOKUP(K1373,[2]Hoja4!$A$2:$C$443,2,FALSE)</f>
        <v>Intentional self-harm by hanging, strangulation and suffocation</v>
      </c>
      <c r="M1373" s="12" t="str">
        <f>VLOOKUP(K1373,[2]Hoja4!$A$2:$C$443,3,FALSE)</f>
        <v>Unspecified place</v>
      </c>
      <c r="N1373" s="1">
        <v>9.5</v>
      </c>
      <c r="O1373" s="1">
        <v>28.6</v>
      </c>
      <c r="P1373" s="1">
        <v>19</v>
      </c>
      <c r="Q1373" s="1">
        <v>953.7</v>
      </c>
      <c r="R1373" s="1"/>
      <c r="S1373" s="1">
        <v>40</v>
      </c>
      <c r="T1373" s="5">
        <v>0.1076</v>
      </c>
      <c r="U1373" s="10">
        <v>-1E-3</v>
      </c>
    </row>
    <row r="1374" spans="1:21" customFormat="1">
      <c r="A1374">
        <v>2</v>
      </c>
      <c r="B1374">
        <v>17</v>
      </c>
      <c r="C1374">
        <v>6</v>
      </c>
      <c r="D1374">
        <v>11</v>
      </c>
      <c r="E1374">
        <v>2020</v>
      </c>
      <c r="F1374">
        <v>8108</v>
      </c>
      <c r="G1374" t="str">
        <f>VLOOKUP(F1374,'[1]Sheet 1'!$B$2:$E$347,2,FALSE)</f>
        <v>Biobío</v>
      </c>
      <c r="H1374" t="str">
        <f>VLOOKUP(F1374,'[1]Sheet 1'!$B$2:$E$347,3,FALSE)</f>
        <v>Concepción</v>
      </c>
      <c r="I1374" t="str">
        <f>VLOOKUP(F1374,'[1]Sheet 1'!$B$2:$E$347,4,FALSE)</f>
        <v>San Pedro de la Paz</v>
      </c>
      <c r="J1374" t="s">
        <v>142</v>
      </c>
      <c r="K1374" s="3" t="s">
        <v>8</v>
      </c>
      <c r="L1374" s="12" t="str">
        <f>VLOOKUP(K1374,[2]Hoja4!$A$2:$C$443,2,FALSE)</f>
        <v>Intentional self-harm by jumping from a high place</v>
      </c>
      <c r="M1374" s="12" t="str">
        <f>VLOOKUP(K1374,[2]Hoja4!$A$2:$C$443,3,FALSE)</f>
        <v>At home</v>
      </c>
      <c r="N1374" s="1">
        <v>6.1</v>
      </c>
      <c r="O1374" s="1">
        <v>20.2</v>
      </c>
      <c r="P1374" s="1">
        <v>13.5</v>
      </c>
      <c r="Q1374" s="1">
        <v>1015.2</v>
      </c>
      <c r="R1374" s="1">
        <v>0</v>
      </c>
      <c r="S1374" s="1">
        <v>74.8</v>
      </c>
      <c r="T1374" s="5">
        <v>0.1076</v>
      </c>
      <c r="U1374" s="10">
        <v>-1E-3</v>
      </c>
    </row>
    <row r="1375" spans="1:21" customFormat="1">
      <c r="A1375">
        <v>1</v>
      </c>
      <c r="B1375">
        <v>18</v>
      </c>
      <c r="C1375">
        <v>6</v>
      </c>
      <c r="D1375">
        <v>11</v>
      </c>
      <c r="E1375">
        <v>2020</v>
      </c>
      <c r="F1375">
        <v>13122</v>
      </c>
      <c r="G1375" t="str">
        <f>VLOOKUP(F1375,'[1]Sheet 1'!$B$2:$E$347,2,FALSE)</f>
        <v>Metropolitana de Santiago</v>
      </c>
      <c r="H1375" t="str">
        <f>VLOOKUP(F1375,'[1]Sheet 1'!$B$2:$E$347,3,FALSE)</f>
        <v>Santiago</v>
      </c>
      <c r="I1375" t="str">
        <f>VLOOKUP(F1375,'[1]Sheet 1'!$B$2:$E$347,4,FALSE)</f>
        <v>Peñalolén</v>
      </c>
      <c r="J1375" t="s">
        <v>136</v>
      </c>
      <c r="K1375" s="3" t="s">
        <v>0</v>
      </c>
      <c r="L1375" s="12" t="str">
        <f>VLOOKUP(K1375,[2]Hoja4!$A$2:$C$443,2,FALSE)</f>
        <v>Intentional self-harm by hanging, strangulation and suffocation</v>
      </c>
      <c r="M1375" s="12" t="str">
        <f>VLOOKUP(K1375,[2]Hoja4!$A$2:$C$443,3,FALSE)</f>
        <v>Unspecified place</v>
      </c>
      <c r="N1375" s="1">
        <v>9.5</v>
      </c>
      <c r="O1375" s="1">
        <v>28.6</v>
      </c>
      <c r="P1375" s="1">
        <v>19</v>
      </c>
      <c r="Q1375" s="1">
        <v>953.7</v>
      </c>
      <c r="R1375" s="1"/>
      <c r="S1375" s="1">
        <v>40</v>
      </c>
      <c r="T1375" s="5">
        <v>0.1076</v>
      </c>
      <c r="U1375" s="10">
        <v>-1E-3</v>
      </c>
    </row>
    <row r="1376" spans="1:21" customFormat="1">
      <c r="A1376">
        <v>2</v>
      </c>
      <c r="B1376">
        <v>50</v>
      </c>
      <c r="C1376">
        <v>7</v>
      </c>
      <c r="D1376">
        <v>11</v>
      </c>
      <c r="E1376">
        <v>2020</v>
      </c>
      <c r="F1376">
        <v>1101</v>
      </c>
      <c r="G1376" t="str">
        <f>VLOOKUP(F1376,'[1]Sheet 1'!$B$2:$E$347,2,FALSE)</f>
        <v>Tarapacá</v>
      </c>
      <c r="H1376" t="str">
        <f>VLOOKUP(F1376,'[1]Sheet 1'!$B$2:$E$347,3,FALSE)</f>
        <v>Iquique</v>
      </c>
      <c r="I1376" t="str">
        <f>VLOOKUP(F1376,'[1]Sheet 1'!$B$2:$E$347,4,FALSE)</f>
        <v>Iquique</v>
      </c>
      <c r="J1376" t="s">
        <v>136</v>
      </c>
      <c r="K1376" s="3" t="s">
        <v>4</v>
      </c>
      <c r="L1376" s="12" t="str">
        <f>VLOOKUP(K1376,[2]Hoja4!$A$2:$C$443,2,FALSE)</f>
        <v>Intentional self-harm by hanging, strangulation and suffocation</v>
      </c>
      <c r="M1376" s="12" t="str">
        <f>VLOOKUP(K1376,[2]Hoja4!$A$2:$C$443,3,FALSE)</f>
        <v>At home</v>
      </c>
      <c r="N1376" s="1">
        <v>15.4</v>
      </c>
      <c r="O1376" s="1">
        <v>20.2</v>
      </c>
      <c r="P1376" s="1">
        <v>17.2</v>
      </c>
      <c r="Q1376" s="1">
        <v>1012</v>
      </c>
      <c r="R1376" s="1">
        <v>0</v>
      </c>
      <c r="S1376" s="1">
        <v>68.5</v>
      </c>
      <c r="T1376" s="5">
        <v>0.1076</v>
      </c>
      <c r="U1376" s="10">
        <v>-1E-3</v>
      </c>
    </row>
    <row r="1377" spans="1:21" customFormat="1">
      <c r="A1377">
        <v>1</v>
      </c>
      <c r="B1377">
        <v>53</v>
      </c>
      <c r="C1377">
        <v>8</v>
      </c>
      <c r="D1377">
        <v>11</v>
      </c>
      <c r="E1377">
        <v>2020</v>
      </c>
      <c r="F1377">
        <v>13114</v>
      </c>
      <c r="G1377" t="str">
        <f>VLOOKUP(F1377,'[1]Sheet 1'!$B$2:$E$347,2,FALSE)</f>
        <v>Metropolitana de Santiago</v>
      </c>
      <c r="H1377" t="str">
        <f>VLOOKUP(F1377,'[1]Sheet 1'!$B$2:$E$347,3,FALSE)</f>
        <v>Santiago</v>
      </c>
      <c r="I1377" t="str">
        <f>VLOOKUP(F1377,'[1]Sheet 1'!$B$2:$E$347,4,FALSE)</f>
        <v>Las Condes</v>
      </c>
      <c r="J1377" t="s">
        <v>144</v>
      </c>
      <c r="K1377" s="3" t="s">
        <v>9</v>
      </c>
      <c r="L1377" s="12" t="str">
        <f>VLOOKUP(K1377,[2]Hoja4!$A$2:$C$443,2,FALSE)</f>
        <v>Intentional self-harm by jumping from a high place</v>
      </c>
      <c r="M1377" s="12" t="str">
        <f>VLOOKUP(K1377,[2]Hoja4!$A$2:$C$443,3,FALSE)</f>
        <v>Unspecified place</v>
      </c>
      <c r="N1377" s="1">
        <v>10.3</v>
      </c>
      <c r="O1377" s="1">
        <v>25.5</v>
      </c>
      <c r="P1377" s="1">
        <v>17.899999999999999</v>
      </c>
      <c r="Q1377" s="1">
        <v>957.2</v>
      </c>
      <c r="R1377" s="1"/>
      <c r="S1377" s="1">
        <v>53.8</v>
      </c>
      <c r="T1377" s="5">
        <v>0.1076</v>
      </c>
      <c r="U1377" s="10">
        <v>-1E-3</v>
      </c>
    </row>
    <row r="1378" spans="1:21" customFormat="1">
      <c r="A1378">
        <v>1</v>
      </c>
      <c r="B1378">
        <v>40</v>
      </c>
      <c r="C1378">
        <v>8</v>
      </c>
      <c r="D1378">
        <v>11</v>
      </c>
      <c r="E1378">
        <v>2020</v>
      </c>
      <c r="F1378">
        <v>7109</v>
      </c>
      <c r="G1378" t="str">
        <f>VLOOKUP(F1378,'[1]Sheet 1'!$B$2:$E$347,2,FALSE)</f>
        <v>Maule</v>
      </c>
      <c r="H1378" t="str">
        <f>VLOOKUP(F1378,'[1]Sheet 1'!$B$2:$E$347,3,FALSE)</f>
        <v>Talca</v>
      </c>
      <c r="I1378" t="str">
        <f>VLOOKUP(F1378,'[1]Sheet 1'!$B$2:$E$347,4,FALSE)</f>
        <v>San Clemente</v>
      </c>
      <c r="J1378" t="s">
        <v>141</v>
      </c>
      <c r="K1378" s="3" t="s">
        <v>34</v>
      </c>
      <c r="L1378" s="12" t="str">
        <f>VLOOKUP(K1378,[2]Hoja4!$A$2:$C$443,2,FALSE)</f>
        <v>Intentional self-harm by other and unspecified firearm discharge</v>
      </c>
      <c r="M1378" s="12" t="str">
        <f>VLOOKUP(K1378,[2]Hoja4!$A$2:$C$443,3,FALSE)</f>
        <v>Other specified places</v>
      </c>
      <c r="N1378" s="1">
        <v>11.5</v>
      </c>
      <c r="O1378" s="1">
        <v>29.4</v>
      </c>
      <c r="P1378" s="1">
        <v>20.7</v>
      </c>
      <c r="Q1378" s="1">
        <v>1003.9</v>
      </c>
      <c r="R1378" s="1">
        <v>0.1</v>
      </c>
      <c r="S1378" s="1">
        <v>53.1</v>
      </c>
      <c r="T1378" s="5">
        <v>0.1076</v>
      </c>
      <c r="U1378" s="10">
        <v>-1E-3</v>
      </c>
    </row>
    <row r="1379" spans="1:21" customFormat="1">
      <c r="A1379">
        <v>2</v>
      </c>
      <c r="B1379">
        <v>39</v>
      </c>
      <c r="C1379">
        <v>8</v>
      </c>
      <c r="D1379">
        <v>11</v>
      </c>
      <c r="E1379">
        <v>2020</v>
      </c>
      <c r="F1379">
        <v>13101</v>
      </c>
      <c r="G1379" t="str">
        <f>VLOOKUP(F1379,'[1]Sheet 1'!$B$2:$E$347,2,FALSE)</f>
        <v>Metropolitana de Santiago</v>
      </c>
      <c r="H1379" t="str">
        <f>VLOOKUP(F1379,'[1]Sheet 1'!$B$2:$E$347,3,FALSE)</f>
        <v>Santiago</v>
      </c>
      <c r="I1379" t="str">
        <f>VLOOKUP(F1379,'[1]Sheet 1'!$B$2:$E$347,4,FALSE)</f>
        <v>Santiago</v>
      </c>
      <c r="J1379" t="s">
        <v>136</v>
      </c>
      <c r="K1379" s="3" t="s">
        <v>0</v>
      </c>
      <c r="L1379" s="12" t="str">
        <f>VLOOKUP(K1379,[2]Hoja4!$A$2:$C$443,2,FALSE)</f>
        <v>Intentional self-harm by hanging, strangulation and suffocation</v>
      </c>
      <c r="M1379" s="12" t="str">
        <f>VLOOKUP(K1379,[2]Hoja4!$A$2:$C$443,3,FALSE)</f>
        <v>Unspecified place</v>
      </c>
      <c r="N1379" s="1">
        <v>10.3</v>
      </c>
      <c r="O1379" s="1">
        <v>25.5</v>
      </c>
      <c r="P1379" s="1">
        <v>17.899999999999999</v>
      </c>
      <c r="Q1379" s="1">
        <v>957.2</v>
      </c>
      <c r="R1379" s="1"/>
      <c r="S1379" s="1">
        <v>53.8</v>
      </c>
      <c r="T1379" s="5">
        <v>0.1076</v>
      </c>
      <c r="U1379" s="10">
        <v>-1E-3</v>
      </c>
    </row>
    <row r="1380" spans="1:21" customFormat="1">
      <c r="A1380">
        <v>1</v>
      </c>
      <c r="B1380">
        <v>40</v>
      </c>
      <c r="C1380">
        <v>8</v>
      </c>
      <c r="D1380">
        <v>11</v>
      </c>
      <c r="E1380">
        <v>2020</v>
      </c>
      <c r="F1380">
        <v>1107</v>
      </c>
      <c r="G1380" t="str">
        <f>VLOOKUP(F1380,'[1]Sheet 1'!$B$2:$E$347,2,FALSE)</f>
        <v>Tarapacá</v>
      </c>
      <c r="H1380" t="str">
        <f>VLOOKUP(F1380,'[1]Sheet 1'!$B$2:$E$347,3,FALSE)</f>
        <v>Iquique</v>
      </c>
      <c r="I1380" t="str">
        <f>VLOOKUP(F1380,'[1]Sheet 1'!$B$2:$E$347,4,FALSE)</f>
        <v>Alto Hospicio</v>
      </c>
      <c r="J1380" t="s">
        <v>136</v>
      </c>
      <c r="K1380" s="3" t="s">
        <v>4</v>
      </c>
      <c r="L1380" s="12" t="str">
        <f>VLOOKUP(K1380,[2]Hoja4!$A$2:$C$443,2,FALSE)</f>
        <v>Intentional self-harm by hanging, strangulation and suffocation</v>
      </c>
      <c r="M1380" s="12" t="str">
        <f>VLOOKUP(K1380,[2]Hoja4!$A$2:$C$443,3,FALSE)</f>
        <v>At home</v>
      </c>
      <c r="N1380" s="1">
        <v>16.600000000000001</v>
      </c>
      <c r="O1380" s="1">
        <v>19.3</v>
      </c>
      <c r="P1380" s="1">
        <v>17.8</v>
      </c>
      <c r="Q1380" s="1">
        <v>1013.2</v>
      </c>
      <c r="R1380" s="1">
        <v>0</v>
      </c>
      <c r="S1380" s="1">
        <v>73.2</v>
      </c>
      <c r="T1380" s="5">
        <v>0.1076</v>
      </c>
      <c r="U1380" s="10">
        <v>-1E-3</v>
      </c>
    </row>
    <row r="1381" spans="1:21" customFormat="1">
      <c r="A1381">
        <v>1</v>
      </c>
      <c r="B1381">
        <v>27</v>
      </c>
      <c r="C1381">
        <v>8</v>
      </c>
      <c r="D1381">
        <v>11</v>
      </c>
      <c r="E1381">
        <v>2020</v>
      </c>
      <c r="F1381">
        <v>4305</v>
      </c>
      <c r="G1381" t="str">
        <f>VLOOKUP(F1381,'[1]Sheet 1'!$B$2:$E$347,2,FALSE)</f>
        <v>Coquimbo</v>
      </c>
      <c r="H1381" t="str">
        <f>VLOOKUP(F1381,'[1]Sheet 1'!$B$2:$E$347,3,FALSE)</f>
        <v>Limarí</v>
      </c>
      <c r="I1381" t="str">
        <f>VLOOKUP(F1381,'[1]Sheet 1'!$B$2:$E$347,4,FALSE)</f>
        <v>Río Hurtado</v>
      </c>
      <c r="J1381" t="s">
        <v>136</v>
      </c>
      <c r="K1381" s="3" t="s">
        <v>0</v>
      </c>
      <c r="L1381" s="12" t="str">
        <f>VLOOKUP(K1381,[2]Hoja4!$A$2:$C$443,2,FALSE)</f>
        <v>Intentional self-harm by hanging, strangulation and suffocation</v>
      </c>
      <c r="M1381" s="12" t="str">
        <f>VLOOKUP(K1381,[2]Hoja4!$A$2:$C$443,3,FALSE)</f>
        <v>Unspecified place</v>
      </c>
      <c r="N1381" s="1"/>
      <c r="O1381" s="1"/>
      <c r="P1381" s="1"/>
      <c r="Q1381" s="1"/>
      <c r="R1381" s="1"/>
      <c r="S1381" s="1"/>
      <c r="T1381" s="5">
        <v>0.1076</v>
      </c>
      <c r="U1381" s="10">
        <v>-1E-3</v>
      </c>
    </row>
    <row r="1382" spans="1:21" customFormat="1">
      <c r="A1382">
        <v>1</v>
      </c>
      <c r="B1382">
        <v>24</v>
      </c>
      <c r="C1382">
        <v>8</v>
      </c>
      <c r="D1382">
        <v>11</v>
      </c>
      <c r="E1382">
        <v>2020</v>
      </c>
      <c r="F1382">
        <v>13201</v>
      </c>
      <c r="G1382" t="str">
        <f>VLOOKUP(F1382,'[1]Sheet 1'!$B$2:$E$347,2,FALSE)</f>
        <v>Metropolitana de Santiago</v>
      </c>
      <c r="H1382" t="str">
        <f>VLOOKUP(F1382,'[1]Sheet 1'!$B$2:$E$347,3,FALSE)</f>
        <v>Cordillera</v>
      </c>
      <c r="I1382" t="str">
        <f>VLOOKUP(F1382,'[1]Sheet 1'!$B$2:$E$347,4,FALSE)</f>
        <v>Puente Alto</v>
      </c>
      <c r="J1382" t="s">
        <v>136</v>
      </c>
      <c r="K1382" s="3" t="s">
        <v>0</v>
      </c>
      <c r="L1382" s="12" t="str">
        <f>VLOOKUP(K1382,[2]Hoja4!$A$2:$C$443,2,FALSE)</f>
        <v>Intentional self-harm by hanging, strangulation and suffocation</v>
      </c>
      <c r="M1382" s="12" t="str">
        <f>VLOOKUP(K1382,[2]Hoja4!$A$2:$C$443,3,FALSE)</f>
        <v>Unspecified place</v>
      </c>
      <c r="N1382" s="1">
        <v>6.9</v>
      </c>
      <c r="O1382" s="1">
        <v>27.1</v>
      </c>
      <c r="P1382" s="1">
        <v>16.899999999999999</v>
      </c>
      <c r="Q1382" s="1">
        <v>940.8</v>
      </c>
      <c r="R1382" s="1">
        <v>0</v>
      </c>
      <c r="S1382" s="1">
        <v>57.7</v>
      </c>
      <c r="T1382" s="5">
        <v>0.1076</v>
      </c>
      <c r="U1382" s="10">
        <v>-1E-3</v>
      </c>
    </row>
    <row r="1383" spans="1:21" customFormat="1">
      <c r="A1383">
        <v>1</v>
      </c>
      <c r="B1383">
        <v>61</v>
      </c>
      <c r="C1383">
        <v>9</v>
      </c>
      <c r="D1383">
        <v>11</v>
      </c>
      <c r="E1383">
        <v>2020</v>
      </c>
      <c r="F1383">
        <v>7302</v>
      </c>
      <c r="G1383" t="str">
        <f>VLOOKUP(F1383,'[1]Sheet 1'!$B$2:$E$347,2,FALSE)</f>
        <v>Maule</v>
      </c>
      <c r="H1383" t="str">
        <f>VLOOKUP(F1383,'[1]Sheet 1'!$B$2:$E$347,3,FALSE)</f>
        <v>Curicó</v>
      </c>
      <c r="I1383" t="str">
        <f>VLOOKUP(F1383,'[1]Sheet 1'!$B$2:$E$347,4,FALSE)</f>
        <v>Hualañé</v>
      </c>
      <c r="J1383" t="s">
        <v>136</v>
      </c>
      <c r="K1383" s="3" t="s">
        <v>4</v>
      </c>
      <c r="L1383" s="12" t="str">
        <f>VLOOKUP(K1383,[2]Hoja4!$A$2:$C$443,2,FALSE)</f>
        <v>Intentional self-harm by hanging, strangulation and suffocation</v>
      </c>
      <c r="M1383" s="12" t="str">
        <f>VLOOKUP(K1383,[2]Hoja4!$A$2:$C$443,3,FALSE)</f>
        <v>At home</v>
      </c>
      <c r="N1383" s="1">
        <v>9.8000000000000007</v>
      </c>
      <c r="O1383" s="1">
        <v>28.2</v>
      </c>
      <c r="P1383" s="1">
        <v>18.100000000000001</v>
      </c>
      <c r="Q1383" s="1">
        <v>988.6</v>
      </c>
      <c r="R1383" s="1">
        <v>0</v>
      </c>
      <c r="S1383" s="1">
        <v>58.2</v>
      </c>
      <c r="T1383" s="5">
        <v>0.1076</v>
      </c>
      <c r="U1383" s="10">
        <v>-1E-3</v>
      </c>
    </row>
    <row r="1384" spans="1:21" customFormat="1">
      <c r="A1384">
        <v>1</v>
      </c>
      <c r="B1384">
        <v>40</v>
      </c>
      <c r="C1384">
        <v>9</v>
      </c>
      <c r="D1384">
        <v>11</v>
      </c>
      <c r="E1384">
        <v>2020</v>
      </c>
      <c r="F1384">
        <v>5702</v>
      </c>
      <c r="G1384" t="str">
        <f>VLOOKUP(F1384,'[1]Sheet 1'!$B$2:$E$347,2,FALSE)</f>
        <v>Valparaíso</v>
      </c>
      <c r="H1384" t="str">
        <f>VLOOKUP(F1384,'[1]Sheet 1'!$B$2:$E$347,3,FALSE)</f>
        <v>San Felipe de Aconcagua</v>
      </c>
      <c r="I1384" t="str">
        <f>VLOOKUP(F1384,'[1]Sheet 1'!$B$2:$E$347,4,FALSE)</f>
        <v>Catemu</v>
      </c>
      <c r="J1384" t="s">
        <v>136</v>
      </c>
      <c r="K1384" s="3" t="s">
        <v>0</v>
      </c>
      <c r="L1384" s="12" t="str">
        <f>VLOOKUP(K1384,[2]Hoja4!$A$2:$C$443,2,FALSE)</f>
        <v>Intentional self-harm by hanging, strangulation and suffocation</v>
      </c>
      <c r="M1384" s="12" t="str">
        <f>VLOOKUP(K1384,[2]Hoja4!$A$2:$C$443,3,FALSE)</f>
        <v>Unspecified place</v>
      </c>
      <c r="N1384" s="1">
        <v>8.6</v>
      </c>
      <c r="O1384" s="1">
        <v>31.8</v>
      </c>
      <c r="P1384" s="1">
        <v>19.3</v>
      </c>
      <c r="Q1384" s="1">
        <v>937.6</v>
      </c>
      <c r="R1384" s="1">
        <v>0</v>
      </c>
      <c r="S1384" s="1">
        <v>51.4</v>
      </c>
      <c r="T1384" s="5">
        <v>0.1076</v>
      </c>
      <c r="U1384" s="10">
        <v>-1E-3</v>
      </c>
    </row>
    <row r="1385" spans="1:21" customFormat="1">
      <c r="A1385">
        <v>2</v>
      </c>
      <c r="B1385">
        <v>32</v>
      </c>
      <c r="C1385">
        <v>9</v>
      </c>
      <c r="D1385">
        <v>11</v>
      </c>
      <c r="E1385">
        <v>2020</v>
      </c>
      <c r="F1385">
        <v>7301</v>
      </c>
      <c r="G1385" t="str">
        <f>VLOOKUP(F1385,'[1]Sheet 1'!$B$2:$E$347,2,FALSE)</f>
        <v>Maule</v>
      </c>
      <c r="H1385" t="str">
        <f>VLOOKUP(F1385,'[1]Sheet 1'!$B$2:$E$347,3,FALSE)</f>
        <v>Curicó</v>
      </c>
      <c r="I1385" t="str">
        <f>VLOOKUP(F1385,'[1]Sheet 1'!$B$2:$E$347,4,FALSE)</f>
        <v>Curicó</v>
      </c>
      <c r="J1385" t="s">
        <v>136</v>
      </c>
      <c r="K1385" s="3" t="s">
        <v>4</v>
      </c>
      <c r="L1385" s="12" t="str">
        <f>VLOOKUP(K1385,[2]Hoja4!$A$2:$C$443,2,FALSE)</f>
        <v>Intentional self-harm by hanging, strangulation and suffocation</v>
      </c>
      <c r="M1385" s="12" t="str">
        <f>VLOOKUP(K1385,[2]Hoja4!$A$2:$C$443,3,FALSE)</f>
        <v>At home</v>
      </c>
      <c r="N1385" s="1">
        <v>9.8000000000000007</v>
      </c>
      <c r="O1385" s="1">
        <v>28.2</v>
      </c>
      <c r="P1385" s="1">
        <v>18.100000000000001</v>
      </c>
      <c r="Q1385" s="1">
        <v>988.6</v>
      </c>
      <c r="R1385" s="1">
        <v>0</v>
      </c>
      <c r="S1385" s="1">
        <v>58.2</v>
      </c>
      <c r="T1385" s="5">
        <v>0.1076</v>
      </c>
      <c r="U1385" s="10">
        <v>-1E-3</v>
      </c>
    </row>
    <row r="1386" spans="1:21" customFormat="1">
      <c r="A1386">
        <v>1</v>
      </c>
      <c r="B1386">
        <v>16</v>
      </c>
      <c r="C1386">
        <v>9</v>
      </c>
      <c r="D1386">
        <v>11</v>
      </c>
      <c r="E1386">
        <v>2020</v>
      </c>
      <c r="F1386">
        <v>13102</v>
      </c>
      <c r="G1386" t="str">
        <f>VLOOKUP(F1386,'[1]Sheet 1'!$B$2:$E$347,2,FALSE)</f>
        <v>Metropolitana de Santiago</v>
      </c>
      <c r="H1386" t="str">
        <f>VLOOKUP(F1386,'[1]Sheet 1'!$B$2:$E$347,3,FALSE)</f>
        <v>Santiago</v>
      </c>
      <c r="I1386" t="str">
        <f>VLOOKUP(F1386,'[1]Sheet 1'!$B$2:$E$347,4,FALSE)</f>
        <v>Cerrillos</v>
      </c>
      <c r="J1386" t="s">
        <v>136</v>
      </c>
      <c r="K1386" s="3" t="s">
        <v>0</v>
      </c>
      <c r="L1386" s="12" t="str">
        <f>VLOOKUP(K1386,[2]Hoja4!$A$2:$C$443,2,FALSE)</f>
        <v>Intentional self-harm by hanging, strangulation and suffocation</v>
      </c>
      <c r="M1386" s="12" t="str">
        <f>VLOOKUP(K1386,[2]Hoja4!$A$2:$C$443,3,FALSE)</f>
        <v>Unspecified place</v>
      </c>
      <c r="N1386" s="1">
        <v>9.3000000000000007</v>
      </c>
      <c r="O1386" s="1">
        <v>29.1</v>
      </c>
      <c r="P1386" s="1">
        <v>18.399999999999999</v>
      </c>
      <c r="Q1386" s="1">
        <v>954.4</v>
      </c>
      <c r="R1386" s="1"/>
      <c r="S1386" s="1">
        <v>57.2</v>
      </c>
      <c r="T1386" s="5">
        <v>0.1076</v>
      </c>
      <c r="U1386" s="10">
        <v>-1E-3</v>
      </c>
    </row>
    <row r="1387" spans="1:21" customFormat="1">
      <c r="A1387">
        <v>2</v>
      </c>
      <c r="B1387">
        <v>71</v>
      </c>
      <c r="C1387">
        <v>10</v>
      </c>
      <c r="D1387">
        <v>11</v>
      </c>
      <c r="E1387">
        <v>2020</v>
      </c>
      <c r="F1387">
        <v>8101</v>
      </c>
      <c r="G1387" t="str">
        <f>VLOOKUP(F1387,'[1]Sheet 1'!$B$2:$E$347,2,FALSE)</f>
        <v>Biobío</v>
      </c>
      <c r="H1387" t="str">
        <f>VLOOKUP(F1387,'[1]Sheet 1'!$B$2:$E$347,3,FALSE)</f>
        <v>Concepción</v>
      </c>
      <c r="I1387" t="str">
        <f>VLOOKUP(F1387,'[1]Sheet 1'!$B$2:$E$347,4,FALSE)</f>
        <v>Concepción</v>
      </c>
      <c r="J1387" t="s">
        <v>142</v>
      </c>
      <c r="K1387" s="3" t="s">
        <v>16</v>
      </c>
      <c r="L1387" s="12" t="str">
        <f>VLOOKUP(K1387,[2]Hoja4!$A$2:$C$443,2,FALSE)</f>
        <v>Intentional self-harm by jumping or lying before moving object</v>
      </c>
      <c r="M1387" s="12" t="str">
        <f>VLOOKUP(K1387,[2]Hoja4!$A$2:$C$443,3,FALSE)</f>
        <v>Street and highway</v>
      </c>
      <c r="N1387" s="1">
        <v>9.3000000000000007</v>
      </c>
      <c r="O1387" s="1" t="s">
        <v>51</v>
      </c>
      <c r="P1387" s="1">
        <v>14.2</v>
      </c>
      <c r="Q1387" s="1">
        <v>1014.7</v>
      </c>
      <c r="R1387" s="1">
        <v>0</v>
      </c>
      <c r="S1387" s="1">
        <v>79.5</v>
      </c>
      <c r="T1387" s="5">
        <v>0.1076</v>
      </c>
      <c r="U1387" s="10">
        <v>-1E-3</v>
      </c>
    </row>
    <row r="1388" spans="1:21" customFormat="1">
      <c r="A1388">
        <v>1</v>
      </c>
      <c r="B1388">
        <v>45</v>
      </c>
      <c r="C1388">
        <v>10</v>
      </c>
      <c r="D1388">
        <v>11</v>
      </c>
      <c r="E1388">
        <v>2020</v>
      </c>
      <c r="F1388">
        <v>6101</v>
      </c>
      <c r="G1388" t="str">
        <f>VLOOKUP(F1388,'[1]Sheet 1'!$B$2:$E$347,2,FALSE)</f>
        <v>Libertador General Bernardo O'Higgins</v>
      </c>
      <c r="H1388" t="str">
        <f>VLOOKUP(F1388,'[1]Sheet 1'!$B$2:$E$347,3,FALSE)</f>
        <v>Cachapoal</v>
      </c>
      <c r="I1388" t="str">
        <f>VLOOKUP(F1388,'[1]Sheet 1'!$B$2:$E$347,4,FALSE)</f>
        <v>Rancagua</v>
      </c>
      <c r="J1388" t="s">
        <v>136</v>
      </c>
      <c r="K1388" s="3" t="s">
        <v>4</v>
      </c>
      <c r="L1388" s="12" t="str">
        <f>VLOOKUP(K1388,[2]Hoja4!$A$2:$C$443,2,FALSE)</f>
        <v>Intentional self-harm by hanging, strangulation and suffocation</v>
      </c>
      <c r="M1388" s="12" t="str">
        <f>VLOOKUP(K1388,[2]Hoja4!$A$2:$C$443,3,FALSE)</f>
        <v>At home</v>
      </c>
      <c r="N1388" s="1">
        <v>12.2</v>
      </c>
      <c r="O1388" s="1">
        <v>28.5</v>
      </c>
      <c r="P1388" s="1">
        <v>20.5</v>
      </c>
      <c r="Q1388" s="1">
        <v>958.2</v>
      </c>
      <c r="R1388" s="1">
        <v>0</v>
      </c>
      <c r="S1388" s="1">
        <v>61</v>
      </c>
      <c r="T1388" s="5">
        <v>0.1076</v>
      </c>
      <c r="U1388" s="10">
        <v>-1E-3</v>
      </c>
    </row>
    <row r="1389" spans="1:21" customFormat="1">
      <c r="A1389">
        <v>2</v>
      </c>
      <c r="B1389">
        <v>13</v>
      </c>
      <c r="C1389">
        <v>10</v>
      </c>
      <c r="D1389">
        <v>11</v>
      </c>
      <c r="E1389">
        <v>2020</v>
      </c>
      <c r="F1389">
        <v>10101</v>
      </c>
      <c r="G1389" t="str">
        <f>VLOOKUP(F1389,'[1]Sheet 1'!$B$2:$E$347,2,FALSE)</f>
        <v>Los Lagos</v>
      </c>
      <c r="H1389" t="str">
        <f>VLOOKUP(F1389,'[1]Sheet 1'!$B$2:$E$347,3,FALSE)</f>
        <v>Llanquihue</v>
      </c>
      <c r="I1389" t="str">
        <f>VLOOKUP(F1389,'[1]Sheet 1'!$B$2:$E$347,4,FALSE)</f>
        <v>Puerto Montt</v>
      </c>
      <c r="J1389" t="s">
        <v>136</v>
      </c>
      <c r="K1389" s="3" t="s">
        <v>4</v>
      </c>
      <c r="L1389" s="12" t="str">
        <f>VLOOKUP(K1389,[2]Hoja4!$A$2:$C$443,2,FALSE)</f>
        <v>Intentional self-harm by hanging, strangulation and suffocation</v>
      </c>
      <c r="M1389" s="12" t="str">
        <f>VLOOKUP(K1389,[2]Hoja4!$A$2:$C$443,3,FALSE)</f>
        <v>At home</v>
      </c>
      <c r="N1389" s="1">
        <v>9.9</v>
      </c>
      <c r="O1389" s="1">
        <v>18.5</v>
      </c>
      <c r="P1389" s="1">
        <v>12.8</v>
      </c>
      <c r="Q1389" s="1">
        <v>1008.7</v>
      </c>
      <c r="R1389" s="1">
        <v>0</v>
      </c>
      <c r="S1389" s="1">
        <v>82.2</v>
      </c>
      <c r="T1389" s="5">
        <v>0.1076</v>
      </c>
      <c r="U1389" s="10">
        <v>-1E-3</v>
      </c>
    </row>
    <row r="1390" spans="1:21" customFormat="1">
      <c r="A1390">
        <v>1</v>
      </c>
      <c r="B1390">
        <v>83</v>
      </c>
      <c r="C1390">
        <v>11</v>
      </c>
      <c r="D1390">
        <v>11</v>
      </c>
      <c r="E1390">
        <v>2020</v>
      </c>
      <c r="F1390">
        <v>6101</v>
      </c>
      <c r="G1390" t="str">
        <f>VLOOKUP(F1390,'[1]Sheet 1'!$B$2:$E$347,2,FALSE)</f>
        <v>Libertador General Bernardo O'Higgins</v>
      </c>
      <c r="H1390" t="str">
        <f>VLOOKUP(F1390,'[1]Sheet 1'!$B$2:$E$347,3,FALSE)</f>
        <v>Cachapoal</v>
      </c>
      <c r="I1390" t="str">
        <f>VLOOKUP(F1390,'[1]Sheet 1'!$B$2:$E$347,4,FALSE)</f>
        <v>Rancagua</v>
      </c>
      <c r="J1390" t="s">
        <v>136</v>
      </c>
      <c r="K1390" s="3" t="s">
        <v>0</v>
      </c>
      <c r="L1390" s="12" t="str">
        <f>VLOOKUP(K1390,[2]Hoja4!$A$2:$C$443,2,FALSE)</f>
        <v>Intentional self-harm by hanging, strangulation and suffocation</v>
      </c>
      <c r="M1390" s="12" t="str">
        <f>VLOOKUP(K1390,[2]Hoja4!$A$2:$C$443,3,FALSE)</f>
        <v>Unspecified place</v>
      </c>
      <c r="N1390" s="1">
        <v>9.8000000000000007</v>
      </c>
      <c r="O1390" s="1">
        <v>24.9</v>
      </c>
      <c r="P1390" s="1">
        <v>15.6</v>
      </c>
      <c r="Q1390" s="1">
        <v>960.3</v>
      </c>
      <c r="R1390" s="1">
        <v>0</v>
      </c>
      <c r="S1390" s="1">
        <v>75.8</v>
      </c>
      <c r="T1390" s="5">
        <v>0.1076</v>
      </c>
      <c r="U1390" s="10">
        <v>-1E-3</v>
      </c>
    </row>
    <row r="1391" spans="1:21" customFormat="1">
      <c r="A1391">
        <v>2</v>
      </c>
      <c r="B1391">
        <v>66</v>
      </c>
      <c r="C1391">
        <v>11</v>
      </c>
      <c r="D1391">
        <v>11</v>
      </c>
      <c r="E1391">
        <v>2020</v>
      </c>
      <c r="F1391">
        <v>13113</v>
      </c>
      <c r="G1391" t="str">
        <f>VLOOKUP(F1391,'[1]Sheet 1'!$B$2:$E$347,2,FALSE)</f>
        <v>Metropolitana de Santiago</v>
      </c>
      <c r="H1391" t="str">
        <f>VLOOKUP(F1391,'[1]Sheet 1'!$B$2:$E$347,3,FALSE)</f>
        <v>Santiago</v>
      </c>
      <c r="I1391" t="str">
        <f>VLOOKUP(F1391,'[1]Sheet 1'!$B$2:$E$347,4,FALSE)</f>
        <v>La Reina</v>
      </c>
      <c r="J1391" t="s">
        <v>136</v>
      </c>
      <c r="K1391" s="3" t="s">
        <v>0</v>
      </c>
      <c r="L1391" s="12" t="str">
        <f>VLOOKUP(K1391,[2]Hoja4!$A$2:$C$443,2,FALSE)</f>
        <v>Intentional self-harm by hanging, strangulation and suffocation</v>
      </c>
      <c r="M1391" s="12" t="str">
        <f>VLOOKUP(K1391,[2]Hoja4!$A$2:$C$443,3,FALSE)</f>
        <v>Unspecified place</v>
      </c>
      <c r="N1391" s="1">
        <v>10.1</v>
      </c>
      <c r="O1391" s="1">
        <v>26.8</v>
      </c>
      <c r="P1391" s="1">
        <v>16.5</v>
      </c>
      <c r="Q1391" s="1">
        <v>956.4</v>
      </c>
      <c r="R1391" s="1"/>
      <c r="S1391" s="1">
        <v>63</v>
      </c>
      <c r="T1391" s="5">
        <v>0.1076</v>
      </c>
      <c r="U1391" s="10">
        <v>-1E-3</v>
      </c>
    </row>
    <row r="1392" spans="1:21" customFormat="1">
      <c r="A1392">
        <v>2</v>
      </c>
      <c r="B1392">
        <v>38</v>
      </c>
      <c r="C1392">
        <v>11</v>
      </c>
      <c r="D1392">
        <v>11</v>
      </c>
      <c r="E1392">
        <v>2020</v>
      </c>
      <c r="F1392">
        <v>13501</v>
      </c>
      <c r="G1392" t="str">
        <f>VLOOKUP(F1392,'[1]Sheet 1'!$B$2:$E$347,2,FALSE)</f>
        <v>Metropolitana de Santiago</v>
      </c>
      <c r="H1392" t="str">
        <f>VLOOKUP(F1392,'[1]Sheet 1'!$B$2:$E$347,3,FALSE)</f>
        <v>Melipilla</v>
      </c>
      <c r="I1392" t="str">
        <f>VLOOKUP(F1392,'[1]Sheet 1'!$B$2:$E$347,4,FALSE)</f>
        <v>Melipilla</v>
      </c>
      <c r="J1392" t="s">
        <v>136</v>
      </c>
      <c r="K1392" s="3" t="s">
        <v>4</v>
      </c>
      <c r="L1392" s="12" t="str">
        <f>VLOOKUP(K1392,[2]Hoja4!$A$2:$C$443,2,FALSE)</f>
        <v>Intentional self-harm by hanging, strangulation and suffocation</v>
      </c>
      <c r="M1392" s="12" t="str">
        <f>VLOOKUP(K1392,[2]Hoja4!$A$2:$C$443,3,FALSE)</f>
        <v>At home</v>
      </c>
      <c r="N1392" s="1">
        <v>11.8</v>
      </c>
      <c r="O1392" s="1">
        <v>20.399999999999999</v>
      </c>
      <c r="P1392" s="1">
        <v>14.6</v>
      </c>
      <c r="Q1392" s="1">
        <v>1018.3</v>
      </c>
      <c r="R1392" s="1">
        <v>0</v>
      </c>
      <c r="S1392" s="1">
        <v>58.8</v>
      </c>
      <c r="T1392" s="5">
        <v>0.1076</v>
      </c>
      <c r="U1392" s="10">
        <v>-1E-3</v>
      </c>
    </row>
    <row r="1393" spans="1:21" customFormat="1">
      <c r="A1393">
        <v>1</v>
      </c>
      <c r="B1393">
        <v>34</v>
      </c>
      <c r="C1393">
        <v>11</v>
      </c>
      <c r="D1393">
        <v>11</v>
      </c>
      <c r="E1393">
        <v>2020</v>
      </c>
      <c r="F1393">
        <v>13302</v>
      </c>
      <c r="G1393" t="str">
        <f>VLOOKUP(F1393,'[1]Sheet 1'!$B$2:$E$347,2,FALSE)</f>
        <v>Metropolitana de Santiago</v>
      </c>
      <c r="H1393" t="str">
        <f>VLOOKUP(F1393,'[1]Sheet 1'!$B$2:$E$347,3,FALSE)</f>
        <v>Chacabuco</v>
      </c>
      <c r="I1393" t="str">
        <f>VLOOKUP(F1393,'[1]Sheet 1'!$B$2:$E$347,4,FALSE)</f>
        <v>Lampa</v>
      </c>
      <c r="J1393" t="s">
        <v>136</v>
      </c>
      <c r="K1393" s="3" t="s">
        <v>0</v>
      </c>
      <c r="L1393" s="12" t="str">
        <f>VLOOKUP(K1393,[2]Hoja4!$A$2:$C$443,2,FALSE)</f>
        <v>Intentional self-harm by hanging, strangulation and suffocation</v>
      </c>
      <c r="M1393" s="12" t="str">
        <f>VLOOKUP(K1393,[2]Hoja4!$A$2:$C$443,3,FALSE)</f>
        <v>Unspecified place</v>
      </c>
      <c r="N1393" s="1">
        <v>8.3000000000000007</v>
      </c>
      <c r="O1393" s="1">
        <v>28.4</v>
      </c>
      <c r="P1393" s="1">
        <v>18</v>
      </c>
      <c r="Q1393" s="1">
        <v>937.9</v>
      </c>
      <c r="R1393" s="1"/>
      <c r="S1393" s="1">
        <v>57</v>
      </c>
      <c r="T1393" s="5">
        <v>0.1076</v>
      </c>
      <c r="U1393" s="10">
        <v>-1E-3</v>
      </c>
    </row>
    <row r="1394" spans="1:21" customFormat="1">
      <c r="A1394">
        <v>2</v>
      </c>
      <c r="B1394">
        <v>24</v>
      </c>
      <c r="C1394">
        <v>11</v>
      </c>
      <c r="D1394">
        <v>11</v>
      </c>
      <c r="E1394">
        <v>2020</v>
      </c>
      <c r="F1394">
        <v>4101</v>
      </c>
      <c r="G1394" t="str">
        <f>VLOOKUP(F1394,'[1]Sheet 1'!$B$2:$E$347,2,FALSE)</f>
        <v>Coquimbo</v>
      </c>
      <c r="H1394" t="str">
        <f>VLOOKUP(F1394,'[1]Sheet 1'!$B$2:$E$347,3,FALSE)</f>
        <v>Elqui</v>
      </c>
      <c r="I1394" t="str">
        <f>VLOOKUP(F1394,'[1]Sheet 1'!$B$2:$E$347,4,FALSE)</f>
        <v>La Serena</v>
      </c>
      <c r="J1394" t="s">
        <v>136</v>
      </c>
      <c r="K1394" s="3" t="s">
        <v>4</v>
      </c>
      <c r="L1394" s="12" t="str">
        <f>VLOOKUP(K1394,[2]Hoja4!$A$2:$C$443,2,FALSE)</f>
        <v>Intentional self-harm by hanging, strangulation and suffocation</v>
      </c>
      <c r="M1394" s="12" t="str">
        <f>VLOOKUP(K1394,[2]Hoja4!$A$2:$C$443,3,FALSE)</f>
        <v>At home</v>
      </c>
      <c r="N1394" s="1">
        <v>12.2</v>
      </c>
      <c r="O1394" s="1">
        <v>16</v>
      </c>
      <c r="P1394" s="1">
        <v>13.5</v>
      </c>
      <c r="Q1394" s="1">
        <v>1001.7</v>
      </c>
      <c r="R1394" s="1">
        <v>0</v>
      </c>
      <c r="S1394" s="1">
        <v>81</v>
      </c>
      <c r="T1394" s="5">
        <v>0.1076</v>
      </c>
      <c r="U1394" s="10">
        <v>-1E-3</v>
      </c>
    </row>
    <row r="1395" spans="1:21" customFormat="1">
      <c r="A1395">
        <v>1</v>
      </c>
      <c r="B1395">
        <v>51</v>
      </c>
      <c r="C1395">
        <v>12</v>
      </c>
      <c r="D1395">
        <v>11</v>
      </c>
      <c r="E1395">
        <v>2020</v>
      </c>
      <c r="F1395">
        <v>5502</v>
      </c>
      <c r="G1395" t="str">
        <f>VLOOKUP(F1395,'[1]Sheet 1'!$B$2:$E$347,2,FALSE)</f>
        <v>Valparaíso</v>
      </c>
      <c r="H1395" t="str">
        <f>VLOOKUP(F1395,'[1]Sheet 1'!$B$2:$E$347,3,FALSE)</f>
        <v>Quillota</v>
      </c>
      <c r="I1395" t="str">
        <f>VLOOKUP(F1395,'[1]Sheet 1'!$B$2:$E$347,4,FALSE)</f>
        <v>Calera</v>
      </c>
      <c r="J1395" t="s">
        <v>136</v>
      </c>
      <c r="K1395" s="3" t="s">
        <v>0</v>
      </c>
      <c r="L1395" s="12" t="str">
        <f>VLOOKUP(K1395,[2]Hoja4!$A$2:$C$443,2,FALSE)</f>
        <v>Intentional self-harm by hanging, strangulation and suffocation</v>
      </c>
      <c r="M1395" s="12" t="str">
        <f>VLOOKUP(K1395,[2]Hoja4!$A$2:$C$443,3,FALSE)</f>
        <v>Unspecified place</v>
      </c>
      <c r="N1395" s="1">
        <v>10.7</v>
      </c>
      <c r="O1395" s="1">
        <v>21.7</v>
      </c>
      <c r="P1395" s="1">
        <v>14.5</v>
      </c>
      <c r="Q1395" s="1">
        <v>998.7</v>
      </c>
      <c r="R1395" s="1">
        <v>0</v>
      </c>
      <c r="S1395" s="1">
        <v>72.599999999999994</v>
      </c>
      <c r="T1395" s="5">
        <v>0.1076</v>
      </c>
      <c r="U1395" s="10">
        <v>-1E-3</v>
      </c>
    </row>
    <row r="1396" spans="1:21" customFormat="1">
      <c r="A1396">
        <v>2</v>
      </c>
      <c r="B1396">
        <v>39</v>
      </c>
      <c r="C1396">
        <v>12</v>
      </c>
      <c r="D1396">
        <v>11</v>
      </c>
      <c r="E1396">
        <v>2020</v>
      </c>
      <c r="F1396">
        <v>5602</v>
      </c>
      <c r="G1396" t="str">
        <f>VLOOKUP(F1396,'[1]Sheet 1'!$B$2:$E$347,2,FALSE)</f>
        <v>Valparaíso</v>
      </c>
      <c r="H1396" t="str">
        <f>VLOOKUP(F1396,'[1]Sheet 1'!$B$2:$E$347,3,FALSE)</f>
        <v>San Antonio</v>
      </c>
      <c r="I1396" t="str">
        <f>VLOOKUP(F1396,'[1]Sheet 1'!$B$2:$E$347,4,FALSE)</f>
        <v>Algarrobo</v>
      </c>
      <c r="J1396" t="s">
        <v>136</v>
      </c>
      <c r="K1396" s="3" t="s">
        <v>4</v>
      </c>
      <c r="L1396" s="12" t="str">
        <f>VLOOKUP(K1396,[2]Hoja4!$A$2:$C$443,2,FALSE)</f>
        <v>Intentional self-harm by hanging, strangulation and suffocation</v>
      </c>
      <c r="M1396" s="12" t="str">
        <f>VLOOKUP(K1396,[2]Hoja4!$A$2:$C$443,3,FALSE)</f>
        <v>At home</v>
      </c>
      <c r="N1396" s="1">
        <v>9.5</v>
      </c>
      <c r="O1396" s="1">
        <v>13</v>
      </c>
      <c r="P1396" s="1">
        <v>11.3</v>
      </c>
      <c r="Q1396" s="1">
        <v>1010.8</v>
      </c>
      <c r="R1396" s="1">
        <v>1</v>
      </c>
      <c r="S1396" s="1">
        <v>93</v>
      </c>
      <c r="T1396" s="5">
        <v>0.1076</v>
      </c>
      <c r="U1396" s="10">
        <v>-1E-3</v>
      </c>
    </row>
    <row r="1397" spans="1:21" customFormat="1">
      <c r="A1397">
        <v>1</v>
      </c>
      <c r="B1397">
        <v>28</v>
      </c>
      <c r="C1397">
        <v>12</v>
      </c>
      <c r="D1397">
        <v>11</v>
      </c>
      <c r="E1397">
        <v>2020</v>
      </c>
      <c r="F1397">
        <v>5501</v>
      </c>
      <c r="G1397" t="str">
        <f>VLOOKUP(F1397,'[1]Sheet 1'!$B$2:$E$347,2,FALSE)</f>
        <v>Valparaíso</v>
      </c>
      <c r="H1397" t="str">
        <f>VLOOKUP(F1397,'[1]Sheet 1'!$B$2:$E$347,3,FALSE)</f>
        <v>Quillota</v>
      </c>
      <c r="I1397" t="str">
        <f>VLOOKUP(F1397,'[1]Sheet 1'!$B$2:$E$347,4,FALSE)</f>
        <v>Quillota</v>
      </c>
      <c r="J1397" t="s">
        <v>136</v>
      </c>
      <c r="K1397" s="3" t="s">
        <v>0</v>
      </c>
      <c r="L1397" s="12" t="str">
        <f>VLOOKUP(K1397,[2]Hoja4!$A$2:$C$443,2,FALSE)</f>
        <v>Intentional self-harm by hanging, strangulation and suffocation</v>
      </c>
      <c r="M1397" s="12" t="str">
        <f>VLOOKUP(K1397,[2]Hoja4!$A$2:$C$443,3,FALSE)</f>
        <v>Unspecified place</v>
      </c>
      <c r="N1397" s="1">
        <v>10.7</v>
      </c>
      <c r="O1397" s="1">
        <v>21.7</v>
      </c>
      <c r="P1397" s="1">
        <v>14.5</v>
      </c>
      <c r="Q1397" s="1">
        <v>998.7</v>
      </c>
      <c r="R1397" s="1">
        <v>0</v>
      </c>
      <c r="S1397" s="1">
        <v>72.599999999999994</v>
      </c>
      <c r="T1397" s="5">
        <v>0.1076</v>
      </c>
      <c r="U1397" s="10">
        <v>-1E-3</v>
      </c>
    </row>
    <row r="1398" spans="1:21">
      <c r="A1398" s="4">
        <v>1</v>
      </c>
      <c r="B1398" s="4">
        <v>18</v>
      </c>
      <c r="C1398" s="4">
        <v>12</v>
      </c>
      <c r="D1398" s="4">
        <v>11</v>
      </c>
      <c r="E1398" s="4">
        <v>2020</v>
      </c>
      <c r="F1398" s="4">
        <v>10403</v>
      </c>
      <c r="G1398" s="4" t="str">
        <f>VLOOKUP(F1398,'[1]Sheet 1'!$B$2:$E$347,2,FALSE)</f>
        <v>Los Lagos</v>
      </c>
      <c r="H1398" s="4" t="str">
        <f>VLOOKUP(F1398,'[1]Sheet 1'!$B$2:$E$347,3,FALSE)</f>
        <v>Palena</v>
      </c>
      <c r="I1398" s="4" t="str">
        <f>VLOOKUP(F1398,'[1]Sheet 1'!$B$2:$E$347,4,FALSE)</f>
        <v>Hualaihué</v>
      </c>
      <c r="J1398" s="4" t="s">
        <v>136</v>
      </c>
      <c r="K1398" s="3" t="s">
        <v>2</v>
      </c>
      <c r="L1398" s="12" t="str">
        <f>VLOOKUP(K1398,[2]Hoja4!$A$2:$C$443,2,FALSE)</f>
        <v>Intentional self-harm by hanging, strangulation and suffocation</v>
      </c>
      <c r="M1398" s="12" t="str">
        <f>VLOOKUP(K1398,[2]Hoja4!$A$2:$C$443,3,FALSE)</f>
        <v>Street and highway</v>
      </c>
      <c r="N1398" s="1">
        <v>5.3</v>
      </c>
      <c r="O1398" s="1">
        <v>18.600000000000001</v>
      </c>
      <c r="P1398" s="1">
        <v>15.1</v>
      </c>
      <c r="Q1398" s="1">
        <v>985.8</v>
      </c>
      <c r="R1398" s="1">
        <v>0.2</v>
      </c>
      <c r="S1398" s="1">
        <v>57.8</v>
      </c>
      <c r="T1398" s="5">
        <v>0.1076</v>
      </c>
      <c r="U1398" s="10">
        <v>-1E-3</v>
      </c>
    </row>
    <row r="1399" spans="1:21" customFormat="1">
      <c r="A1399">
        <v>2</v>
      </c>
      <c r="B1399">
        <v>22</v>
      </c>
      <c r="C1399">
        <v>12</v>
      </c>
      <c r="D1399">
        <v>11</v>
      </c>
      <c r="E1399">
        <v>2020</v>
      </c>
      <c r="F1399">
        <v>9103</v>
      </c>
      <c r="G1399" t="str">
        <f>VLOOKUP(F1399,'[1]Sheet 1'!$B$2:$E$347,2,FALSE)</f>
        <v>La Araucanía</v>
      </c>
      <c r="H1399" t="str">
        <f>VLOOKUP(F1399,'[1]Sheet 1'!$B$2:$E$347,3,FALSE)</f>
        <v>Cautín</v>
      </c>
      <c r="I1399" t="str">
        <f>VLOOKUP(F1399,'[1]Sheet 1'!$B$2:$E$347,4,FALSE)</f>
        <v>Cunco</v>
      </c>
      <c r="J1399" t="s">
        <v>136</v>
      </c>
      <c r="K1399" s="3" t="s">
        <v>4</v>
      </c>
      <c r="L1399" s="12" t="str">
        <f>VLOOKUP(K1399,[2]Hoja4!$A$2:$C$443,2,FALSE)</f>
        <v>Intentional self-harm by hanging, strangulation and suffocation</v>
      </c>
      <c r="M1399" s="12" t="str">
        <f>VLOOKUP(K1399,[2]Hoja4!$A$2:$C$443,3,FALSE)</f>
        <v>At home</v>
      </c>
      <c r="N1399" s="1">
        <v>6.9</v>
      </c>
      <c r="O1399" s="1">
        <v>20</v>
      </c>
      <c r="P1399" s="1">
        <v>13.6</v>
      </c>
      <c r="Q1399" s="1">
        <v>1007.4</v>
      </c>
      <c r="R1399" s="1">
        <v>0</v>
      </c>
      <c r="S1399" s="1">
        <v>74.5</v>
      </c>
      <c r="T1399" s="5">
        <v>0.1076</v>
      </c>
      <c r="U1399" s="10">
        <v>-1E-3</v>
      </c>
    </row>
    <row r="1400" spans="1:21" customFormat="1">
      <c r="A1400">
        <v>2</v>
      </c>
      <c r="B1400">
        <v>23</v>
      </c>
      <c r="C1400">
        <v>12</v>
      </c>
      <c r="D1400">
        <v>11</v>
      </c>
      <c r="E1400">
        <v>2020</v>
      </c>
      <c r="F1400">
        <v>12101</v>
      </c>
      <c r="G1400" t="str">
        <f>VLOOKUP(F1400,'[1]Sheet 1'!$B$2:$E$347,2,FALSE)</f>
        <v>Magallanes y de la Antártica Chilena</v>
      </c>
      <c r="H1400" t="str">
        <f>VLOOKUP(F1400,'[1]Sheet 1'!$B$2:$E$347,3,FALSE)</f>
        <v>Magallanes</v>
      </c>
      <c r="I1400" t="str">
        <f>VLOOKUP(F1400,'[1]Sheet 1'!$B$2:$E$347,4,FALSE)</f>
        <v>Punta Arenas</v>
      </c>
      <c r="J1400" t="s">
        <v>136</v>
      </c>
      <c r="K1400" s="3" t="s">
        <v>4</v>
      </c>
      <c r="L1400" s="12" t="str">
        <f>VLOOKUP(K1400,[2]Hoja4!$A$2:$C$443,2,FALSE)</f>
        <v>Intentional self-harm by hanging, strangulation and suffocation</v>
      </c>
      <c r="M1400" s="12" t="str">
        <f>VLOOKUP(K1400,[2]Hoja4!$A$2:$C$443,3,FALSE)</f>
        <v>At home</v>
      </c>
      <c r="N1400" s="1">
        <v>6.8</v>
      </c>
      <c r="O1400" s="1">
        <v>16.100000000000001</v>
      </c>
      <c r="P1400" s="1">
        <v>11.4</v>
      </c>
      <c r="Q1400" s="1">
        <v>995.5</v>
      </c>
      <c r="R1400" s="1">
        <v>0</v>
      </c>
      <c r="S1400" s="1">
        <v>59</v>
      </c>
      <c r="T1400" s="5">
        <v>0.1076</v>
      </c>
      <c r="U1400" s="10">
        <v>-1E-3</v>
      </c>
    </row>
    <row r="1401" spans="1:21" customFormat="1">
      <c r="A1401">
        <v>1</v>
      </c>
      <c r="B1401">
        <v>62</v>
      </c>
      <c r="C1401">
        <v>13</v>
      </c>
      <c r="D1401">
        <v>11</v>
      </c>
      <c r="E1401">
        <v>2020</v>
      </c>
      <c r="F1401">
        <v>8109</v>
      </c>
      <c r="G1401" t="str">
        <f>VLOOKUP(F1401,'[1]Sheet 1'!$B$2:$E$347,2,FALSE)</f>
        <v>Biobío</v>
      </c>
      <c r="H1401" t="str">
        <f>VLOOKUP(F1401,'[1]Sheet 1'!$B$2:$E$347,3,FALSE)</f>
        <v>Concepción</v>
      </c>
      <c r="I1401" t="str">
        <f>VLOOKUP(F1401,'[1]Sheet 1'!$B$2:$E$347,4,FALSE)</f>
        <v>Santa Juana</v>
      </c>
      <c r="J1401" t="s">
        <v>136</v>
      </c>
      <c r="K1401" s="3" t="s">
        <v>2</v>
      </c>
      <c r="L1401" s="12" t="str">
        <f>VLOOKUP(K1401,[2]Hoja4!$A$2:$C$443,2,FALSE)</f>
        <v>Intentional self-harm by hanging, strangulation and suffocation</v>
      </c>
      <c r="M1401" s="12" t="str">
        <f>VLOOKUP(K1401,[2]Hoja4!$A$2:$C$443,3,FALSE)</f>
        <v>Street and highway</v>
      </c>
      <c r="N1401" s="1">
        <v>12.9</v>
      </c>
      <c r="O1401" s="1">
        <v>19.3</v>
      </c>
      <c r="P1401" s="1">
        <v>15.3</v>
      </c>
      <c r="Q1401" s="1">
        <v>1018.7</v>
      </c>
      <c r="R1401" s="1">
        <v>0</v>
      </c>
      <c r="S1401" s="1">
        <v>74.8</v>
      </c>
      <c r="T1401" s="5">
        <v>0.1076</v>
      </c>
      <c r="U1401" s="10">
        <v>-1E-3</v>
      </c>
    </row>
    <row r="1402" spans="1:21" customFormat="1">
      <c r="A1402">
        <v>2</v>
      </c>
      <c r="B1402">
        <v>32</v>
      </c>
      <c r="C1402">
        <v>13</v>
      </c>
      <c r="D1402">
        <v>11</v>
      </c>
      <c r="E1402">
        <v>2020</v>
      </c>
      <c r="F1402">
        <v>13110</v>
      </c>
      <c r="G1402" t="str">
        <f>VLOOKUP(F1402,'[1]Sheet 1'!$B$2:$E$347,2,FALSE)</f>
        <v>Metropolitana de Santiago</v>
      </c>
      <c r="H1402" t="str">
        <f>VLOOKUP(F1402,'[1]Sheet 1'!$B$2:$E$347,3,FALSE)</f>
        <v>Santiago</v>
      </c>
      <c r="I1402" t="str">
        <f>VLOOKUP(F1402,'[1]Sheet 1'!$B$2:$E$347,4,FALSE)</f>
        <v>La Florida</v>
      </c>
      <c r="J1402" t="s">
        <v>136</v>
      </c>
      <c r="K1402" s="3" t="s">
        <v>0</v>
      </c>
      <c r="L1402" s="12" t="str">
        <f>VLOOKUP(K1402,[2]Hoja4!$A$2:$C$443,2,FALSE)</f>
        <v>Intentional self-harm by hanging, strangulation and suffocation</v>
      </c>
      <c r="M1402" s="12" t="str">
        <f>VLOOKUP(K1402,[2]Hoja4!$A$2:$C$443,3,FALSE)</f>
        <v>Unspecified place</v>
      </c>
      <c r="N1402" s="1">
        <v>10.9</v>
      </c>
      <c r="O1402" s="1">
        <v>18.7</v>
      </c>
      <c r="P1402" s="1">
        <v>13.6</v>
      </c>
      <c r="Q1402" s="1">
        <v>958.2</v>
      </c>
      <c r="R1402" s="1"/>
      <c r="S1402" s="1">
        <v>80.5</v>
      </c>
      <c r="T1402" s="5">
        <v>0.1076</v>
      </c>
      <c r="U1402" s="10">
        <v>-1E-3</v>
      </c>
    </row>
    <row r="1403" spans="1:21" customFormat="1">
      <c r="A1403">
        <v>2</v>
      </c>
      <c r="B1403">
        <v>55</v>
      </c>
      <c r="C1403">
        <v>15</v>
      </c>
      <c r="D1403">
        <v>11</v>
      </c>
      <c r="E1403">
        <v>2020</v>
      </c>
      <c r="F1403">
        <v>13104</v>
      </c>
      <c r="G1403" t="str">
        <f>VLOOKUP(F1403,'[1]Sheet 1'!$B$2:$E$347,2,FALSE)</f>
        <v>Metropolitana de Santiago</v>
      </c>
      <c r="H1403" t="str">
        <f>VLOOKUP(F1403,'[1]Sheet 1'!$B$2:$E$347,3,FALSE)</f>
        <v>Santiago</v>
      </c>
      <c r="I1403" t="str">
        <f>VLOOKUP(F1403,'[1]Sheet 1'!$B$2:$E$347,4,FALSE)</f>
        <v>Conchalí</v>
      </c>
      <c r="J1403" t="s">
        <v>136</v>
      </c>
      <c r="K1403" s="3" t="s">
        <v>0</v>
      </c>
      <c r="L1403" s="12" t="str">
        <f>VLOOKUP(K1403,[2]Hoja4!$A$2:$C$443,2,FALSE)</f>
        <v>Intentional self-harm by hanging, strangulation and suffocation</v>
      </c>
      <c r="M1403" s="12" t="str">
        <f>VLOOKUP(K1403,[2]Hoja4!$A$2:$C$443,3,FALSE)</f>
        <v>Unspecified place</v>
      </c>
      <c r="N1403" s="1">
        <v>8.1999999999999993</v>
      </c>
      <c r="O1403" s="1">
        <v>26</v>
      </c>
      <c r="P1403" s="1">
        <v>17.2</v>
      </c>
      <c r="Q1403" s="1">
        <v>957.2</v>
      </c>
      <c r="R1403" s="1"/>
      <c r="S1403" s="1">
        <v>44.8</v>
      </c>
      <c r="T1403" s="5">
        <v>0.1076</v>
      </c>
      <c r="U1403" s="10">
        <v>-1E-3</v>
      </c>
    </row>
    <row r="1404" spans="1:21" customFormat="1">
      <c r="A1404">
        <v>2</v>
      </c>
      <c r="B1404">
        <v>52</v>
      </c>
      <c r="C1404">
        <v>15</v>
      </c>
      <c r="D1404">
        <v>11</v>
      </c>
      <c r="E1404">
        <v>2020</v>
      </c>
      <c r="F1404">
        <v>13130</v>
      </c>
      <c r="G1404" t="str">
        <f>VLOOKUP(F1404,'[1]Sheet 1'!$B$2:$E$347,2,FALSE)</f>
        <v>Metropolitana de Santiago</v>
      </c>
      <c r="H1404" t="str">
        <f>VLOOKUP(F1404,'[1]Sheet 1'!$B$2:$E$347,3,FALSE)</f>
        <v>Santiago</v>
      </c>
      <c r="I1404" t="str">
        <f>VLOOKUP(F1404,'[1]Sheet 1'!$B$2:$E$347,4,FALSE)</f>
        <v>San Miguel</v>
      </c>
      <c r="J1404" t="s">
        <v>138</v>
      </c>
      <c r="K1404" s="3" t="s">
        <v>9</v>
      </c>
      <c r="L1404" s="12" t="str">
        <f>VLOOKUP(K1404,[2]Hoja4!$A$2:$C$443,2,FALSE)</f>
        <v>Intentional self-harm by jumping from a high place</v>
      </c>
      <c r="M1404" s="12" t="str">
        <f>VLOOKUP(K1404,[2]Hoja4!$A$2:$C$443,3,FALSE)</f>
        <v>Unspecified place</v>
      </c>
      <c r="N1404" s="1">
        <v>8.1999999999999993</v>
      </c>
      <c r="O1404" s="1">
        <v>26</v>
      </c>
      <c r="P1404" s="1">
        <v>17.2</v>
      </c>
      <c r="Q1404" s="1">
        <v>957.2</v>
      </c>
      <c r="R1404" s="1"/>
      <c r="S1404" s="1">
        <v>44.8</v>
      </c>
      <c r="T1404" s="5">
        <v>0.1076</v>
      </c>
      <c r="U1404" s="10">
        <v>-1E-3</v>
      </c>
    </row>
    <row r="1405" spans="1:21" customFormat="1">
      <c r="A1405">
        <v>2</v>
      </c>
      <c r="B1405">
        <v>49</v>
      </c>
      <c r="C1405">
        <v>15</v>
      </c>
      <c r="D1405">
        <v>11</v>
      </c>
      <c r="E1405">
        <v>2020</v>
      </c>
      <c r="F1405">
        <v>13131</v>
      </c>
      <c r="G1405" t="str">
        <f>VLOOKUP(F1405,'[1]Sheet 1'!$B$2:$E$347,2,FALSE)</f>
        <v>Metropolitana de Santiago</v>
      </c>
      <c r="H1405" t="str">
        <f>VLOOKUP(F1405,'[1]Sheet 1'!$B$2:$E$347,3,FALSE)</f>
        <v>Santiago</v>
      </c>
      <c r="I1405" t="str">
        <f>VLOOKUP(F1405,'[1]Sheet 1'!$B$2:$E$347,4,FALSE)</f>
        <v>San Ramón</v>
      </c>
      <c r="J1405" t="s">
        <v>136</v>
      </c>
      <c r="K1405" s="3" t="s">
        <v>0</v>
      </c>
      <c r="L1405" s="12" t="str">
        <f>VLOOKUP(K1405,[2]Hoja4!$A$2:$C$443,2,FALSE)</f>
        <v>Intentional self-harm by hanging, strangulation and suffocation</v>
      </c>
      <c r="M1405" s="12" t="str">
        <f>VLOOKUP(K1405,[2]Hoja4!$A$2:$C$443,3,FALSE)</f>
        <v>Unspecified place</v>
      </c>
      <c r="N1405" s="1">
        <v>8.1999999999999993</v>
      </c>
      <c r="O1405" s="1">
        <v>26</v>
      </c>
      <c r="P1405" s="1">
        <v>17.2</v>
      </c>
      <c r="Q1405" s="1">
        <v>957.2</v>
      </c>
      <c r="R1405" s="1"/>
      <c r="S1405" s="1">
        <v>44.8</v>
      </c>
      <c r="T1405" s="5">
        <v>0.1076</v>
      </c>
      <c r="U1405" s="10">
        <v>-1E-3</v>
      </c>
    </row>
    <row r="1406" spans="1:21" customFormat="1">
      <c r="A1406">
        <v>1</v>
      </c>
      <c r="B1406">
        <v>43</v>
      </c>
      <c r="C1406">
        <v>15</v>
      </c>
      <c r="D1406">
        <v>11</v>
      </c>
      <c r="E1406">
        <v>2020</v>
      </c>
      <c r="F1406">
        <v>13604</v>
      </c>
      <c r="G1406" t="str">
        <f>VLOOKUP(F1406,'[1]Sheet 1'!$B$2:$E$347,2,FALSE)</f>
        <v>Metropolitana de Santiago</v>
      </c>
      <c r="H1406" t="str">
        <f>VLOOKUP(F1406,'[1]Sheet 1'!$B$2:$E$347,3,FALSE)</f>
        <v>Talagante</v>
      </c>
      <c r="I1406" t="str">
        <f>VLOOKUP(F1406,'[1]Sheet 1'!$B$2:$E$347,4,FALSE)</f>
        <v>Padre Hurtado</v>
      </c>
      <c r="J1406" t="s">
        <v>136</v>
      </c>
      <c r="K1406" s="3" t="s">
        <v>4</v>
      </c>
      <c r="L1406" s="12" t="str">
        <f>VLOOKUP(K1406,[2]Hoja4!$A$2:$C$443,2,FALSE)</f>
        <v>Intentional self-harm by hanging, strangulation and suffocation</v>
      </c>
      <c r="M1406" s="12" t="str">
        <f>VLOOKUP(K1406,[2]Hoja4!$A$2:$C$443,3,FALSE)</f>
        <v>At home</v>
      </c>
      <c r="N1406" s="1">
        <v>8.6999999999999993</v>
      </c>
      <c r="O1406" s="1">
        <v>24.9</v>
      </c>
      <c r="P1406" s="1">
        <v>16.8</v>
      </c>
      <c r="Q1406" s="1">
        <v>1015.7</v>
      </c>
      <c r="R1406" s="1">
        <v>0</v>
      </c>
      <c r="S1406" s="1">
        <v>40.200000000000003</v>
      </c>
      <c r="T1406" s="5">
        <v>0.1076</v>
      </c>
      <c r="U1406" s="10">
        <v>-1E-3</v>
      </c>
    </row>
    <row r="1407" spans="1:21" customFormat="1">
      <c r="A1407">
        <v>1</v>
      </c>
      <c r="B1407">
        <v>25</v>
      </c>
      <c r="C1407">
        <v>15</v>
      </c>
      <c r="D1407">
        <v>11</v>
      </c>
      <c r="E1407">
        <v>2020</v>
      </c>
      <c r="F1407">
        <v>13101</v>
      </c>
      <c r="G1407" t="str">
        <f>VLOOKUP(F1407,'[1]Sheet 1'!$B$2:$E$347,2,FALSE)</f>
        <v>Metropolitana de Santiago</v>
      </c>
      <c r="H1407" t="str">
        <f>VLOOKUP(F1407,'[1]Sheet 1'!$B$2:$E$347,3,FALSE)</f>
        <v>Santiago</v>
      </c>
      <c r="I1407" t="str">
        <f>VLOOKUP(F1407,'[1]Sheet 1'!$B$2:$E$347,4,FALSE)</f>
        <v>Santiago</v>
      </c>
      <c r="J1407" t="s">
        <v>136</v>
      </c>
      <c r="K1407" s="3" t="s">
        <v>0</v>
      </c>
      <c r="L1407" s="12" t="str">
        <f>VLOOKUP(K1407,[2]Hoja4!$A$2:$C$443,2,FALSE)</f>
        <v>Intentional self-harm by hanging, strangulation and suffocation</v>
      </c>
      <c r="M1407" s="12" t="str">
        <f>VLOOKUP(K1407,[2]Hoja4!$A$2:$C$443,3,FALSE)</f>
        <v>Unspecified place</v>
      </c>
      <c r="N1407" s="1">
        <v>8.1999999999999993</v>
      </c>
      <c r="O1407" s="1">
        <v>26</v>
      </c>
      <c r="P1407" s="1">
        <v>17.2</v>
      </c>
      <c r="Q1407" s="1">
        <v>957.2</v>
      </c>
      <c r="R1407" s="1"/>
      <c r="S1407" s="1">
        <v>44.8</v>
      </c>
      <c r="T1407" s="5">
        <v>0.1076</v>
      </c>
      <c r="U1407" s="10">
        <v>-1E-3</v>
      </c>
    </row>
    <row r="1408" spans="1:21" customFormat="1">
      <c r="A1408">
        <v>1</v>
      </c>
      <c r="B1408">
        <v>60</v>
      </c>
      <c r="C1408">
        <v>16</v>
      </c>
      <c r="D1408">
        <v>11</v>
      </c>
      <c r="E1408">
        <v>2020</v>
      </c>
      <c r="F1408">
        <v>10103</v>
      </c>
      <c r="G1408" t="str">
        <f>VLOOKUP(F1408,'[1]Sheet 1'!$B$2:$E$347,2,FALSE)</f>
        <v>Los Lagos</v>
      </c>
      <c r="H1408" t="str">
        <f>VLOOKUP(F1408,'[1]Sheet 1'!$B$2:$E$347,3,FALSE)</f>
        <v>Llanquihue</v>
      </c>
      <c r="I1408" t="str">
        <f>VLOOKUP(F1408,'[1]Sheet 1'!$B$2:$E$347,4,FALSE)</f>
        <v>Cochamó</v>
      </c>
      <c r="J1408" t="s">
        <v>136</v>
      </c>
      <c r="K1408" s="3" t="s">
        <v>0</v>
      </c>
      <c r="L1408" s="12" t="str">
        <f>VLOOKUP(K1408,[2]Hoja4!$A$2:$C$443,2,FALSE)</f>
        <v>Intentional self-harm by hanging, strangulation and suffocation</v>
      </c>
      <c r="M1408" s="12" t="str">
        <f>VLOOKUP(K1408,[2]Hoja4!$A$2:$C$443,3,FALSE)</f>
        <v>Unspecified place</v>
      </c>
      <c r="N1408" s="1">
        <v>6</v>
      </c>
      <c r="O1408" s="1">
        <v>17</v>
      </c>
      <c r="P1408" s="1">
        <v>11.7</v>
      </c>
      <c r="Q1408" s="1">
        <v>1011.9</v>
      </c>
      <c r="R1408" s="1">
        <v>0</v>
      </c>
      <c r="S1408" s="1">
        <v>73.5</v>
      </c>
      <c r="T1408" s="5">
        <v>0.1076</v>
      </c>
      <c r="U1408" s="10">
        <v>-1E-3</v>
      </c>
    </row>
    <row r="1409" spans="1:21" customFormat="1">
      <c r="A1409">
        <v>2</v>
      </c>
      <c r="B1409">
        <v>57</v>
      </c>
      <c r="C1409">
        <v>16</v>
      </c>
      <c r="D1409">
        <v>11</v>
      </c>
      <c r="E1409">
        <v>2020</v>
      </c>
      <c r="F1409">
        <v>10301</v>
      </c>
      <c r="G1409" t="str">
        <f>VLOOKUP(F1409,'[1]Sheet 1'!$B$2:$E$347,2,FALSE)</f>
        <v>Los Lagos</v>
      </c>
      <c r="H1409" t="str">
        <f>VLOOKUP(F1409,'[1]Sheet 1'!$B$2:$E$347,3,FALSE)</f>
        <v>Osorno</v>
      </c>
      <c r="I1409" t="str">
        <f>VLOOKUP(F1409,'[1]Sheet 1'!$B$2:$E$347,4,FALSE)</f>
        <v>Osorno</v>
      </c>
      <c r="J1409" t="s">
        <v>136</v>
      </c>
      <c r="K1409" s="3" t="s">
        <v>4</v>
      </c>
      <c r="L1409" s="12" t="str">
        <f>VLOOKUP(K1409,[2]Hoja4!$A$2:$C$443,2,FALSE)</f>
        <v>Intentional self-harm by hanging, strangulation and suffocation</v>
      </c>
      <c r="M1409" s="12" t="str">
        <f>VLOOKUP(K1409,[2]Hoja4!$A$2:$C$443,3,FALSE)</f>
        <v>At home</v>
      </c>
      <c r="N1409" s="1">
        <v>5.2</v>
      </c>
      <c r="O1409" s="1">
        <v>19.2</v>
      </c>
      <c r="P1409" s="1">
        <v>12.6</v>
      </c>
      <c r="Q1409" s="1">
        <v>1014.8</v>
      </c>
      <c r="R1409" s="1">
        <v>0</v>
      </c>
      <c r="S1409" s="1">
        <v>66.8</v>
      </c>
      <c r="T1409" s="5">
        <v>0.1076</v>
      </c>
      <c r="U1409" s="10">
        <v>-1E-3</v>
      </c>
    </row>
    <row r="1410" spans="1:21" customFormat="1">
      <c r="A1410">
        <v>2</v>
      </c>
      <c r="B1410">
        <v>33</v>
      </c>
      <c r="C1410">
        <v>16</v>
      </c>
      <c r="D1410">
        <v>11</v>
      </c>
      <c r="E1410">
        <v>2020</v>
      </c>
      <c r="F1410">
        <v>5109</v>
      </c>
      <c r="G1410" t="str">
        <f>VLOOKUP(F1410,'[1]Sheet 1'!$B$2:$E$347,2,FALSE)</f>
        <v>Valparaíso</v>
      </c>
      <c r="H1410" t="str">
        <f>VLOOKUP(F1410,'[1]Sheet 1'!$B$2:$E$347,3,FALSE)</f>
        <v>Valparaíso</v>
      </c>
      <c r="I1410" t="str">
        <f>VLOOKUP(F1410,'[1]Sheet 1'!$B$2:$E$347,4,FALSE)</f>
        <v>Viña del Mar</v>
      </c>
      <c r="J1410" t="s">
        <v>136</v>
      </c>
      <c r="K1410" s="3" t="s">
        <v>0</v>
      </c>
      <c r="L1410" s="12" t="str">
        <f>VLOOKUP(K1410,[2]Hoja4!$A$2:$C$443,2,FALSE)</f>
        <v>Intentional self-harm by hanging, strangulation and suffocation</v>
      </c>
      <c r="M1410" s="12" t="str">
        <f>VLOOKUP(K1410,[2]Hoja4!$A$2:$C$443,3,FALSE)</f>
        <v>Unspecified place</v>
      </c>
      <c r="N1410" s="1">
        <v>7.2</v>
      </c>
      <c r="O1410" s="1">
        <v>16</v>
      </c>
      <c r="P1410" s="1">
        <v>11.2</v>
      </c>
      <c r="Q1410" s="1">
        <v>978.6</v>
      </c>
      <c r="R1410" s="1">
        <v>0</v>
      </c>
      <c r="S1410" s="1">
        <v>90.2</v>
      </c>
      <c r="T1410" s="5">
        <v>0.1076</v>
      </c>
      <c r="U1410" s="10">
        <v>-1E-3</v>
      </c>
    </row>
    <row r="1411" spans="1:21" customFormat="1">
      <c r="A1411">
        <v>1</v>
      </c>
      <c r="B1411">
        <v>13</v>
      </c>
      <c r="C1411">
        <v>16</v>
      </c>
      <c r="D1411">
        <v>11</v>
      </c>
      <c r="E1411">
        <v>2020</v>
      </c>
      <c r="F1411">
        <v>6301</v>
      </c>
      <c r="G1411" t="str">
        <f>VLOOKUP(F1411,'[1]Sheet 1'!$B$2:$E$347,2,FALSE)</f>
        <v>Libertador General Bernardo O'Higgins</v>
      </c>
      <c r="H1411" t="str">
        <f>VLOOKUP(F1411,'[1]Sheet 1'!$B$2:$E$347,3,FALSE)</f>
        <v>Colchagua</v>
      </c>
      <c r="I1411" t="str">
        <f>VLOOKUP(F1411,'[1]Sheet 1'!$B$2:$E$347,4,FALSE)</f>
        <v>San Fernando</v>
      </c>
      <c r="J1411" t="s">
        <v>136</v>
      </c>
      <c r="K1411" s="3" t="s">
        <v>0</v>
      </c>
      <c r="L1411" s="12" t="str">
        <f>VLOOKUP(K1411,[2]Hoja4!$A$2:$C$443,2,FALSE)</f>
        <v>Intentional self-harm by hanging, strangulation and suffocation</v>
      </c>
      <c r="M1411" s="12" t="str">
        <f>VLOOKUP(K1411,[2]Hoja4!$A$2:$C$443,3,FALSE)</f>
        <v>Unspecified place</v>
      </c>
      <c r="N1411" s="1">
        <v>6.7</v>
      </c>
      <c r="O1411" s="1">
        <v>26.8</v>
      </c>
      <c r="P1411" s="1">
        <v>17.2</v>
      </c>
      <c r="Q1411" s="1">
        <v>980.4</v>
      </c>
      <c r="R1411" s="1">
        <v>0</v>
      </c>
      <c r="S1411" s="1">
        <v>62.2</v>
      </c>
      <c r="T1411" s="5">
        <v>0.1076</v>
      </c>
      <c r="U1411" s="10">
        <v>-1E-3</v>
      </c>
    </row>
    <row r="1412" spans="1:21" customFormat="1">
      <c r="A1412">
        <v>1</v>
      </c>
      <c r="B1412">
        <v>19</v>
      </c>
      <c r="C1412">
        <v>16</v>
      </c>
      <c r="D1412">
        <v>11</v>
      </c>
      <c r="E1412">
        <v>2020</v>
      </c>
      <c r="F1412">
        <v>5705</v>
      </c>
      <c r="G1412" t="str">
        <f>VLOOKUP(F1412,'[1]Sheet 1'!$B$2:$E$347,2,FALSE)</f>
        <v>Valparaíso</v>
      </c>
      <c r="H1412" t="str">
        <f>VLOOKUP(F1412,'[1]Sheet 1'!$B$2:$E$347,3,FALSE)</f>
        <v>San Felipe de Aconcagua</v>
      </c>
      <c r="I1412" t="str">
        <f>VLOOKUP(F1412,'[1]Sheet 1'!$B$2:$E$347,4,FALSE)</f>
        <v>Putaendo</v>
      </c>
      <c r="J1412" t="s">
        <v>136</v>
      </c>
      <c r="K1412" s="3" t="s">
        <v>0</v>
      </c>
      <c r="L1412" s="12" t="str">
        <f>VLOOKUP(K1412,[2]Hoja4!$A$2:$C$443,2,FALSE)</f>
        <v>Intentional self-harm by hanging, strangulation and suffocation</v>
      </c>
      <c r="M1412" s="12" t="str">
        <f>VLOOKUP(K1412,[2]Hoja4!$A$2:$C$443,3,FALSE)</f>
        <v>Unspecified place</v>
      </c>
      <c r="N1412" s="1">
        <v>6.5</v>
      </c>
      <c r="O1412" s="1">
        <v>28.3</v>
      </c>
      <c r="P1412" s="1">
        <v>17.399999999999999</v>
      </c>
      <c r="Q1412" s="1">
        <v>938.7</v>
      </c>
      <c r="R1412" s="1">
        <v>0</v>
      </c>
      <c r="S1412" s="1">
        <v>52.1</v>
      </c>
      <c r="T1412" s="5">
        <v>0.1076</v>
      </c>
      <c r="U1412" s="10">
        <v>-1E-3</v>
      </c>
    </row>
    <row r="1413" spans="1:21" customFormat="1">
      <c r="A1413">
        <v>2</v>
      </c>
      <c r="B1413">
        <v>24</v>
      </c>
      <c r="C1413">
        <v>16</v>
      </c>
      <c r="D1413">
        <v>11</v>
      </c>
      <c r="E1413">
        <v>2020</v>
      </c>
      <c r="F1413">
        <v>13107</v>
      </c>
      <c r="G1413" t="str">
        <f>VLOOKUP(F1413,'[1]Sheet 1'!$B$2:$E$347,2,FALSE)</f>
        <v>Metropolitana de Santiago</v>
      </c>
      <c r="H1413" t="str">
        <f>VLOOKUP(F1413,'[1]Sheet 1'!$B$2:$E$347,3,FALSE)</f>
        <v>Santiago</v>
      </c>
      <c r="I1413" t="str">
        <f>VLOOKUP(F1413,'[1]Sheet 1'!$B$2:$E$347,4,FALSE)</f>
        <v>Huechuraba</v>
      </c>
      <c r="J1413" t="s">
        <v>136</v>
      </c>
      <c r="K1413" s="3" t="s">
        <v>0</v>
      </c>
      <c r="L1413" s="12" t="str">
        <f>VLOOKUP(K1413,[2]Hoja4!$A$2:$C$443,2,FALSE)</f>
        <v>Intentional self-harm by hanging, strangulation and suffocation</v>
      </c>
      <c r="M1413" s="12" t="str">
        <f>VLOOKUP(K1413,[2]Hoja4!$A$2:$C$443,3,FALSE)</f>
        <v>Unspecified place</v>
      </c>
      <c r="N1413" s="1">
        <v>6.6</v>
      </c>
      <c r="O1413" s="1">
        <v>27.2</v>
      </c>
      <c r="P1413" s="1">
        <v>16.8</v>
      </c>
      <c r="Q1413" s="1">
        <v>955.8</v>
      </c>
      <c r="R1413" s="1"/>
      <c r="S1413" s="1">
        <v>48</v>
      </c>
      <c r="T1413" s="5">
        <v>0.1076</v>
      </c>
      <c r="U1413" s="10">
        <v>-1E-3</v>
      </c>
    </row>
    <row r="1414" spans="1:21" customFormat="1">
      <c r="A1414">
        <v>1</v>
      </c>
      <c r="B1414">
        <v>48</v>
      </c>
      <c r="C1414">
        <v>17</v>
      </c>
      <c r="D1414">
        <v>11</v>
      </c>
      <c r="E1414">
        <v>2020</v>
      </c>
      <c r="F1414">
        <v>5504</v>
      </c>
      <c r="G1414" t="str">
        <f>VLOOKUP(F1414,'[1]Sheet 1'!$B$2:$E$347,2,FALSE)</f>
        <v>Valparaíso</v>
      </c>
      <c r="H1414" t="str">
        <f>VLOOKUP(F1414,'[1]Sheet 1'!$B$2:$E$347,3,FALSE)</f>
        <v>Quillota</v>
      </c>
      <c r="I1414" t="str">
        <f>VLOOKUP(F1414,'[1]Sheet 1'!$B$2:$E$347,4,FALSE)</f>
        <v>La Cruz</v>
      </c>
      <c r="J1414" t="s">
        <v>136</v>
      </c>
      <c r="K1414" s="3" t="s">
        <v>17</v>
      </c>
      <c r="L1414" s="12" t="str">
        <f>VLOOKUP(K1414,[2]Hoja4!$A$2:$C$443,2,FALSE)</f>
        <v>Intentional self-harm by hanging, strangulation and suffocation</v>
      </c>
      <c r="M1414" s="12" t="str">
        <f>VLOOKUP(K1414,[2]Hoja4!$A$2:$C$443,3,FALSE)</f>
        <v>Industrial and construction area</v>
      </c>
      <c r="N1414" s="1" t="s">
        <v>101</v>
      </c>
      <c r="O1414" s="1">
        <v>16.399999999999999</v>
      </c>
      <c r="P1414" s="1">
        <v>13.2</v>
      </c>
      <c r="Q1414" s="1">
        <v>1000.3</v>
      </c>
      <c r="R1414" s="1">
        <v>0</v>
      </c>
      <c r="S1414" s="1">
        <v>78.2</v>
      </c>
      <c r="T1414" s="5">
        <v>0.1076</v>
      </c>
      <c r="U1414" s="10">
        <v>-1E-3</v>
      </c>
    </row>
    <row r="1415" spans="1:21" customFormat="1">
      <c r="A1415">
        <v>1</v>
      </c>
      <c r="B1415">
        <v>34</v>
      </c>
      <c r="C1415">
        <v>17</v>
      </c>
      <c r="D1415">
        <v>11</v>
      </c>
      <c r="E1415">
        <v>2020</v>
      </c>
      <c r="F1415">
        <v>5501</v>
      </c>
      <c r="G1415" t="str">
        <f>VLOOKUP(F1415,'[1]Sheet 1'!$B$2:$E$347,2,FALSE)</f>
        <v>Valparaíso</v>
      </c>
      <c r="H1415" t="str">
        <f>VLOOKUP(F1415,'[1]Sheet 1'!$B$2:$E$347,3,FALSE)</f>
        <v>Quillota</v>
      </c>
      <c r="I1415" t="str">
        <f>VLOOKUP(F1415,'[1]Sheet 1'!$B$2:$E$347,4,FALSE)</f>
        <v>Quillota</v>
      </c>
      <c r="J1415" t="s">
        <v>136</v>
      </c>
      <c r="K1415" s="3" t="s">
        <v>0</v>
      </c>
      <c r="L1415" s="12" t="str">
        <f>VLOOKUP(K1415,[2]Hoja4!$A$2:$C$443,2,FALSE)</f>
        <v>Intentional self-harm by hanging, strangulation and suffocation</v>
      </c>
      <c r="M1415" s="12" t="str">
        <f>VLOOKUP(K1415,[2]Hoja4!$A$2:$C$443,3,FALSE)</f>
        <v>Unspecified place</v>
      </c>
      <c r="N1415" s="1" t="s">
        <v>101</v>
      </c>
      <c r="O1415" s="1">
        <v>16.399999999999999</v>
      </c>
      <c r="P1415" s="1">
        <v>13.2</v>
      </c>
      <c r="Q1415" s="1">
        <v>1000.3</v>
      </c>
      <c r="R1415" s="1">
        <v>0</v>
      </c>
      <c r="S1415" s="1">
        <v>78.2</v>
      </c>
      <c r="T1415" s="5">
        <v>0.1076</v>
      </c>
      <c r="U1415" s="10">
        <v>-1E-3</v>
      </c>
    </row>
    <row r="1416" spans="1:21" customFormat="1">
      <c r="A1416">
        <v>2</v>
      </c>
      <c r="B1416">
        <v>26</v>
      </c>
      <c r="C1416">
        <v>17</v>
      </c>
      <c r="D1416">
        <v>11</v>
      </c>
      <c r="E1416">
        <v>2020</v>
      </c>
      <c r="F1416">
        <v>13602</v>
      </c>
      <c r="G1416" t="str">
        <f>VLOOKUP(F1416,'[1]Sheet 1'!$B$2:$E$347,2,FALSE)</f>
        <v>Metropolitana de Santiago</v>
      </c>
      <c r="H1416" t="str">
        <f>VLOOKUP(F1416,'[1]Sheet 1'!$B$2:$E$347,3,FALSE)</f>
        <v>Talagante</v>
      </c>
      <c r="I1416" t="str">
        <f>VLOOKUP(F1416,'[1]Sheet 1'!$B$2:$E$347,4,FALSE)</f>
        <v>El Monte</v>
      </c>
      <c r="J1416" t="s">
        <v>136</v>
      </c>
      <c r="K1416" s="3" t="s">
        <v>0</v>
      </c>
      <c r="L1416" s="12" t="str">
        <f>VLOOKUP(K1416,[2]Hoja4!$A$2:$C$443,2,FALSE)</f>
        <v>Intentional self-harm by hanging, strangulation and suffocation</v>
      </c>
      <c r="M1416" s="12" t="str">
        <f>VLOOKUP(K1416,[2]Hoja4!$A$2:$C$443,3,FALSE)</f>
        <v>Unspecified place</v>
      </c>
      <c r="N1416" s="1">
        <v>10</v>
      </c>
      <c r="O1416" s="1">
        <v>18.600000000000001</v>
      </c>
      <c r="P1416" s="1">
        <v>13.3</v>
      </c>
      <c r="Q1416" s="1">
        <v>1017.8</v>
      </c>
      <c r="R1416" s="1">
        <v>0</v>
      </c>
      <c r="S1416" s="1">
        <v>56</v>
      </c>
      <c r="T1416" s="5">
        <v>0.1076</v>
      </c>
      <c r="U1416" s="10">
        <v>-1E-3</v>
      </c>
    </row>
    <row r="1417" spans="1:21" customFormat="1">
      <c r="A1417">
        <v>2</v>
      </c>
      <c r="B1417">
        <v>30</v>
      </c>
      <c r="C1417">
        <v>18</v>
      </c>
      <c r="D1417">
        <v>11</v>
      </c>
      <c r="E1417">
        <v>2020</v>
      </c>
      <c r="F1417">
        <v>13201</v>
      </c>
      <c r="G1417" t="str">
        <f>VLOOKUP(F1417,'[1]Sheet 1'!$B$2:$E$347,2,FALSE)</f>
        <v>Metropolitana de Santiago</v>
      </c>
      <c r="H1417" t="str">
        <f>VLOOKUP(F1417,'[1]Sheet 1'!$B$2:$E$347,3,FALSE)</f>
        <v>Cordillera</v>
      </c>
      <c r="I1417" t="str">
        <f>VLOOKUP(F1417,'[1]Sheet 1'!$B$2:$E$347,4,FALSE)</f>
        <v>Puente Alto</v>
      </c>
      <c r="J1417" t="s">
        <v>136</v>
      </c>
      <c r="K1417" s="3" t="s">
        <v>0</v>
      </c>
      <c r="L1417" s="12" t="str">
        <f>VLOOKUP(K1417,[2]Hoja4!$A$2:$C$443,2,FALSE)</f>
        <v>Intentional self-harm by hanging, strangulation and suffocation</v>
      </c>
      <c r="M1417" s="12" t="str">
        <f>VLOOKUP(K1417,[2]Hoja4!$A$2:$C$443,3,FALSE)</f>
        <v>Unspecified place</v>
      </c>
      <c r="N1417" s="1">
        <v>4.7</v>
      </c>
      <c r="O1417" s="1">
        <v>27.7</v>
      </c>
      <c r="P1417" s="1">
        <v>15.8</v>
      </c>
      <c r="Q1417" s="1">
        <v>939.1</v>
      </c>
      <c r="R1417" s="1">
        <v>0</v>
      </c>
      <c r="S1417" s="1">
        <v>64.3</v>
      </c>
      <c r="T1417" s="5">
        <v>0.1076</v>
      </c>
      <c r="U1417" s="10">
        <v>-1E-3</v>
      </c>
    </row>
    <row r="1418" spans="1:21" customFormat="1">
      <c r="A1418">
        <v>1</v>
      </c>
      <c r="B1418">
        <v>76</v>
      </c>
      <c r="C1418">
        <v>19</v>
      </c>
      <c r="D1418">
        <v>11</v>
      </c>
      <c r="E1418">
        <v>2020</v>
      </c>
      <c r="F1418">
        <v>12401</v>
      </c>
      <c r="G1418" t="str">
        <f>VLOOKUP(F1418,'[1]Sheet 1'!$B$2:$E$347,2,FALSE)</f>
        <v>Magallanes y de la Antártica Chilena</v>
      </c>
      <c r="H1418" t="str">
        <f>VLOOKUP(F1418,'[1]Sheet 1'!$B$2:$E$347,3,FALSE)</f>
        <v>Última Esperanza</v>
      </c>
      <c r="I1418" t="str">
        <f>VLOOKUP(F1418,'[1]Sheet 1'!$B$2:$E$347,4,FALSE)</f>
        <v>Natales</v>
      </c>
      <c r="J1418" t="s">
        <v>136</v>
      </c>
      <c r="K1418" s="3" t="s">
        <v>4</v>
      </c>
      <c r="L1418" s="12" t="str">
        <f>VLOOKUP(K1418,[2]Hoja4!$A$2:$C$443,2,FALSE)</f>
        <v>Intentional self-harm by hanging, strangulation and suffocation</v>
      </c>
      <c r="M1418" s="12" t="str">
        <f>VLOOKUP(K1418,[2]Hoja4!$A$2:$C$443,3,FALSE)</f>
        <v>At home</v>
      </c>
      <c r="N1418" s="1">
        <v>12.8</v>
      </c>
      <c r="O1418" s="1">
        <v>20.399999999999999</v>
      </c>
      <c r="P1418" s="1">
        <v>16.600000000000001</v>
      </c>
      <c r="Q1418" s="1">
        <v>997.3</v>
      </c>
      <c r="R1418" s="1">
        <v>0</v>
      </c>
      <c r="S1418" s="1">
        <v>54.2</v>
      </c>
      <c r="T1418" s="5">
        <v>0.1076</v>
      </c>
      <c r="U1418" s="10">
        <v>-1E-3</v>
      </c>
    </row>
    <row r="1419" spans="1:21" customFormat="1">
      <c r="A1419">
        <v>2</v>
      </c>
      <c r="B1419">
        <v>55</v>
      </c>
      <c r="C1419">
        <v>20</v>
      </c>
      <c r="D1419">
        <v>11</v>
      </c>
      <c r="E1419">
        <v>2020</v>
      </c>
      <c r="F1419">
        <v>13201</v>
      </c>
      <c r="G1419" t="str">
        <f>VLOOKUP(F1419,'[1]Sheet 1'!$B$2:$E$347,2,FALSE)</f>
        <v>Metropolitana de Santiago</v>
      </c>
      <c r="H1419" t="str">
        <f>VLOOKUP(F1419,'[1]Sheet 1'!$B$2:$E$347,3,FALSE)</f>
        <v>Cordillera</v>
      </c>
      <c r="I1419" t="str">
        <f>VLOOKUP(F1419,'[1]Sheet 1'!$B$2:$E$347,4,FALSE)</f>
        <v>Puente Alto</v>
      </c>
      <c r="J1419" t="s">
        <v>136</v>
      </c>
      <c r="K1419" s="3" t="s">
        <v>0</v>
      </c>
      <c r="L1419" s="12" t="str">
        <f>VLOOKUP(K1419,[2]Hoja4!$A$2:$C$443,2,FALSE)</f>
        <v>Intentional self-harm by hanging, strangulation and suffocation</v>
      </c>
      <c r="M1419" s="12" t="str">
        <f>VLOOKUP(K1419,[2]Hoja4!$A$2:$C$443,3,FALSE)</f>
        <v>Unspecified place</v>
      </c>
      <c r="N1419" s="1">
        <v>9.1999999999999993</v>
      </c>
      <c r="O1419" s="1">
        <v>21.8</v>
      </c>
      <c r="P1419" s="1">
        <v>13.3</v>
      </c>
      <c r="Q1419" s="1">
        <v>942.4</v>
      </c>
      <c r="R1419" s="1">
        <v>0</v>
      </c>
      <c r="S1419" s="1">
        <v>79.599999999999994</v>
      </c>
      <c r="T1419" s="5">
        <v>0.1076</v>
      </c>
      <c r="U1419" s="10">
        <v>-1E-3</v>
      </c>
    </row>
    <row r="1420" spans="1:21" customFormat="1">
      <c r="A1420">
        <v>1</v>
      </c>
      <c r="B1420">
        <v>51</v>
      </c>
      <c r="C1420">
        <v>20</v>
      </c>
      <c r="D1420">
        <v>11</v>
      </c>
      <c r="E1420">
        <v>2020</v>
      </c>
      <c r="F1420">
        <v>10305</v>
      </c>
      <c r="G1420" t="str">
        <f>VLOOKUP(F1420,'[1]Sheet 1'!$B$2:$E$347,2,FALSE)</f>
        <v>Los Lagos</v>
      </c>
      <c r="H1420" t="str">
        <f>VLOOKUP(F1420,'[1]Sheet 1'!$B$2:$E$347,3,FALSE)</f>
        <v>Osorno</v>
      </c>
      <c r="I1420" t="str">
        <f>VLOOKUP(F1420,'[1]Sheet 1'!$B$2:$E$347,4,FALSE)</f>
        <v>Río Negro</v>
      </c>
      <c r="J1420" t="s">
        <v>142</v>
      </c>
      <c r="K1420" s="3" t="s">
        <v>8</v>
      </c>
      <c r="L1420" s="12" t="str">
        <f>VLOOKUP(K1420,[2]Hoja4!$A$2:$C$443,2,FALSE)</f>
        <v>Intentional self-harm by jumping from a high place</v>
      </c>
      <c r="M1420" s="12" t="str">
        <f>VLOOKUP(K1420,[2]Hoja4!$A$2:$C$443,3,FALSE)</f>
        <v>At home</v>
      </c>
      <c r="N1420" s="1">
        <v>11.5</v>
      </c>
      <c r="O1420" s="1">
        <v>18.399999999999999</v>
      </c>
      <c r="P1420" s="1">
        <v>14.2</v>
      </c>
      <c r="Q1420" s="1">
        <v>1011</v>
      </c>
      <c r="R1420" s="1">
        <v>0</v>
      </c>
      <c r="S1420" s="1">
        <v>75.8</v>
      </c>
      <c r="T1420" s="5">
        <v>0.1076</v>
      </c>
      <c r="U1420" s="10">
        <v>-1E-3</v>
      </c>
    </row>
    <row r="1421" spans="1:21" customFormat="1">
      <c r="A1421">
        <v>1</v>
      </c>
      <c r="B1421">
        <v>50</v>
      </c>
      <c r="C1421">
        <v>20</v>
      </c>
      <c r="D1421">
        <v>11</v>
      </c>
      <c r="E1421">
        <v>2020</v>
      </c>
      <c r="F1421">
        <v>2201</v>
      </c>
      <c r="G1421" t="str">
        <f>VLOOKUP(F1421,'[1]Sheet 1'!$B$2:$E$347,2,FALSE)</f>
        <v>Antofagasta</v>
      </c>
      <c r="H1421" t="str">
        <f>VLOOKUP(F1421,'[1]Sheet 1'!$B$2:$E$347,3,FALSE)</f>
        <v>El Loa</v>
      </c>
      <c r="I1421" t="str">
        <f>VLOOKUP(F1421,'[1]Sheet 1'!$B$2:$E$347,4,FALSE)</f>
        <v>Calama</v>
      </c>
      <c r="J1421" t="s">
        <v>136</v>
      </c>
      <c r="K1421" s="3" t="s">
        <v>4</v>
      </c>
      <c r="L1421" s="12" t="str">
        <f>VLOOKUP(K1421,[2]Hoja4!$A$2:$C$443,2,FALSE)</f>
        <v>Intentional self-harm by hanging, strangulation and suffocation</v>
      </c>
      <c r="M1421" s="12" t="str">
        <f>VLOOKUP(K1421,[2]Hoja4!$A$2:$C$443,3,FALSE)</f>
        <v>At home</v>
      </c>
      <c r="N1421" s="1">
        <v>-1.2</v>
      </c>
      <c r="O1421" s="1">
        <v>22.8</v>
      </c>
      <c r="P1421" s="1">
        <v>12.6</v>
      </c>
      <c r="Q1421" s="1">
        <v>773.9</v>
      </c>
      <c r="R1421" s="1">
        <v>0</v>
      </c>
      <c r="S1421" s="1">
        <v>8.5</v>
      </c>
      <c r="T1421" s="5">
        <v>0.1076</v>
      </c>
      <c r="U1421" s="10">
        <v>-1E-3</v>
      </c>
    </row>
    <row r="1422" spans="1:21" customFormat="1">
      <c r="A1422">
        <v>1</v>
      </c>
      <c r="B1422">
        <v>24</v>
      </c>
      <c r="C1422">
        <v>20</v>
      </c>
      <c r="D1422">
        <v>11</v>
      </c>
      <c r="E1422">
        <v>2020</v>
      </c>
      <c r="F1422">
        <v>6108</v>
      </c>
      <c r="G1422" t="str">
        <f>VLOOKUP(F1422,'[1]Sheet 1'!$B$2:$E$347,2,FALSE)</f>
        <v>Libertador General Bernardo O'Higgins</v>
      </c>
      <c r="H1422" t="str">
        <f>VLOOKUP(F1422,'[1]Sheet 1'!$B$2:$E$347,3,FALSE)</f>
        <v>Cachapoal</v>
      </c>
      <c r="I1422" t="str">
        <f>VLOOKUP(F1422,'[1]Sheet 1'!$B$2:$E$347,4,FALSE)</f>
        <v>Machalí</v>
      </c>
      <c r="J1422" t="s">
        <v>136</v>
      </c>
      <c r="K1422" s="3" t="s">
        <v>0</v>
      </c>
      <c r="L1422" s="12" t="str">
        <f>VLOOKUP(K1422,[2]Hoja4!$A$2:$C$443,2,FALSE)</f>
        <v>Intentional self-harm by hanging, strangulation and suffocation</v>
      </c>
      <c r="M1422" s="12" t="str">
        <f>VLOOKUP(K1422,[2]Hoja4!$A$2:$C$443,3,FALSE)</f>
        <v>Unspecified place</v>
      </c>
      <c r="N1422" s="1">
        <v>9.6</v>
      </c>
      <c r="O1422" s="1">
        <v>20.6</v>
      </c>
      <c r="P1422" s="1">
        <v>13.5</v>
      </c>
      <c r="Q1422" s="1">
        <v>962.6</v>
      </c>
      <c r="R1422" s="1">
        <v>0</v>
      </c>
      <c r="S1422" s="1">
        <v>81.5</v>
      </c>
      <c r="T1422" s="5">
        <v>0.1076</v>
      </c>
      <c r="U1422" s="10">
        <v>-1E-3</v>
      </c>
    </row>
    <row r="1423" spans="1:21" customFormat="1">
      <c r="A1423">
        <v>1</v>
      </c>
      <c r="B1423">
        <v>75</v>
      </c>
      <c r="C1423">
        <v>21</v>
      </c>
      <c r="D1423">
        <v>11</v>
      </c>
      <c r="E1423">
        <v>2020</v>
      </c>
      <c r="F1423">
        <v>13402</v>
      </c>
      <c r="G1423" t="str">
        <f>VLOOKUP(F1423,'[1]Sheet 1'!$B$2:$E$347,2,FALSE)</f>
        <v>Metropolitana de Santiago</v>
      </c>
      <c r="H1423" t="str">
        <f>VLOOKUP(F1423,'[1]Sheet 1'!$B$2:$E$347,3,FALSE)</f>
        <v>Maipo</v>
      </c>
      <c r="I1423" t="str">
        <f>VLOOKUP(F1423,'[1]Sheet 1'!$B$2:$E$347,4,FALSE)</f>
        <v>Buin</v>
      </c>
      <c r="J1423" t="s">
        <v>136</v>
      </c>
      <c r="K1423" s="3" t="s">
        <v>0</v>
      </c>
      <c r="L1423" s="12" t="str">
        <f>VLOOKUP(K1423,[2]Hoja4!$A$2:$C$443,2,FALSE)</f>
        <v>Intentional self-harm by hanging, strangulation and suffocation</v>
      </c>
      <c r="M1423" s="12" t="str">
        <f>VLOOKUP(K1423,[2]Hoja4!$A$2:$C$443,3,FALSE)</f>
        <v>Unspecified place</v>
      </c>
      <c r="N1423" s="1">
        <v>4.4000000000000004</v>
      </c>
      <c r="O1423" s="1">
        <v>28.6</v>
      </c>
      <c r="P1423" s="1">
        <v>15.8</v>
      </c>
      <c r="Q1423" s="1">
        <v>966.4</v>
      </c>
      <c r="R1423" s="1">
        <v>0</v>
      </c>
      <c r="S1423" s="1">
        <v>54.5</v>
      </c>
      <c r="T1423" s="5">
        <v>0.1076</v>
      </c>
      <c r="U1423" s="10">
        <v>-1E-3</v>
      </c>
    </row>
    <row r="1424" spans="1:21" customFormat="1">
      <c r="A1424">
        <v>1</v>
      </c>
      <c r="B1424">
        <v>78</v>
      </c>
      <c r="C1424">
        <v>22</v>
      </c>
      <c r="D1424">
        <v>11</v>
      </c>
      <c r="E1424">
        <v>2020</v>
      </c>
      <c r="F1424">
        <v>4301</v>
      </c>
      <c r="G1424" t="str">
        <f>VLOOKUP(F1424,'[1]Sheet 1'!$B$2:$E$347,2,FALSE)</f>
        <v>Coquimbo</v>
      </c>
      <c r="H1424" t="str">
        <f>VLOOKUP(F1424,'[1]Sheet 1'!$B$2:$E$347,3,FALSE)</f>
        <v>Limarí</v>
      </c>
      <c r="I1424" t="str">
        <f>VLOOKUP(F1424,'[1]Sheet 1'!$B$2:$E$347,4,FALSE)</f>
        <v>Ovalle</v>
      </c>
      <c r="J1424" t="s">
        <v>136</v>
      </c>
      <c r="K1424" s="3" t="s">
        <v>2</v>
      </c>
      <c r="L1424" s="12" t="str">
        <f>VLOOKUP(K1424,[2]Hoja4!$A$2:$C$443,2,FALSE)</f>
        <v>Intentional self-harm by hanging, strangulation and suffocation</v>
      </c>
      <c r="M1424" s="12" t="str">
        <f>VLOOKUP(K1424,[2]Hoja4!$A$2:$C$443,3,FALSE)</f>
        <v>Street and highway</v>
      </c>
      <c r="N1424" s="1"/>
      <c r="O1424" s="1"/>
      <c r="P1424" s="1"/>
      <c r="Q1424" s="1"/>
      <c r="R1424" s="1"/>
      <c r="S1424" s="1"/>
      <c r="T1424" s="5">
        <v>0.1076</v>
      </c>
      <c r="U1424" s="10">
        <v>-1E-3</v>
      </c>
    </row>
    <row r="1425" spans="1:21" customFormat="1">
      <c r="A1425">
        <v>1</v>
      </c>
      <c r="B1425">
        <v>82</v>
      </c>
      <c r="C1425">
        <v>22</v>
      </c>
      <c r="D1425">
        <v>11</v>
      </c>
      <c r="E1425">
        <v>2020</v>
      </c>
      <c r="F1425">
        <v>9109</v>
      </c>
      <c r="G1425" t="str">
        <f>VLOOKUP(F1425,'[1]Sheet 1'!$B$2:$E$347,2,FALSE)</f>
        <v>La Araucanía</v>
      </c>
      <c r="H1425" t="str">
        <f>VLOOKUP(F1425,'[1]Sheet 1'!$B$2:$E$347,3,FALSE)</f>
        <v>Cautín</v>
      </c>
      <c r="I1425" t="str">
        <f>VLOOKUP(F1425,'[1]Sheet 1'!$B$2:$E$347,4,FALSE)</f>
        <v>Loncoche</v>
      </c>
      <c r="J1425" t="s">
        <v>136</v>
      </c>
      <c r="K1425" s="3" t="s">
        <v>4</v>
      </c>
      <c r="L1425" s="12" t="str">
        <f>VLOOKUP(K1425,[2]Hoja4!$A$2:$C$443,2,FALSE)</f>
        <v>Intentional self-harm by hanging, strangulation and suffocation</v>
      </c>
      <c r="M1425" s="12" t="str">
        <f>VLOOKUP(K1425,[2]Hoja4!$A$2:$C$443,3,FALSE)</f>
        <v>At home</v>
      </c>
      <c r="N1425" s="1">
        <v>6.4</v>
      </c>
      <c r="O1425" s="1">
        <v>20.5</v>
      </c>
      <c r="P1425" s="1">
        <v>12.8</v>
      </c>
      <c r="Q1425" s="1">
        <v>1004</v>
      </c>
      <c r="R1425" s="1">
        <v>0</v>
      </c>
      <c r="S1425" s="1">
        <v>81</v>
      </c>
      <c r="T1425" s="5">
        <v>0.1076</v>
      </c>
      <c r="U1425" s="10">
        <v>-1E-3</v>
      </c>
    </row>
    <row r="1426" spans="1:21" customFormat="1">
      <c r="A1426">
        <v>1</v>
      </c>
      <c r="B1426">
        <v>61</v>
      </c>
      <c r="C1426">
        <v>22</v>
      </c>
      <c r="D1426">
        <v>11</v>
      </c>
      <c r="E1426">
        <v>2020</v>
      </c>
      <c r="F1426">
        <v>4301</v>
      </c>
      <c r="G1426" t="str">
        <f>VLOOKUP(F1426,'[1]Sheet 1'!$B$2:$E$347,2,FALSE)</f>
        <v>Coquimbo</v>
      </c>
      <c r="H1426" t="str">
        <f>VLOOKUP(F1426,'[1]Sheet 1'!$B$2:$E$347,3,FALSE)</f>
        <v>Limarí</v>
      </c>
      <c r="I1426" t="str">
        <f>VLOOKUP(F1426,'[1]Sheet 1'!$B$2:$E$347,4,FALSE)</f>
        <v>Ovalle</v>
      </c>
      <c r="J1426" t="s">
        <v>136</v>
      </c>
      <c r="K1426" s="3" t="s">
        <v>2</v>
      </c>
      <c r="L1426" s="12" t="str">
        <f>VLOOKUP(K1426,[2]Hoja4!$A$2:$C$443,2,FALSE)</f>
        <v>Intentional self-harm by hanging, strangulation and suffocation</v>
      </c>
      <c r="M1426" s="12" t="str">
        <f>VLOOKUP(K1426,[2]Hoja4!$A$2:$C$443,3,FALSE)</f>
        <v>Street and highway</v>
      </c>
      <c r="N1426" s="1"/>
      <c r="O1426" s="1"/>
      <c r="P1426" s="1"/>
      <c r="Q1426" s="1"/>
      <c r="R1426" s="1"/>
      <c r="S1426" s="1"/>
      <c r="T1426" s="5">
        <v>0.1076</v>
      </c>
      <c r="U1426" s="10">
        <v>-1E-3</v>
      </c>
    </row>
    <row r="1427" spans="1:21" customFormat="1">
      <c r="A1427">
        <v>1</v>
      </c>
      <c r="B1427">
        <v>46</v>
      </c>
      <c r="C1427">
        <v>22</v>
      </c>
      <c r="D1427">
        <v>11</v>
      </c>
      <c r="E1427">
        <v>2020</v>
      </c>
      <c r="F1427">
        <v>6105</v>
      </c>
      <c r="G1427" t="str">
        <f>VLOOKUP(F1427,'[1]Sheet 1'!$B$2:$E$347,2,FALSE)</f>
        <v>Libertador General Bernardo O'Higgins</v>
      </c>
      <c r="H1427" t="str">
        <f>VLOOKUP(F1427,'[1]Sheet 1'!$B$2:$E$347,3,FALSE)</f>
        <v>Cachapoal</v>
      </c>
      <c r="I1427" t="str">
        <f>VLOOKUP(F1427,'[1]Sheet 1'!$B$2:$E$347,4,FALSE)</f>
        <v>Doñihue</v>
      </c>
      <c r="J1427" t="s">
        <v>136</v>
      </c>
      <c r="K1427" s="3" t="s">
        <v>0</v>
      </c>
      <c r="L1427" s="12" t="str">
        <f>VLOOKUP(K1427,[2]Hoja4!$A$2:$C$443,2,FALSE)</f>
        <v>Intentional self-harm by hanging, strangulation and suffocation</v>
      </c>
      <c r="M1427" s="12" t="str">
        <f>VLOOKUP(K1427,[2]Hoja4!$A$2:$C$443,3,FALSE)</f>
        <v>Unspecified place</v>
      </c>
      <c r="N1427" s="1">
        <v>8.8000000000000007</v>
      </c>
      <c r="O1427" s="1">
        <v>30.5</v>
      </c>
      <c r="P1427" s="1">
        <v>20.2</v>
      </c>
      <c r="Q1427" s="1">
        <v>956.5</v>
      </c>
      <c r="R1427" s="1">
        <v>0</v>
      </c>
      <c r="S1427" s="1">
        <v>39.299999999999997</v>
      </c>
      <c r="T1427" s="5">
        <v>0.1076</v>
      </c>
      <c r="U1427" s="10">
        <v>-1E-3</v>
      </c>
    </row>
    <row r="1428" spans="1:21" customFormat="1">
      <c r="A1428">
        <v>1</v>
      </c>
      <c r="B1428">
        <v>33</v>
      </c>
      <c r="C1428">
        <v>22</v>
      </c>
      <c r="D1428">
        <v>11</v>
      </c>
      <c r="E1428">
        <v>2020</v>
      </c>
      <c r="F1428">
        <v>13104</v>
      </c>
      <c r="G1428" t="str">
        <f>VLOOKUP(F1428,'[1]Sheet 1'!$B$2:$E$347,2,FALSE)</f>
        <v>Metropolitana de Santiago</v>
      </c>
      <c r="H1428" t="str">
        <f>VLOOKUP(F1428,'[1]Sheet 1'!$B$2:$E$347,3,FALSE)</f>
        <v>Santiago</v>
      </c>
      <c r="I1428" t="str">
        <f>VLOOKUP(F1428,'[1]Sheet 1'!$B$2:$E$347,4,FALSE)</f>
        <v>Conchalí</v>
      </c>
      <c r="J1428" t="s">
        <v>136</v>
      </c>
      <c r="K1428" s="3" t="s">
        <v>0</v>
      </c>
      <c r="L1428" s="12" t="str">
        <f>VLOOKUP(K1428,[2]Hoja4!$A$2:$C$443,2,FALSE)</f>
        <v>Intentional self-harm by hanging, strangulation and suffocation</v>
      </c>
      <c r="M1428" s="12" t="str">
        <f>VLOOKUP(K1428,[2]Hoja4!$A$2:$C$443,3,FALSE)</f>
        <v>Unspecified place</v>
      </c>
      <c r="N1428" s="1">
        <v>8.6</v>
      </c>
      <c r="O1428" s="1">
        <v>30.4</v>
      </c>
      <c r="P1428" s="1">
        <v>19.100000000000001</v>
      </c>
      <c r="Q1428" s="1">
        <v>953</v>
      </c>
      <c r="R1428" s="1"/>
      <c r="S1428" s="1">
        <v>40</v>
      </c>
      <c r="T1428" s="5">
        <v>0.1076</v>
      </c>
      <c r="U1428" s="10">
        <v>-1E-3</v>
      </c>
    </row>
    <row r="1429" spans="1:21" customFormat="1">
      <c r="A1429">
        <v>1</v>
      </c>
      <c r="B1429">
        <v>26</v>
      </c>
      <c r="C1429">
        <v>22</v>
      </c>
      <c r="D1429">
        <v>11</v>
      </c>
      <c r="E1429">
        <v>2020</v>
      </c>
      <c r="F1429">
        <v>5804</v>
      </c>
      <c r="G1429" t="str">
        <f>VLOOKUP(F1429,'[1]Sheet 1'!$B$2:$E$347,2,FALSE)</f>
        <v>Valparaíso</v>
      </c>
      <c r="H1429" t="str">
        <f>VLOOKUP(F1429,'[1]Sheet 1'!$B$2:$E$347,3,FALSE)</f>
        <v>Marga Marga</v>
      </c>
      <c r="I1429" t="str">
        <f>VLOOKUP(F1429,'[1]Sheet 1'!$B$2:$E$347,4,FALSE)</f>
        <v>Villa Alemana</v>
      </c>
      <c r="J1429" t="s">
        <v>136</v>
      </c>
      <c r="K1429" s="3" t="s">
        <v>0</v>
      </c>
      <c r="L1429" s="12" t="str">
        <f>VLOOKUP(K1429,[2]Hoja4!$A$2:$C$443,2,FALSE)</f>
        <v>Intentional self-harm by hanging, strangulation and suffocation</v>
      </c>
      <c r="M1429" s="12" t="str">
        <f>VLOOKUP(K1429,[2]Hoja4!$A$2:$C$443,3,FALSE)</f>
        <v>Unspecified place</v>
      </c>
      <c r="N1429" s="1">
        <v>5.9</v>
      </c>
      <c r="O1429" s="1" t="s">
        <v>109</v>
      </c>
      <c r="P1429" s="1">
        <v>15.2</v>
      </c>
      <c r="Q1429" s="1">
        <v>1010.9</v>
      </c>
      <c r="R1429" s="1">
        <v>0</v>
      </c>
      <c r="S1429" s="1">
        <v>64.3</v>
      </c>
      <c r="T1429" s="5">
        <v>0.1076</v>
      </c>
      <c r="U1429" s="10">
        <v>-1E-3</v>
      </c>
    </row>
    <row r="1430" spans="1:21" customFormat="1">
      <c r="A1430">
        <v>1</v>
      </c>
      <c r="B1430">
        <v>59</v>
      </c>
      <c r="C1430">
        <v>23</v>
      </c>
      <c r="D1430">
        <v>11</v>
      </c>
      <c r="E1430">
        <v>2020</v>
      </c>
      <c r="F1430">
        <v>8303</v>
      </c>
      <c r="G1430" t="str">
        <f>VLOOKUP(F1430,'[1]Sheet 1'!$B$2:$E$347,2,FALSE)</f>
        <v>Biobío</v>
      </c>
      <c r="H1430" t="str">
        <f>VLOOKUP(F1430,'[1]Sheet 1'!$B$2:$E$347,3,FALSE)</f>
        <v>Biobío</v>
      </c>
      <c r="I1430" t="str">
        <f>VLOOKUP(F1430,'[1]Sheet 1'!$B$2:$E$347,4,FALSE)</f>
        <v>Cabrero</v>
      </c>
      <c r="J1430" t="s">
        <v>136</v>
      </c>
      <c r="K1430" s="3" t="s">
        <v>0</v>
      </c>
      <c r="L1430" s="12" t="str">
        <f>VLOOKUP(K1430,[2]Hoja4!$A$2:$C$443,2,FALSE)</f>
        <v>Intentional self-harm by hanging, strangulation and suffocation</v>
      </c>
      <c r="M1430" s="12" t="str">
        <f>VLOOKUP(K1430,[2]Hoja4!$A$2:$C$443,3,FALSE)</f>
        <v>Unspecified place</v>
      </c>
      <c r="N1430" s="1">
        <v>7</v>
      </c>
      <c r="O1430" s="1">
        <v>25</v>
      </c>
      <c r="P1430" s="1">
        <v>16</v>
      </c>
      <c r="Q1430" s="1">
        <v>1004.3</v>
      </c>
      <c r="R1430" s="1">
        <v>0</v>
      </c>
      <c r="S1430" s="1">
        <v>61</v>
      </c>
      <c r="T1430" s="5">
        <v>0.1076</v>
      </c>
      <c r="U1430" s="10">
        <v>-1E-3</v>
      </c>
    </row>
    <row r="1431" spans="1:21" customFormat="1">
      <c r="A1431">
        <v>1</v>
      </c>
      <c r="B1431">
        <v>26</v>
      </c>
      <c r="C1431">
        <v>23</v>
      </c>
      <c r="D1431">
        <v>11</v>
      </c>
      <c r="E1431">
        <v>2020</v>
      </c>
      <c r="F1431">
        <v>13201</v>
      </c>
      <c r="G1431" t="str">
        <f>VLOOKUP(F1431,'[1]Sheet 1'!$B$2:$E$347,2,FALSE)</f>
        <v>Metropolitana de Santiago</v>
      </c>
      <c r="H1431" t="str">
        <f>VLOOKUP(F1431,'[1]Sheet 1'!$B$2:$E$347,3,FALSE)</f>
        <v>Cordillera</v>
      </c>
      <c r="I1431" t="str">
        <f>VLOOKUP(F1431,'[1]Sheet 1'!$B$2:$E$347,4,FALSE)</f>
        <v>Puente Alto</v>
      </c>
      <c r="J1431" t="s">
        <v>136</v>
      </c>
      <c r="K1431" s="3" t="s">
        <v>0</v>
      </c>
      <c r="L1431" s="12" t="str">
        <f>VLOOKUP(K1431,[2]Hoja4!$A$2:$C$443,2,FALSE)</f>
        <v>Intentional self-harm by hanging, strangulation and suffocation</v>
      </c>
      <c r="M1431" s="12" t="str">
        <f>VLOOKUP(K1431,[2]Hoja4!$A$2:$C$443,3,FALSE)</f>
        <v>Unspecified place</v>
      </c>
      <c r="N1431" s="1">
        <v>5.7</v>
      </c>
      <c r="O1431" s="1">
        <v>28.9</v>
      </c>
      <c r="P1431" s="1">
        <v>17.600000000000001</v>
      </c>
      <c r="Q1431" s="1">
        <v>939.6</v>
      </c>
      <c r="R1431" s="1">
        <v>0</v>
      </c>
      <c r="S1431" s="1">
        <v>44.9</v>
      </c>
      <c r="T1431" s="5">
        <v>0.1076</v>
      </c>
      <c r="U1431" s="10">
        <v>-1E-3</v>
      </c>
    </row>
    <row r="1432" spans="1:21" customFormat="1">
      <c r="A1432">
        <v>1</v>
      </c>
      <c r="B1432">
        <v>50</v>
      </c>
      <c r="C1432">
        <v>24</v>
      </c>
      <c r="D1432">
        <v>11</v>
      </c>
      <c r="E1432">
        <v>2020</v>
      </c>
      <c r="F1432">
        <v>13119</v>
      </c>
      <c r="G1432" t="str">
        <f>VLOOKUP(F1432,'[1]Sheet 1'!$B$2:$E$347,2,FALSE)</f>
        <v>Metropolitana de Santiago</v>
      </c>
      <c r="H1432" t="str">
        <f>VLOOKUP(F1432,'[1]Sheet 1'!$B$2:$E$347,3,FALSE)</f>
        <v>Santiago</v>
      </c>
      <c r="I1432" t="str">
        <f>VLOOKUP(F1432,'[1]Sheet 1'!$B$2:$E$347,4,FALSE)</f>
        <v>Maipú</v>
      </c>
      <c r="J1432" t="s">
        <v>136</v>
      </c>
      <c r="K1432" s="3" t="s">
        <v>0</v>
      </c>
      <c r="L1432" s="12" t="str">
        <f>VLOOKUP(K1432,[2]Hoja4!$A$2:$C$443,2,FALSE)</f>
        <v>Intentional self-harm by hanging, strangulation and suffocation</v>
      </c>
      <c r="M1432" s="12" t="str">
        <f>VLOOKUP(K1432,[2]Hoja4!$A$2:$C$443,3,FALSE)</f>
        <v>Unspecified place</v>
      </c>
      <c r="N1432" s="1">
        <v>10.3</v>
      </c>
      <c r="O1432" s="1">
        <v>27.5</v>
      </c>
      <c r="P1432" s="1">
        <v>19</v>
      </c>
      <c r="Q1432" s="1">
        <v>957.9</v>
      </c>
      <c r="R1432" s="1"/>
      <c r="S1432" s="1">
        <v>45</v>
      </c>
      <c r="T1432" s="5">
        <v>0.1076</v>
      </c>
      <c r="U1432" s="10">
        <v>-1E-3</v>
      </c>
    </row>
    <row r="1433" spans="1:21" customFormat="1">
      <c r="A1433">
        <v>1</v>
      </c>
      <c r="B1433">
        <v>59</v>
      </c>
      <c r="C1433">
        <v>24</v>
      </c>
      <c r="D1433">
        <v>11</v>
      </c>
      <c r="E1433">
        <v>2020</v>
      </c>
      <c r="F1433">
        <v>8104</v>
      </c>
      <c r="G1433" t="str">
        <f>VLOOKUP(F1433,'[1]Sheet 1'!$B$2:$E$347,2,FALSE)</f>
        <v>Biobío</v>
      </c>
      <c r="H1433" t="str">
        <f>VLOOKUP(F1433,'[1]Sheet 1'!$B$2:$E$347,3,FALSE)</f>
        <v>Concepción</v>
      </c>
      <c r="I1433" t="str">
        <f>VLOOKUP(F1433,'[1]Sheet 1'!$B$2:$E$347,4,FALSE)</f>
        <v>Florida</v>
      </c>
      <c r="J1433" t="s">
        <v>136</v>
      </c>
      <c r="K1433" s="3" t="s">
        <v>4</v>
      </c>
      <c r="L1433" s="12" t="str">
        <f>VLOOKUP(K1433,[2]Hoja4!$A$2:$C$443,2,FALSE)</f>
        <v>Intentional self-harm by hanging, strangulation and suffocation</v>
      </c>
      <c r="M1433" s="12" t="str">
        <f>VLOOKUP(K1433,[2]Hoja4!$A$2:$C$443,3,FALSE)</f>
        <v>At home</v>
      </c>
      <c r="N1433" s="1">
        <v>8</v>
      </c>
      <c r="O1433" s="1">
        <v>20.2</v>
      </c>
      <c r="P1433" s="1">
        <v>14.9</v>
      </c>
      <c r="Q1433" s="1">
        <v>1019.3</v>
      </c>
      <c r="R1433" s="1">
        <v>0.4</v>
      </c>
      <c r="S1433" s="1">
        <v>72.2</v>
      </c>
      <c r="T1433" s="5">
        <v>0.1076</v>
      </c>
      <c r="U1433" s="10">
        <v>-1E-3</v>
      </c>
    </row>
    <row r="1434" spans="1:21" customFormat="1">
      <c r="A1434">
        <v>2</v>
      </c>
      <c r="B1434">
        <v>39</v>
      </c>
      <c r="C1434">
        <v>24</v>
      </c>
      <c r="D1434">
        <v>11</v>
      </c>
      <c r="E1434">
        <v>2020</v>
      </c>
      <c r="F1434">
        <v>1101</v>
      </c>
      <c r="G1434" t="str">
        <f>VLOOKUP(F1434,'[1]Sheet 1'!$B$2:$E$347,2,FALSE)</f>
        <v>Tarapacá</v>
      </c>
      <c r="H1434" t="str">
        <f>VLOOKUP(F1434,'[1]Sheet 1'!$B$2:$E$347,3,FALSE)</f>
        <v>Iquique</v>
      </c>
      <c r="I1434" t="str">
        <f>VLOOKUP(F1434,'[1]Sheet 1'!$B$2:$E$347,4,FALSE)</f>
        <v>Iquique</v>
      </c>
      <c r="J1434" t="s">
        <v>136</v>
      </c>
      <c r="K1434" s="3" t="s">
        <v>4</v>
      </c>
      <c r="L1434" s="12" t="str">
        <f>VLOOKUP(K1434,[2]Hoja4!$A$2:$C$443,2,FALSE)</f>
        <v>Intentional self-harm by hanging, strangulation and suffocation</v>
      </c>
      <c r="M1434" s="12" t="str">
        <f>VLOOKUP(K1434,[2]Hoja4!$A$2:$C$443,3,FALSE)</f>
        <v>At home</v>
      </c>
      <c r="N1434" s="1">
        <v>16.399999999999999</v>
      </c>
      <c r="O1434" s="1">
        <v>20.399999999999999</v>
      </c>
      <c r="P1434" s="1">
        <v>17.5</v>
      </c>
      <c r="Q1434" s="1">
        <v>1012.5</v>
      </c>
      <c r="R1434" s="1">
        <v>0</v>
      </c>
      <c r="S1434" s="1">
        <v>72.7</v>
      </c>
      <c r="T1434" s="5">
        <v>0.1076</v>
      </c>
      <c r="U1434" s="10">
        <v>-1E-3</v>
      </c>
    </row>
    <row r="1435" spans="1:21" customFormat="1">
      <c r="A1435">
        <v>1</v>
      </c>
      <c r="B1435">
        <v>46</v>
      </c>
      <c r="C1435">
        <v>24</v>
      </c>
      <c r="D1435">
        <v>11</v>
      </c>
      <c r="E1435">
        <v>2020</v>
      </c>
      <c r="F1435">
        <v>5501</v>
      </c>
      <c r="G1435" t="str">
        <f>VLOOKUP(F1435,'[1]Sheet 1'!$B$2:$E$347,2,FALSE)</f>
        <v>Valparaíso</v>
      </c>
      <c r="H1435" t="str">
        <f>VLOOKUP(F1435,'[1]Sheet 1'!$B$2:$E$347,3,FALSE)</f>
        <v>Quillota</v>
      </c>
      <c r="I1435" t="str">
        <f>VLOOKUP(F1435,'[1]Sheet 1'!$B$2:$E$347,4,FALSE)</f>
        <v>Quillota</v>
      </c>
      <c r="J1435" t="s">
        <v>136</v>
      </c>
      <c r="K1435" s="3" t="s">
        <v>0</v>
      </c>
      <c r="L1435" s="12" t="str">
        <f>VLOOKUP(K1435,[2]Hoja4!$A$2:$C$443,2,FALSE)</f>
        <v>Intentional self-harm by hanging, strangulation and suffocation</v>
      </c>
      <c r="M1435" s="12" t="str">
        <f>VLOOKUP(K1435,[2]Hoja4!$A$2:$C$443,3,FALSE)</f>
        <v>Unspecified place</v>
      </c>
      <c r="N1435" s="1">
        <v>8.3000000000000007</v>
      </c>
      <c r="O1435" s="1">
        <v>29.8</v>
      </c>
      <c r="P1435" s="1">
        <v>18.600000000000001</v>
      </c>
      <c r="Q1435" s="1">
        <v>998</v>
      </c>
      <c r="R1435" s="1">
        <v>0</v>
      </c>
      <c r="S1435" s="1">
        <v>44.3</v>
      </c>
      <c r="T1435" s="5">
        <v>0.1076</v>
      </c>
      <c r="U1435" s="10">
        <v>-1E-3</v>
      </c>
    </row>
    <row r="1436" spans="1:21" customFormat="1">
      <c r="A1436">
        <v>1</v>
      </c>
      <c r="B1436">
        <v>38</v>
      </c>
      <c r="C1436">
        <v>24</v>
      </c>
      <c r="D1436">
        <v>11</v>
      </c>
      <c r="E1436">
        <v>2020</v>
      </c>
      <c r="F1436">
        <v>2201</v>
      </c>
      <c r="G1436" t="str">
        <f>VLOOKUP(F1436,'[1]Sheet 1'!$B$2:$E$347,2,FALSE)</f>
        <v>Antofagasta</v>
      </c>
      <c r="H1436" t="str">
        <f>VLOOKUP(F1436,'[1]Sheet 1'!$B$2:$E$347,3,FALSE)</f>
        <v>El Loa</v>
      </c>
      <c r="I1436" t="str">
        <f>VLOOKUP(F1436,'[1]Sheet 1'!$B$2:$E$347,4,FALSE)</f>
        <v>Calama</v>
      </c>
      <c r="J1436" t="s">
        <v>136</v>
      </c>
      <c r="K1436" s="3" t="s">
        <v>4</v>
      </c>
      <c r="L1436" s="12" t="str">
        <f>VLOOKUP(K1436,[2]Hoja4!$A$2:$C$443,2,FALSE)</f>
        <v>Intentional self-harm by hanging, strangulation and suffocation</v>
      </c>
      <c r="M1436" s="12" t="str">
        <f>VLOOKUP(K1436,[2]Hoja4!$A$2:$C$443,3,FALSE)</f>
        <v>At home</v>
      </c>
      <c r="N1436" s="1">
        <v>6.4</v>
      </c>
      <c r="O1436" s="1">
        <v>27.7</v>
      </c>
      <c r="P1436" s="1">
        <v>17.8</v>
      </c>
      <c r="Q1436" s="1">
        <v>772.7</v>
      </c>
      <c r="R1436" s="1">
        <v>0</v>
      </c>
      <c r="S1436" s="1">
        <v>10.8</v>
      </c>
      <c r="T1436" s="5">
        <v>0.1076</v>
      </c>
      <c r="U1436" s="10">
        <v>-1E-3</v>
      </c>
    </row>
    <row r="1437" spans="1:21" customFormat="1">
      <c r="A1437">
        <v>1</v>
      </c>
      <c r="B1437">
        <v>70</v>
      </c>
      <c r="C1437">
        <v>25</v>
      </c>
      <c r="D1437">
        <v>11</v>
      </c>
      <c r="E1437">
        <v>2020</v>
      </c>
      <c r="F1437">
        <v>2101</v>
      </c>
      <c r="G1437" t="str">
        <f>VLOOKUP(F1437,'[1]Sheet 1'!$B$2:$E$347,2,FALSE)</f>
        <v>Antofagasta</v>
      </c>
      <c r="H1437" t="str">
        <f>VLOOKUP(F1437,'[1]Sheet 1'!$B$2:$E$347,3,FALSE)</f>
        <v>Antofagasta</v>
      </c>
      <c r="I1437" t="str">
        <f>VLOOKUP(F1437,'[1]Sheet 1'!$B$2:$E$347,4,FALSE)</f>
        <v>Antofagasta</v>
      </c>
      <c r="J1437" t="s">
        <v>142</v>
      </c>
      <c r="K1437" s="3" t="s">
        <v>5</v>
      </c>
      <c r="L1437" s="12" t="str">
        <f>VLOOKUP(K1437,[2]Hoja4!$A$2:$C$443,2,FALSE)</f>
        <v>Intentional self-harm by other and unspecified firearm discharge</v>
      </c>
      <c r="M1437" s="12" t="str">
        <f>VLOOKUP(K1437,[2]Hoja4!$A$2:$C$443,3,FALSE)</f>
        <v>At home</v>
      </c>
      <c r="N1437" s="1">
        <v>15.6</v>
      </c>
      <c r="O1437" s="1">
        <v>20.8</v>
      </c>
      <c r="P1437" s="1">
        <v>17.100000000000001</v>
      </c>
      <c r="Q1437" s="1">
        <v>997.6</v>
      </c>
      <c r="R1437" s="1">
        <v>0</v>
      </c>
      <c r="S1437" s="1">
        <v>67.8</v>
      </c>
      <c r="T1437" s="5">
        <v>0.1076</v>
      </c>
      <c r="U1437" s="10">
        <v>-1E-3</v>
      </c>
    </row>
    <row r="1438" spans="1:21" customFormat="1">
      <c r="A1438">
        <v>1</v>
      </c>
      <c r="B1438">
        <v>28</v>
      </c>
      <c r="C1438">
        <v>25</v>
      </c>
      <c r="D1438">
        <v>11</v>
      </c>
      <c r="E1438">
        <v>2020</v>
      </c>
      <c r="F1438">
        <v>6101</v>
      </c>
      <c r="G1438" t="str">
        <f>VLOOKUP(F1438,'[1]Sheet 1'!$B$2:$E$347,2,FALSE)</f>
        <v>Libertador General Bernardo O'Higgins</v>
      </c>
      <c r="H1438" t="str">
        <f>VLOOKUP(F1438,'[1]Sheet 1'!$B$2:$E$347,3,FALSE)</f>
        <v>Cachapoal</v>
      </c>
      <c r="I1438" t="str">
        <f>VLOOKUP(F1438,'[1]Sheet 1'!$B$2:$E$347,4,FALSE)</f>
        <v>Rancagua</v>
      </c>
      <c r="J1438" t="s">
        <v>136</v>
      </c>
      <c r="K1438" s="3" t="s">
        <v>0</v>
      </c>
      <c r="L1438" s="12" t="str">
        <f>VLOOKUP(K1438,[2]Hoja4!$A$2:$C$443,2,FALSE)</f>
        <v>Intentional self-harm by hanging, strangulation and suffocation</v>
      </c>
      <c r="M1438" s="12" t="str">
        <f>VLOOKUP(K1438,[2]Hoja4!$A$2:$C$443,3,FALSE)</f>
        <v>Unspecified place</v>
      </c>
      <c r="N1438" s="1">
        <v>9.3000000000000007</v>
      </c>
      <c r="O1438" s="1" t="s">
        <v>64</v>
      </c>
      <c r="P1438" s="1">
        <v>17.899999999999999</v>
      </c>
      <c r="Q1438" s="1">
        <v>961.3</v>
      </c>
      <c r="R1438" s="1">
        <v>0</v>
      </c>
      <c r="S1438" s="1">
        <v>50</v>
      </c>
      <c r="T1438" s="5">
        <v>0.1076</v>
      </c>
      <c r="U1438" s="10">
        <v>-1E-3</v>
      </c>
    </row>
    <row r="1439" spans="1:21" customFormat="1">
      <c r="A1439">
        <v>1</v>
      </c>
      <c r="B1439">
        <v>91</v>
      </c>
      <c r="C1439">
        <v>26</v>
      </c>
      <c r="D1439">
        <v>11</v>
      </c>
      <c r="E1439">
        <v>2020</v>
      </c>
      <c r="F1439">
        <v>5403</v>
      </c>
      <c r="G1439" t="str">
        <f>VLOOKUP(F1439,'[1]Sheet 1'!$B$2:$E$347,2,FALSE)</f>
        <v>Valparaíso</v>
      </c>
      <c r="H1439" t="str">
        <f>VLOOKUP(F1439,'[1]Sheet 1'!$B$2:$E$347,3,FALSE)</f>
        <v>Petorca</v>
      </c>
      <c r="I1439" t="str">
        <f>VLOOKUP(F1439,'[1]Sheet 1'!$B$2:$E$347,4,FALSE)</f>
        <v>Papudo</v>
      </c>
      <c r="J1439" t="s">
        <v>136</v>
      </c>
      <c r="K1439" s="3" t="s">
        <v>4</v>
      </c>
      <c r="L1439" s="12" t="str">
        <f>VLOOKUP(K1439,[2]Hoja4!$A$2:$C$443,2,FALSE)</f>
        <v>Intentional self-harm by hanging, strangulation and suffocation</v>
      </c>
      <c r="M1439" s="12" t="str">
        <f>VLOOKUP(K1439,[2]Hoja4!$A$2:$C$443,3,FALSE)</f>
        <v>At home</v>
      </c>
      <c r="N1439" s="1">
        <v>10.3</v>
      </c>
      <c r="O1439" s="1">
        <v>29.6</v>
      </c>
      <c r="P1439" s="1">
        <v>18.899999999999999</v>
      </c>
      <c r="Q1439" s="1">
        <v>1015.2</v>
      </c>
      <c r="R1439" s="1">
        <v>0</v>
      </c>
      <c r="S1439" s="1">
        <v>56.2</v>
      </c>
      <c r="T1439" s="5">
        <v>0.1076</v>
      </c>
      <c r="U1439" s="10">
        <v>-1E-3</v>
      </c>
    </row>
    <row r="1440" spans="1:21" customFormat="1">
      <c r="A1440">
        <v>1</v>
      </c>
      <c r="B1440">
        <v>83</v>
      </c>
      <c r="C1440">
        <v>27</v>
      </c>
      <c r="D1440">
        <v>11</v>
      </c>
      <c r="E1440">
        <v>2020</v>
      </c>
      <c r="F1440">
        <v>7201</v>
      </c>
      <c r="G1440" t="str">
        <f>VLOOKUP(F1440,'[1]Sheet 1'!$B$2:$E$347,2,FALSE)</f>
        <v>Maule</v>
      </c>
      <c r="H1440" t="str">
        <f>VLOOKUP(F1440,'[1]Sheet 1'!$B$2:$E$347,3,FALSE)</f>
        <v>Cauquenes</v>
      </c>
      <c r="I1440" t="str">
        <f>VLOOKUP(F1440,'[1]Sheet 1'!$B$2:$E$347,4,FALSE)</f>
        <v>Cauquenes</v>
      </c>
      <c r="J1440" t="s">
        <v>136</v>
      </c>
      <c r="K1440" s="3" t="s">
        <v>4</v>
      </c>
      <c r="L1440" s="12" t="str">
        <f>VLOOKUP(K1440,[2]Hoja4!$A$2:$C$443,2,FALSE)</f>
        <v>Intentional self-harm by hanging, strangulation and suffocation</v>
      </c>
      <c r="M1440" s="12" t="str">
        <f>VLOOKUP(K1440,[2]Hoja4!$A$2:$C$443,3,FALSE)</f>
        <v>At home</v>
      </c>
      <c r="N1440" s="1">
        <v>9.1</v>
      </c>
      <c r="O1440" s="1">
        <v>30.5</v>
      </c>
      <c r="P1440" s="1">
        <v>19.8</v>
      </c>
      <c r="Q1440" s="1">
        <v>998</v>
      </c>
      <c r="R1440" s="1">
        <v>0</v>
      </c>
      <c r="S1440" s="1">
        <v>42.9</v>
      </c>
      <c r="T1440" s="5">
        <v>0.1076</v>
      </c>
      <c r="U1440" s="10">
        <v>-1E-3</v>
      </c>
    </row>
    <row r="1441" spans="1:21" customFormat="1">
      <c r="A1441">
        <v>1</v>
      </c>
      <c r="B1441">
        <v>70</v>
      </c>
      <c r="C1441">
        <v>27</v>
      </c>
      <c r="D1441">
        <v>11</v>
      </c>
      <c r="E1441">
        <v>2020</v>
      </c>
      <c r="F1441">
        <v>13122</v>
      </c>
      <c r="G1441" t="str">
        <f>VLOOKUP(F1441,'[1]Sheet 1'!$B$2:$E$347,2,FALSE)</f>
        <v>Metropolitana de Santiago</v>
      </c>
      <c r="H1441" t="str">
        <f>VLOOKUP(F1441,'[1]Sheet 1'!$B$2:$E$347,3,FALSE)</f>
        <v>Santiago</v>
      </c>
      <c r="I1441" t="str">
        <f>VLOOKUP(F1441,'[1]Sheet 1'!$B$2:$E$347,4,FALSE)</f>
        <v>Peñalolén</v>
      </c>
      <c r="J1441" t="s">
        <v>136</v>
      </c>
      <c r="K1441" s="3" t="s">
        <v>4</v>
      </c>
      <c r="L1441" s="12" t="str">
        <f>VLOOKUP(K1441,[2]Hoja4!$A$2:$C$443,2,FALSE)</f>
        <v>Intentional self-harm by hanging, strangulation and suffocation</v>
      </c>
      <c r="M1441" s="12" t="str">
        <f>VLOOKUP(K1441,[2]Hoja4!$A$2:$C$443,3,FALSE)</f>
        <v>At home</v>
      </c>
      <c r="N1441" s="1">
        <v>10.1</v>
      </c>
      <c r="O1441" s="1">
        <v>29.1</v>
      </c>
      <c r="P1441" s="1">
        <v>20.8</v>
      </c>
      <c r="Q1441" s="1">
        <v>954.2</v>
      </c>
      <c r="R1441" s="1"/>
      <c r="S1441" s="1">
        <v>32.799999999999997</v>
      </c>
      <c r="T1441" s="5">
        <v>0.1076</v>
      </c>
      <c r="U1441" s="10">
        <v>-1E-3</v>
      </c>
    </row>
    <row r="1442" spans="1:21" customFormat="1">
      <c r="A1442">
        <v>1</v>
      </c>
      <c r="B1442">
        <v>58</v>
      </c>
      <c r="C1442">
        <v>27</v>
      </c>
      <c r="D1442">
        <v>11</v>
      </c>
      <c r="E1442">
        <v>2020</v>
      </c>
      <c r="F1442">
        <v>13125</v>
      </c>
      <c r="G1442" t="str">
        <f>VLOOKUP(F1442,'[1]Sheet 1'!$B$2:$E$347,2,FALSE)</f>
        <v>Metropolitana de Santiago</v>
      </c>
      <c r="H1442" t="str">
        <f>VLOOKUP(F1442,'[1]Sheet 1'!$B$2:$E$347,3,FALSE)</f>
        <v>Santiago</v>
      </c>
      <c r="I1442" t="str">
        <f>VLOOKUP(F1442,'[1]Sheet 1'!$B$2:$E$347,4,FALSE)</f>
        <v>Quilicura</v>
      </c>
      <c r="J1442" t="s">
        <v>136</v>
      </c>
      <c r="K1442" s="3" t="s">
        <v>0</v>
      </c>
      <c r="L1442" s="12" t="str">
        <f>VLOOKUP(K1442,[2]Hoja4!$A$2:$C$443,2,FALSE)</f>
        <v>Intentional self-harm by hanging, strangulation and suffocation</v>
      </c>
      <c r="M1442" s="12" t="str">
        <f>VLOOKUP(K1442,[2]Hoja4!$A$2:$C$443,3,FALSE)</f>
        <v>Unspecified place</v>
      </c>
      <c r="N1442" s="1">
        <v>10.1</v>
      </c>
      <c r="O1442" s="1">
        <v>29.1</v>
      </c>
      <c r="P1442" s="1">
        <v>20.8</v>
      </c>
      <c r="Q1442" s="1">
        <v>954.2</v>
      </c>
      <c r="R1442" s="1"/>
      <c r="S1442" s="1">
        <v>32.799999999999997</v>
      </c>
      <c r="T1442" s="5">
        <v>0.1076</v>
      </c>
      <c r="U1442" s="10">
        <v>-1E-3</v>
      </c>
    </row>
    <row r="1443" spans="1:21" customFormat="1">
      <c r="A1443">
        <v>1</v>
      </c>
      <c r="B1443">
        <v>65</v>
      </c>
      <c r="C1443">
        <v>27</v>
      </c>
      <c r="D1443">
        <v>11</v>
      </c>
      <c r="E1443">
        <v>2020</v>
      </c>
      <c r="F1443">
        <v>15101</v>
      </c>
      <c r="G1443" t="str">
        <f>VLOOKUP(F1443,'[1]Sheet 1'!$B$2:$E$347,2,FALSE)</f>
        <v>Arica y Parinacota</v>
      </c>
      <c r="H1443" t="str">
        <f>VLOOKUP(F1443,'[1]Sheet 1'!$B$2:$E$347,3,FALSE)</f>
        <v>Arica</v>
      </c>
      <c r="I1443" t="str">
        <f>VLOOKUP(F1443,'[1]Sheet 1'!$B$2:$E$347,4,FALSE)</f>
        <v>Arica</v>
      </c>
      <c r="J1443" t="s">
        <v>136</v>
      </c>
      <c r="K1443" s="3" t="s">
        <v>4</v>
      </c>
      <c r="L1443" s="12" t="str">
        <f>VLOOKUP(K1443,[2]Hoja4!$A$2:$C$443,2,FALSE)</f>
        <v>Intentional self-harm by hanging, strangulation and suffocation</v>
      </c>
      <c r="M1443" s="12" t="str">
        <f>VLOOKUP(K1443,[2]Hoja4!$A$2:$C$443,3,FALSE)</f>
        <v>At home</v>
      </c>
      <c r="N1443" s="1">
        <v>14.2</v>
      </c>
      <c r="O1443" s="1">
        <v>21.8</v>
      </c>
      <c r="P1443" s="1">
        <v>18</v>
      </c>
      <c r="Q1443" s="1">
        <v>1009.2</v>
      </c>
      <c r="R1443" s="1">
        <v>0</v>
      </c>
      <c r="S1443" s="1">
        <v>65.099999999999994</v>
      </c>
      <c r="T1443" s="5">
        <v>0.1076</v>
      </c>
      <c r="U1443" s="10">
        <v>-1E-3</v>
      </c>
    </row>
    <row r="1444" spans="1:21" customFormat="1">
      <c r="A1444">
        <v>2</v>
      </c>
      <c r="B1444">
        <v>22</v>
      </c>
      <c r="C1444">
        <v>27</v>
      </c>
      <c r="D1444">
        <v>11</v>
      </c>
      <c r="E1444">
        <v>2020</v>
      </c>
      <c r="F1444">
        <v>5101</v>
      </c>
      <c r="G1444" t="str">
        <f>VLOOKUP(F1444,'[1]Sheet 1'!$B$2:$E$347,2,FALSE)</f>
        <v>Valparaíso</v>
      </c>
      <c r="H1444" t="str">
        <f>VLOOKUP(F1444,'[1]Sheet 1'!$B$2:$E$347,3,FALSE)</f>
        <v>Valparaíso</v>
      </c>
      <c r="I1444" t="str">
        <f>VLOOKUP(F1444,'[1]Sheet 1'!$B$2:$E$347,4,FALSE)</f>
        <v>Valparaíso</v>
      </c>
      <c r="J1444" t="s">
        <v>136</v>
      </c>
      <c r="K1444" s="3" t="s">
        <v>4</v>
      </c>
      <c r="L1444" s="12" t="str">
        <f>VLOOKUP(K1444,[2]Hoja4!$A$2:$C$443,2,FALSE)</f>
        <v>Intentional self-harm by hanging, strangulation and suffocation</v>
      </c>
      <c r="M1444" s="12" t="str">
        <f>VLOOKUP(K1444,[2]Hoja4!$A$2:$C$443,3,FALSE)</f>
        <v>At home</v>
      </c>
      <c r="N1444" s="1">
        <v>8.6</v>
      </c>
      <c r="O1444" s="1">
        <v>21.4</v>
      </c>
      <c r="P1444" s="1">
        <v>12.9</v>
      </c>
      <c r="Q1444" s="1">
        <v>977.1</v>
      </c>
      <c r="R1444" s="1">
        <v>0</v>
      </c>
      <c r="S1444" s="1">
        <v>83.9</v>
      </c>
      <c r="T1444" s="5">
        <v>0.1076</v>
      </c>
      <c r="U1444" s="10">
        <v>-1E-3</v>
      </c>
    </row>
    <row r="1445" spans="1:21" customFormat="1">
      <c r="A1445">
        <v>1</v>
      </c>
      <c r="B1445">
        <v>38</v>
      </c>
      <c r="C1445">
        <v>28</v>
      </c>
      <c r="D1445">
        <v>11</v>
      </c>
      <c r="E1445">
        <v>2020</v>
      </c>
      <c r="F1445">
        <v>12101</v>
      </c>
      <c r="G1445" t="str">
        <f>VLOOKUP(F1445,'[1]Sheet 1'!$B$2:$E$347,2,FALSE)</f>
        <v>Magallanes y de la Antártica Chilena</v>
      </c>
      <c r="H1445" t="str">
        <f>VLOOKUP(F1445,'[1]Sheet 1'!$B$2:$E$347,3,FALSE)</f>
        <v>Magallanes</v>
      </c>
      <c r="I1445" t="str">
        <f>VLOOKUP(F1445,'[1]Sheet 1'!$B$2:$E$347,4,FALSE)</f>
        <v>Punta Arenas</v>
      </c>
      <c r="J1445" t="s">
        <v>136</v>
      </c>
      <c r="K1445" s="3" t="s">
        <v>4</v>
      </c>
      <c r="L1445" s="12" t="str">
        <f>VLOOKUP(K1445,[2]Hoja4!$A$2:$C$443,2,FALSE)</f>
        <v>Intentional self-harm by hanging, strangulation and suffocation</v>
      </c>
      <c r="M1445" s="12" t="str">
        <f>VLOOKUP(K1445,[2]Hoja4!$A$2:$C$443,3,FALSE)</f>
        <v>At home</v>
      </c>
      <c r="N1445" s="1">
        <v>1.9</v>
      </c>
      <c r="O1445" s="1">
        <v>10.4</v>
      </c>
      <c r="P1445" s="1">
        <v>5.7</v>
      </c>
      <c r="Q1445" s="1">
        <v>989.2</v>
      </c>
      <c r="R1445" s="1">
        <v>0.8</v>
      </c>
      <c r="S1445" s="1">
        <v>70.2</v>
      </c>
      <c r="T1445" s="5">
        <v>0.1076</v>
      </c>
      <c r="U1445" s="10">
        <v>-1E-3</v>
      </c>
    </row>
    <row r="1446" spans="1:21" customFormat="1">
      <c r="A1446">
        <v>1</v>
      </c>
      <c r="B1446">
        <v>31</v>
      </c>
      <c r="C1446">
        <v>28</v>
      </c>
      <c r="D1446">
        <v>11</v>
      </c>
      <c r="E1446">
        <v>2020</v>
      </c>
      <c r="F1446">
        <v>6201</v>
      </c>
      <c r="G1446" t="str">
        <f>VLOOKUP(F1446,'[1]Sheet 1'!$B$2:$E$347,2,FALSE)</f>
        <v>Libertador General Bernardo O'Higgins</v>
      </c>
      <c r="H1446" t="str">
        <f>VLOOKUP(F1446,'[1]Sheet 1'!$B$2:$E$347,3,FALSE)</f>
        <v>Cardenal Caro</v>
      </c>
      <c r="I1446" t="str">
        <f>VLOOKUP(F1446,'[1]Sheet 1'!$B$2:$E$347,4,FALSE)</f>
        <v>Pichilemu</v>
      </c>
      <c r="J1446" t="s">
        <v>136</v>
      </c>
      <c r="K1446" s="3" t="s">
        <v>0</v>
      </c>
      <c r="L1446" s="12" t="str">
        <f>VLOOKUP(K1446,[2]Hoja4!$A$2:$C$443,2,FALSE)</f>
        <v>Intentional self-harm by hanging, strangulation and suffocation</v>
      </c>
      <c r="M1446" s="12" t="str">
        <f>VLOOKUP(K1446,[2]Hoja4!$A$2:$C$443,3,FALSE)</f>
        <v>Unspecified place</v>
      </c>
      <c r="N1446" s="1">
        <v>11.4</v>
      </c>
      <c r="O1446" s="1">
        <v>17.3</v>
      </c>
      <c r="P1446" s="1">
        <v>13.7</v>
      </c>
      <c r="Q1446" s="1">
        <v>1016.5</v>
      </c>
      <c r="R1446" s="1">
        <v>0</v>
      </c>
      <c r="S1446" s="1">
        <v>84.3</v>
      </c>
      <c r="T1446" s="5">
        <v>0.1076</v>
      </c>
      <c r="U1446" s="10">
        <v>-1E-3</v>
      </c>
    </row>
    <row r="1447" spans="1:21" customFormat="1">
      <c r="A1447">
        <v>1</v>
      </c>
      <c r="B1447">
        <v>22</v>
      </c>
      <c r="C1447">
        <v>28</v>
      </c>
      <c r="D1447">
        <v>11</v>
      </c>
      <c r="E1447">
        <v>2020</v>
      </c>
      <c r="F1447">
        <v>5801</v>
      </c>
      <c r="G1447" t="str">
        <f>VLOOKUP(F1447,'[1]Sheet 1'!$B$2:$E$347,2,FALSE)</f>
        <v>Valparaíso</v>
      </c>
      <c r="H1447" t="str">
        <f>VLOOKUP(F1447,'[1]Sheet 1'!$B$2:$E$347,3,FALSE)</f>
        <v>Marga Marga</v>
      </c>
      <c r="I1447" t="str">
        <f>VLOOKUP(F1447,'[1]Sheet 1'!$B$2:$E$347,4,FALSE)</f>
        <v>Quilpué</v>
      </c>
      <c r="J1447" t="s">
        <v>136</v>
      </c>
      <c r="K1447" s="3" t="s">
        <v>0</v>
      </c>
      <c r="L1447" s="12" t="str">
        <f>VLOOKUP(K1447,[2]Hoja4!$A$2:$C$443,2,FALSE)</f>
        <v>Intentional self-harm by hanging, strangulation and suffocation</v>
      </c>
      <c r="M1447" s="12" t="str">
        <f>VLOOKUP(K1447,[2]Hoja4!$A$2:$C$443,3,FALSE)</f>
        <v>Unspecified place</v>
      </c>
      <c r="N1447" s="1">
        <v>5.6</v>
      </c>
      <c r="O1447" s="1">
        <v>26.4</v>
      </c>
      <c r="P1447" s="1">
        <v>14.9</v>
      </c>
      <c r="Q1447" s="1">
        <v>1015.4</v>
      </c>
      <c r="R1447" s="1">
        <v>0</v>
      </c>
      <c r="S1447" s="1">
        <v>60.3</v>
      </c>
      <c r="T1447" s="5">
        <v>0.1076</v>
      </c>
      <c r="U1447" s="10">
        <v>-1E-3</v>
      </c>
    </row>
    <row r="1448" spans="1:21" customFormat="1">
      <c r="A1448">
        <v>2</v>
      </c>
      <c r="B1448">
        <v>25</v>
      </c>
      <c r="C1448">
        <v>28</v>
      </c>
      <c r="D1448">
        <v>11</v>
      </c>
      <c r="E1448">
        <v>2020</v>
      </c>
      <c r="F1448">
        <v>10101</v>
      </c>
      <c r="G1448" t="str">
        <f>VLOOKUP(F1448,'[1]Sheet 1'!$B$2:$E$347,2,FALSE)</f>
        <v>Los Lagos</v>
      </c>
      <c r="H1448" t="str">
        <f>VLOOKUP(F1448,'[1]Sheet 1'!$B$2:$E$347,3,FALSE)</f>
        <v>Llanquihue</v>
      </c>
      <c r="I1448" t="str">
        <f>VLOOKUP(F1448,'[1]Sheet 1'!$B$2:$E$347,4,FALSE)</f>
        <v>Puerto Montt</v>
      </c>
      <c r="J1448" t="s">
        <v>136</v>
      </c>
      <c r="K1448" s="3" t="s">
        <v>4</v>
      </c>
      <c r="L1448" s="12" t="str">
        <f>VLOOKUP(K1448,[2]Hoja4!$A$2:$C$443,2,FALSE)</f>
        <v>Intentional self-harm by hanging, strangulation and suffocation</v>
      </c>
      <c r="M1448" s="12" t="str">
        <f>VLOOKUP(K1448,[2]Hoja4!$A$2:$C$443,3,FALSE)</f>
        <v>At home</v>
      </c>
      <c r="N1448" s="1">
        <v>10.7</v>
      </c>
      <c r="O1448" s="1">
        <v>12.5</v>
      </c>
      <c r="P1448" s="1">
        <v>11.5</v>
      </c>
      <c r="Q1448" s="1">
        <v>1007.5</v>
      </c>
      <c r="R1448" s="1">
        <v>0</v>
      </c>
      <c r="S1448" s="1">
        <v>90.8</v>
      </c>
      <c r="T1448" s="5">
        <v>0.1076</v>
      </c>
      <c r="U1448" s="10">
        <v>-1E-3</v>
      </c>
    </row>
    <row r="1449" spans="1:21" customFormat="1">
      <c r="A1449">
        <v>1</v>
      </c>
      <c r="B1449">
        <v>32</v>
      </c>
      <c r="C1449">
        <v>29</v>
      </c>
      <c r="D1449">
        <v>11</v>
      </c>
      <c r="E1449">
        <v>2020</v>
      </c>
      <c r="F1449">
        <v>9101</v>
      </c>
      <c r="G1449" t="str">
        <f>VLOOKUP(F1449,'[1]Sheet 1'!$B$2:$E$347,2,FALSE)</f>
        <v>La Araucanía</v>
      </c>
      <c r="H1449" t="str">
        <f>VLOOKUP(F1449,'[1]Sheet 1'!$B$2:$E$347,3,FALSE)</f>
        <v>Cautín</v>
      </c>
      <c r="I1449" t="str">
        <f>VLOOKUP(F1449,'[1]Sheet 1'!$B$2:$E$347,4,FALSE)</f>
        <v>Temuco</v>
      </c>
      <c r="J1449" t="s">
        <v>136</v>
      </c>
      <c r="K1449" s="3" t="s">
        <v>0</v>
      </c>
      <c r="L1449" s="12" t="str">
        <f>VLOOKUP(K1449,[2]Hoja4!$A$2:$C$443,2,FALSE)</f>
        <v>Intentional self-harm by hanging, strangulation and suffocation</v>
      </c>
      <c r="M1449" s="12" t="str">
        <f>VLOOKUP(K1449,[2]Hoja4!$A$2:$C$443,3,FALSE)</f>
        <v>Unspecified place</v>
      </c>
      <c r="N1449" s="1">
        <v>2.2999999999999998</v>
      </c>
      <c r="O1449" s="1">
        <v>19.899999999999999</v>
      </c>
      <c r="P1449" s="1">
        <v>11.7</v>
      </c>
      <c r="Q1449" s="1">
        <v>1012.8</v>
      </c>
      <c r="R1449" s="1">
        <v>0</v>
      </c>
      <c r="S1449" s="1">
        <v>67.5</v>
      </c>
      <c r="T1449" s="5">
        <v>0.1076</v>
      </c>
      <c r="U1449" s="10">
        <v>-1E-3</v>
      </c>
    </row>
    <row r="1450" spans="1:21" customFormat="1">
      <c r="A1450">
        <v>2</v>
      </c>
      <c r="B1450">
        <v>34</v>
      </c>
      <c r="C1450">
        <v>29</v>
      </c>
      <c r="D1450">
        <v>11</v>
      </c>
      <c r="E1450">
        <v>2020</v>
      </c>
      <c r="F1450">
        <v>10208</v>
      </c>
      <c r="G1450" t="str">
        <f>VLOOKUP(F1450,'[1]Sheet 1'!$B$2:$E$347,2,FALSE)</f>
        <v>Los Lagos</v>
      </c>
      <c r="H1450" t="str">
        <f>VLOOKUP(F1450,'[1]Sheet 1'!$B$2:$E$347,3,FALSE)</f>
        <v>Chiloé</v>
      </c>
      <c r="I1450" t="str">
        <f>VLOOKUP(F1450,'[1]Sheet 1'!$B$2:$E$347,4,FALSE)</f>
        <v>Quellón</v>
      </c>
      <c r="J1450" t="s">
        <v>136</v>
      </c>
      <c r="K1450" s="3" t="s">
        <v>4</v>
      </c>
      <c r="L1450" s="12" t="str">
        <f>VLOOKUP(K1450,[2]Hoja4!$A$2:$C$443,2,FALSE)</f>
        <v>Intentional self-harm by hanging, strangulation and suffocation</v>
      </c>
      <c r="M1450" s="12" t="str">
        <f>VLOOKUP(K1450,[2]Hoja4!$A$2:$C$443,3,FALSE)</f>
        <v>At home</v>
      </c>
      <c r="N1450" s="1">
        <v>1.1000000000000001</v>
      </c>
      <c r="O1450" s="1">
        <v>13.8</v>
      </c>
      <c r="P1450" s="1">
        <v>8.1999999999999993</v>
      </c>
      <c r="Q1450" s="1">
        <v>1007.3</v>
      </c>
      <c r="R1450" s="1">
        <v>0.6</v>
      </c>
      <c r="S1450" s="1">
        <v>75.2</v>
      </c>
      <c r="T1450" s="5">
        <v>0.1076</v>
      </c>
      <c r="U1450" s="10">
        <v>-1E-3</v>
      </c>
    </row>
    <row r="1451" spans="1:21" customFormat="1">
      <c r="A1451">
        <v>1</v>
      </c>
      <c r="B1451">
        <v>71</v>
      </c>
      <c r="C1451">
        <v>30</v>
      </c>
      <c r="D1451">
        <v>11</v>
      </c>
      <c r="E1451">
        <v>2020</v>
      </c>
      <c r="F1451">
        <v>8110</v>
      </c>
      <c r="G1451" t="str">
        <f>VLOOKUP(F1451,'[1]Sheet 1'!$B$2:$E$347,2,FALSE)</f>
        <v>Biobío</v>
      </c>
      <c r="H1451" t="str">
        <f>VLOOKUP(F1451,'[1]Sheet 1'!$B$2:$E$347,3,FALSE)</f>
        <v>Concepción</v>
      </c>
      <c r="I1451" t="str">
        <f>VLOOKUP(F1451,'[1]Sheet 1'!$B$2:$E$347,4,FALSE)</f>
        <v>Talcahuano</v>
      </c>
      <c r="J1451" t="s">
        <v>136</v>
      </c>
      <c r="K1451" s="3" t="s">
        <v>4</v>
      </c>
      <c r="L1451" s="12" t="str">
        <f>VLOOKUP(K1451,[2]Hoja4!$A$2:$C$443,2,FALSE)</f>
        <v>Intentional self-harm by hanging, strangulation and suffocation</v>
      </c>
      <c r="M1451" s="12" t="str">
        <f>VLOOKUP(K1451,[2]Hoja4!$A$2:$C$443,3,FALSE)</f>
        <v>At home</v>
      </c>
      <c r="N1451" s="1">
        <v>8</v>
      </c>
      <c r="O1451" s="1">
        <v>20.8</v>
      </c>
      <c r="P1451" s="1">
        <v>14.6</v>
      </c>
      <c r="Q1451" s="1">
        <v>1015.3</v>
      </c>
      <c r="R1451" s="1">
        <v>0</v>
      </c>
      <c r="S1451" s="1">
        <v>60.8</v>
      </c>
      <c r="T1451" s="5">
        <v>0.1076</v>
      </c>
      <c r="U1451" s="10">
        <v>-1E-3</v>
      </c>
    </row>
    <row r="1452" spans="1:21" customFormat="1">
      <c r="A1452">
        <v>1</v>
      </c>
      <c r="B1452">
        <v>71</v>
      </c>
      <c r="C1452">
        <v>30</v>
      </c>
      <c r="D1452">
        <v>11</v>
      </c>
      <c r="E1452">
        <v>2020</v>
      </c>
      <c r="F1452">
        <v>8103</v>
      </c>
      <c r="G1452" t="str">
        <f>VLOOKUP(F1452,'[1]Sheet 1'!$B$2:$E$347,2,FALSE)</f>
        <v>Biobío</v>
      </c>
      <c r="H1452" t="str">
        <f>VLOOKUP(F1452,'[1]Sheet 1'!$B$2:$E$347,3,FALSE)</f>
        <v>Concepción</v>
      </c>
      <c r="I1452" t="str">
        <f>VLOOKUP(F1452,'[1]Sheet 1'!$B$2:$E$347,4,FALSE)</f>
        <v>Chiguayante</v>
      </c>
      <c r="J1452" t="s">
        <v>136</v>
      </c>
      <c r="K1452" s="3" t="s">
        <v>4</v>
      </c>
      <c r="L1452" s="12" t="str">
        <f>VLOOKUP(K1452,[2]Hoja4!$A$2:$C$443,2,FALSE)</f>
        <v>Intentional self-harm by hanging, strangulation and suffocation</v>
      </c>
      <c r="M1452" s="12" t="str">
        <f>VLOOKUP(K1452,[2]Hoja4!$A$2:$C$443,3,FALSE)</f>
        <v>At home</v>
      </c>
      <c r="N1452" s="1">
        <v>8</v>
      </c>
      <c r="O1452" s="1">
        <v>20.8</v>
      </c>
      <c r="P1452" s="1">
        <v>14.6</v>
      </c>
      <c r="Q1452" s="1">
        <v>1015.3</v>
      </c>
      <c r="R1452" s="1">
        <v>0</v>
      </c>
      <c r="S1452" s="1">
        <v>60.8</v>
      </c>
      <c r="T1452" s="5">
        <v>0.1076</v>
      </c>
      <c r="U1452" s="10">
        <v>-1E-3</v>
      </c>
    </row>
    <row r="1453" spans="1:21" customFormat="1">
      <c r="A1453">
        <v>1</v>
      </c>
      <c r="B1453">
        <v>65</v>
      </c>
      <c r="C1453">
        <v>30</v>
      </c>
      <c r="D1453">
        <v>11</v>
      </c>
      <c r="E1453">
        <v>2020</v>
      </c>
      <c r="F1453">
        <v>5802</v>
      </c>
      <c r="G1453" t="str">
        <f>VLOOKUP(F1453,'[1]Sheet 1'!$B$2:$E$347,2,FALSE)</f>
        <v>Valparaíso</v>
      </c>
      <c r="H1453" t="str">
        <f>VLOOKUP(F1453,'[1]Sheet 1'!$B$2:$E$347,3,FALSE)</f>
        <v>Marga Marga</v>
      </c>
      <c r="I1453" t="str">
        <f>VLOOKUP(F1453,'[1]Sheet 1'!$B$2:$E$347,4,FALSE)</f>
        <v>Limache</v>
      </c>
      <c r="J1453" t="s">
        <v>136</v>
      </c>
      <c r="K1453" s="3" t="s">
        <v>0</v>
      </c>
      <c r="L1453" s="12" t="str">
        <f>VLOOKUP(K1453,[2]Hoja4!$A$2:$C$443,2,FALSE)</f>
        <v>Intentional self-harm by hanging, strangulation and suffocation</v>
      </c>
      <c r="M1453" s="12" t="str">
        <f>VLOOKUP(K1453,[2]Hoja4!$A$2:$C$443,3,FALSE)</f>
        <v>Unspecified place</v>
      </c>
      <c r="N1453" s="1">
        <v>7.8</v>
      </c>
      <c r="O1453" s="1">
        <v>30.9</v>
      </c>
      <c r="P1453" s="1">
        <v>18</v>
      </c>
      <c r="Q1453" s="1">
        <v>1010.3</v>
      </c>
      <c r="R1453" s="1">
        <v>0</v>
      </c>
      <c r="S1453" s="1">
        <v>54.6</v>
      </c>
      <c r="T1453" s="5">
        <v>0.1076</v>
      </c>
      <c r="U1453" s="10">
        <v>-1E-3</v>
      </c>
    </row>
    <row r="1454" spans="1:21" customFormat="1">
      <c r="A1454">
        <v>1</v>
      </c>
      <c r="B1454">
        <v>38</v>
      </c>
      <c r="C1454">
        <v>30</v>
      </c>
      <c r="D1454">
        <v>11</v>
      </c>
      <c r="E1454">
        <v>2020</v>
      </c>
      <c r="F1454">
        <v>12101</v>
      </c>
      <c r="G1454" t="str">
        <f>VLOOKUP(F1454,'[1]Sheet 1'!$B$2:$E$347,2,FALSE)</f>
        <v>Magallanes y de la Antártica Chilena</v>
      </c>
      <c r="H1454" t="str">
        <f>VLOOKUP(F1454,'[1]Sheet 1'!$B$2:$E$347,3,FALSE)</f>
        <v>Magallanes</v>
      </c>
      <c r="I1454" t="str">
        <f>VLOOKUP(F1454,'[1]Sheet 1'!$B$2:$E$347,4,FALSE)</f>
        <v>Punta Arenas</v>
      </c>
      <c r="J1454" t="s">
        <v>136</v>
      </c>
      <c r="K1454" s="3" t="s">
        <v>0</v>
      </c>
      <c r="L1454" s="12" t="str">
        <f>VLOOKUP(K1454,[2]Hoja4!$A$2:$C$443,2,FALSE)</f>
        <v>Intentional self-harm by hanging, strangulation and suffocation</v>
      </c>
      <c r="M1454" s="12" t="str">
        <f>VLOOKUP(K1454,[2]Hoja4!$A$2:$C$443,3,FALSE)</f>
        <v>Unspecified place</v>
      </c>
      <c r="N1454" s="1">
        <v>8.6</v>
      </c>
      <c r="O1454" s="1">
        <v>15.4</v>
      </c>
      <c r="P1454" s="1">
        <v>11.3</v>
      </c>
      <c r="Q1454" s="1">
        <v>984.7</v>
      </c>
      <c r="R1454" s="1">
        <v>0.8</v>
      </c>
      <c r="S1454" s="1">
        <v>57.8</v>
      </c>
      <c r="T1454" s="5">
        <v>0.1076</v>
      </c>
      <c r="U1454" s="10">
        <v>-1E-3</v>
      </c>
    </row>
    <row r="1455" spans="1:21">
      <c r="A1455" s="4">
        <v>1</v>
      </c>
      <c r="B1455" s="4">
        <v>31</v>
      </c>
      <c r="C1455" s="4">
        <v>30</v>
      </c>
      <c r="D1455" s="4">
        <v>11</v>
      </c>
      <c r="E1455" s="4">
        <v>2020</v>
      </c>
      <c r="F1455" s="4">
        <v>10402</v>
      </c>
      <c r="G1455" s="4" t="str">
        <f>VLOOKUP(F1455,'[1]Sheet 1'!$B$2:$E$347,2,FALSE)</f>
        <v>Los Lagos</v>
      </c>
      <c r="H1455" s="4" t="str">
        <f>VLOOKUP(F1455,'[1]Sheet 1'!$B$2:$E$347,3,FALSE)</f>
        <v>Palena</v>
      </c>
      <c r="I1455" s="4" t="str">
        <f>VLOOKUP(F1455,'[1]Sheet 1'!$B$2:$E$347,4,FALSE)</f>
        <v>Futaleufú</v>
      </c>
      <c r="J1455" s="4" t="s">
        <v>148</v>
      </c>
      <c r="K1455" s="3" t="s">
        <v>6</v>
      </c>
      <c r="L1455" s="12" t="str">
        <f>VLOOKUP(K1455,[2]Hoja4!$A$2:$C$443,2,FALSE)</f>
        <v>Intentional self-harm by sharp object</v>
      </c>
      <c r="M1455" s="12" t="str">
        <f>VLOOKUP(K1455,[2]Hoja4!$A$2:$C$443,3,FALSE)</f>
        <v>At home</v>
      </c>
      <c r="N1455" s="1">
        <v>5.9</v>
      </c>
      <c r="O1455" s="1">
        <v>17</v>
      </c>
      <c r="P1455" s="1">
        <v>11.3</v>
      </c>
      <c r="Q1455" s="1">
        <v>989</v>
      </c>
      <c r="R1455" s="1">
        <v>0</v>
      </c>
      <c r="S1455" s="1">
        <v>48</v>
      </c>
      <c r="T1455" s="5">
        <v>0.1076</v>
      </c>
      <c r="U1455" s="10">
        <v>-1E-3</v>
      </c>
    </row>
    <row r="1456" spans="1:21" customFormat="1">
      <c r="A1456">
        <v>1</v>
      </c>
      <c r="B1456">
        <v>29</v>
      </c>
      <c r="C1456">
        <v>1</v>
      </c>
      <c r="D1456">
        <v>12</v>
      </c>
      <c r="E1456">
        <v>2020</v>
      </c>
      <c r="F1456">
        <v>9101</v>
      </c>
      <c r="G1456" t="str">
        <f>VLOOKUP(F1456,'[1]Sheet 1'!$B$2:$E$347,2,FALSE)</f>
        <v>La Araucanía</v>
      </c>
      <c r="H1456" t="str">
        <f>VLOOKUP(F1456,'[1]Sheet 1'!$B$2:$E$347,3,FALSE)</f>
        <v>Cautín</v>
      </c>
      <c r="I1456" t="str">
        <f>VLOOKUP(F1456,'[1]Sheet 1'!$B$2:$E$347,4,FALSE)</f>
        <v>Temuco</v>
      </c>
      <c r="J1456" t="s">
        <v>136</v>
      </c>
      <c r="K1456" s="3" t="s">
        <v>0</v>
      </c>
      <c r="L1456" s="12" t="str">
        <f>VLOOKUP(K1456,[2]Hoja4!$A$2:$C$443,2,FALSE)</f>
        <v>Intentional self-harm by hanging, strangulation and suffocation</v>
      </c>
      <c r="M1456" s="12" t="str">
        <f>VLOOKUP(K1456,[2]Hoja4!$A$2:$C$443,3,FALSE)</f>
        <v>Unspecified place</v>
      </c>
      <c r="N1456" s="1">
        <v>4.2</v>
      </c>
      <c r="O1456" s="1">
        <v>18.600000000000001</v>
      </c>
      <c r="P1456" s="1">
        <v>11.8</v>
      </c>
      <c r="Q1456" s="1">
        <v>1006.7</v>
      </c>
      <c r="R1456" s="1">
        <v>0</v>
      </c>
      <c r="S1456" s="1">
        <v>83.8</v>
      </c>
      <c r="T1456" s="5">
        <v>0.10290000000000001</v>
      </c>
      <c r="U1456" s="10">
        <v>3.0000000000000001E-3</v>
      </c>
    </row>
    <row r="1457" spans="1:21" customFormat="1">
      <c r="A1457">
        <v>1</v>
      </c>
      <c r="B1457">
        <v>64</v>
      </c>
      <c r="C1457">
        <v>1</v>
      </c>
      <c r="D1457">
        <v>12</v>
      </c>
      <c r="E1457">
        <v>2020</v>
      </c>
      <c r="F1457">
        <v>7102</v>
      </c>
      <c r="G1457" t="str">
        <f>VLOOKUP(F1457,'[1]Sheet 1'!$B$2:$E$347,2,FALSE)</f>
        <v>Maule</v>
      </c>
      <c r="H1457" t="str">
        <f>VLOOKUP(F1457,'[1]Sheet 1'!$B$2:$E$347,3,FALSE)</f>
        <v>Talca</v>
      </c>
      <c r="I1457" t="str">
        <f>VLOOKUP(F1457,'[1]Sheet 1'!$B$2:$E$347,4,FALSE)</f>
        <v>Constitución</v>
      </c>
      <c r="J1457" t="s">
        <v>165</v>
      </c>
      <c r="K1457" s="3" t="s">
        <v>5</v>
      </c>
      <c r="L1457" s="12" t="str">
        <f>VLOOKUP(K1457,[2]Hoja4!$A$2:$C$443,2,FALSE)</f>
        <v>Intentional self-harm by other and unspecified firearm discharge</v>
      </c>
      <c r="M1457" s="12" t="str">
        <f>VLOOKUP(K1457,[2]Hoja4!$A$2:$C$443,3,FALSE)</f>
        <v>At home</v>
      </c>
      <c r="N1457" s="1">
        <v>13</v>
      </c>
      <c r="O1457" s="1">
        <v>27.9</v>
      </c>
      <c r="P1457" s="1">
        <v>20.8</v>
      </c>
      <c r="Q1457" s="1">
        <v>1001.4</v>
      </c>
      <c r="R1457" s="1">
        <v>0</v>
      </c>
      <c r="S1457" s="1">
        <v>52</v>
      </c>
      <c r="T1457" s="5">
        <v>0.10290000000000001</v>
      </c>
      <c r="U1457" s="10">
        <v>3.0000000000000001E-3</v>
      </c>
    </row>
    <row r="1458" spans="1:21" customFormat="1">
      <c r="A1458">
        <v>1</v>
      </c>
      <c r="B1458">
        <v>42</v>
      </c>
      <c r="C1458">
        <v>1</v>
      </c>
      <c r="D1458">
        <v>12</v>
      </c>
      <c r="E1458">
        <v>2020</v>
      </c>
      <c r="F1458">
        <v>13119</v>
      </c>
      <c r="G1458" t="str">
        <f>VLOOKUP(F1458,'[1]Sheet 1'!$B$2:$E$347,2,FALSE)</f>
        <v>Metropolitana de Santiago</v>
      </c>
      <c r="H1458" t="str">
        <f>VLOOKUP(F1458,'[1]Sheet 1'!$B$2:$E$347,3,FALSE)</f>
        <v>Santiago</v>
      </c>
      <c r="I1458" t="str">
        <f>VLOOKUP(F1458,'[1]Sheet 1'!$B$2:$E$347,4,FALSE)</f>
        <v>Maipú</v>
      </c>
      <c r="J1458" t="s">
        <v>136</v>
      </c>
      <c r="K1458" s="3" t="s">
        <v>0</v>
      </c>
      <c r="L1458" s="12" t="str">
        <f>VLOOKUP(K1458,[2]Hoja4!$A$2:$C$443,2,FALSE)</f>
        <v>Intentional self-harm by hanging, strangulation and suffocation</v>
      </c>
      <c r="M1458" s="12" t="str">
        <f>VLOOKUP(K1458,[2]Hoja4!$A$2:$C$443,3,FALSE)</f>
        <v>Unspecified place</v>
      </c>
      <c r="N1458" s="1">
        <v>12.2</v>
      </c>
      <c r="O1458" s="1">
        <v>29.3</v>
      </c>
      <c r="P1458" s="1">
        <v>20.6</v>
      </c>
      <c r="Q1458" s="1">
        <v>954.4</v>
      </c>
      <c r="R1458" s="1"/>
      <c r="S1458" s="1">
        <v>41</v>
      </c>
      <c r="T1458" s="5">
        <v>0.10290000000000001</v>
      </c>
      <c r="U1458" s="10">
        <v>3.0000000000000001E-3</v>
      </c>
    </row>
    <row r="1459" spans="1:21" customFormat="1">
      <c r="A1459">
        <v>1</v>
      </c>
      <c r="B1459">
        <v>26</v>
      </c>
      <c r="C1459">
        <v>1</v>
      </c>
      <c r="D1459">
        <v>12</v>
      </c>
      <c r="E1459">
        <v>2020</v>
      </c>
      <c r="F1459">
        <v>12401</v>
      </c>
      <c r="G1459" t="str">
        <f>VLOOKUP(F1459,'[1]Sheet 1'!$B$2:$E$347,2,FALSE)</f>
        <v>Magallanes y de la Antártica Chilena</v>
      </c>
      <c r="H1459" t="str">
        <f>VLOOKUP(F1459,'[1]Sheet 1'!$B$2:$E$347,3,FALSE)</f>
        <v>Última Esperanza</v>
      </c>
      <c r="I1459" t="str">
        <f>VLOOKUP(F1459,'[1]Sheet 1'!$B$2:$E$347,4,FALSE)</f>
        <v>Natales</v>
      </c>
      <c r="J1459" t="s">
        <v>136</v>
      </c>
      <c r="K1459" s="3" t="s">
        <v>4</v>
      </c>
      <c r="L1459" s="12" t="str">
        <f>VLOOKUP(K1459,[2]Hoja4!$A$2:$C$443,2,FALSE)</f>
        <v>Intentional self-harm by hanging, strangulation and suffocation</v>
      </c>
      <c r="M1459" s="12" t="str">
        <f>VLOOKUP(K1459,[2]Hoja4!$A$2:$C$443,3,FALSE)</f>
        <v>At home</v>
      </c>
      <c r="N1459" s="1">
        <v>4.0999999999999996</v>
      </c>
      <c r="O1459" s="1">
        <v>9.1999999999999993</v>
      </c>
      <c r="P1459" s="1">
        <v>6.1</v>
      </c>
      <c r="Q1459" s="1">
        <v>986.7</v>
      </c>
      <c r="R1459" s="1">
        <v>9.1</v>
      </c>
      <c r="S1459" s="1">
        <v>71.099999999999994</v>
      </c>
      <c r="T1459" s="5">
        <v>0.10290000000000001</v>
      </c>
      <c r="U1459" s="10">
        <v>3.0000000000000001E-3</v>
      </c>
    </row>
    <row r="1460" spans="1:21" customFormat="1">
      <c r="A1460">
        <v>1</v>
      </c>
      <c r="B1460">
        <v>43</v>
      </c>
      <c r="C1460">
        <v>1</v>
      </c>
      <c r="D1460">
        <v>12</v>
      </c>
      <c r="E1460">
        <v>2020</v>
      </c>
      <c r="F1460">
        <v>8309</v>
      </c>
      <c r="G1460" t="str">
        <f>VLOOKUP(F1460,'[1]Sheet 1'!$B$2:$E$347,2,FALSE)</f>
        <v>Biobío</v>
      </c>
      <c r="H1460" t="str">
        <f>VLOOKUP(F1460,'[1]Sheet 1'!$B$2:$E$347,3,FALSE)</f>
        <v>Biobío</v>
      </c>
      <c r="I1460" t="str">
        <f>VLOOKUP(F1460,'[1]Sheet 1'!$B$2:$E$347,4,FALSE)</f>
        <v>Quilleco</v>
      </c>
      <c r="J1460" t="s">
        <v>136</v>
      </c>
      <c r="K1460" s="3" t="s">
        <v>0</v>
      </c>
      <c r="L1460" s="12" t="str">
        <f>VLOOKUP(K1460,[2]Hoja4!$A$2:$C$443,2,FALSE)</f>
        <v>Intentional self-harm by hanging, strangulation and suffocation</v>
      </c>
      <c r="M1460" s="12" t="str">
        <f>VLOOKUP(K1460,[2]Hoja4!$A$2:$C$443,3,FALSE)</f>
        <v>Unspecified place</v>
      </c>
      <c r="N1460" s="1">
        <v>9.4</v>
      </c>
      <c r="O1460" s="1">
        <v>25.7</v>
      </c>
      <c r="P1460" s="1">
        <v>17.600000000000001</v>
      </c>
      <c r="Q1460" s="1">
        <v>1002.3</v>
      </c>
      <c r="R1460" s="1">
        <v>0</v>
      </c>
      <c r="S1460" s="1">
        <v>53.5</v>
      </c>
      <c r="T1460" s="5">
        <v>0.10290000000000001</v>
      </c>
      <c r="U1460" s="10">
        <v>3.0000000000000001E-3</v>
      </c>
    </row>
    <row r="1461" spans="1:21" customFormat="1">
      <c r="A1461">
        <v>1</v>
      </c>
      <c r="B1461">
        <v>73</v>
      </c>
      <c r="C1461">
        <v>2</v>
      </c>
      <c r="D1461">
        <v>12</v>
      </c>
      <c r="E1461">
        <v>2020</v>
      </c>
      <c r="F1461">
        <v>13119</v>
      </c>
      <c r="G1461" t="str">
        <f>VLOOKUP(F1461,'[1]Sheet 1'!$B$2:$E$347,2,FALSE)</f>
        <v>Metropolitana de Santiago</v>
      </c>
      <c r="H1461" t="str">
        <f>VLOOKUP(F1461,'[1]Sheet 1'!$B$2:$E$347,3,FALSE)</f>
        <v>Santiago</v>
      </c>
      <c r="I1461" t="str">
        <f>VLOOKUP(F1461,'[1]Sheet 1'!$B$2:$E$347,4,FALSE)</f>
        <v>Maipú</v>
      </c>
      <c r="J1461" t="s">
        <v>136</v>
      </c>
      <c r="K1461" s="3" t="s">
        <v>0</v>
      </c>
      <c r="L1461" s="12" t="str">
        <f>VLOOKUP(K1461,[2]Hoja4!$A$2:$C$443,2,FALSE)</f>
        <v>Intentional self-harm by hanging, strangulation and suffocation</v>
      </c>
      <c r="M1461" s="12" t="str">
        <f>VLOOKUP(K1461,[2]Hoja4!$A$2:$C$443,3,FALSE)</f>
        <v>Unspecified place</v>
      </c>
      <c r="N1461" s="1">
        <v>9.8000000000000007</v>
      </c>
      <c r="O1461" s="1">
        <v>28.8</v>
      </c>
      <c r="P1461" s="1">
        <v>18.100000000000001</v>
      </c>
      <c r="Q1461" s="1">
        <v>955.9</v>
      </c>
      <c r="R1461" s="1"/>
      <c r="S1461" s="1">
        <v>53.2</v>
      </c>
      <c r="T1461" s="5">
        <v>0.10290000000000001</v>
      </c>
      <c r="U1461" s="10">
        <v>3.0000000000000001E-3</v>
      </c>
    </row>
    <row r="1462" spans="1:21" customFormat="1">
      <c r="A1462">
        <v>1</v>
      </c>
      <c r="B1462">
        <v>73</v>
      </c>
      <c r="C1462">
        <v>2</v>
      </c>
      <c r="D1462">
        <v>12</v>
      </c>
      <c r="E1462">
        <v>2020</v>
      </c>
      <c r="F1462">
        <v>14103</v>
      </c>
      <c r="G1462" t="str">
        <f>VLOOKUP(F1462,'[1]Sheet 1'!$B$2:$E$347,2,FALSE)</f>
        <v>Los Ríos</v>
      </c>
      <c r="H1462" t="str">
        <f>VLOOKUP(F1462,'[1]Sheet 1'!$B$2:$E$347,3,FALSE)</f>
        <v>Valdivia</v>
      </c>
      <c r="I1462" t="str">
        <f>VLOOKUP(F1462,'[1]Sheet 1'!$B$2:$E$347,4,FALSE)</f>
        <v>Lanco</v>
      </c>
      <c r="J1462" t="s">
        <v>136</v>
      </c>
      <c r="K1462" s="3" t="s">
        <v>0</v>
      </c>
      <c r="L1462" s="12" t="str">
        <f>VLOOKUP(K1462,[2]Hoja4!$A$2:$C$443,2,FALSE)</f>
        <v>Intentional self-harm by hanging, strangulation and suffocation</v>
      </c>
      <c r="M1462" s="12" t="str">
        <f>VLOOKUP(K1462,[2]Hoja4!$A$2:$C$443,3,FALSE)</f>
        <v>Unspecified place</v>
      </c>
      <c r="N1462" s="1">
        <v>10.4</v>
      </c>
      <c r="O1462" s="1">
        <v>19.600000000000001</v>
      </c>
      <c r="P1462" s="1">
        <v>14.1</v>
      </c>
      <c r="Q1462" s="1">
        <v>1018.7</v>
      </c>
      <c r="R1462" s="1">
        <v>0</v>
      </c>
      <c r="S1462" s="1">
        <v>73.8</v>
      </c>
      <c r="T1462" s="5">
        <v>0.10290000000000001</v>
      </c>
      <c r="U1462" s="10">
        <v>3.0000000000000001E-3</v>
      </c>
    </row>
    <row r="1463" spans="1:21" customFormat="1">
      <c r="A1463">
        <v>1</v>
      </c>
      <c r="B1463">
        <v>62</v>
      </c>
      <c r="C1463">
        <v>2</v>
      </c>
      <c r="D1463">
        <v>12</v>
      </c>
      <c r="E1463">
        <v>2020</v>
      </c>
      <c r="F1463">
        <v>16108</v>
      </c>
      <c r="G1463" t="str">
        <f>VLOOKUP(F1463,'[1]Sheet 1'!$B$2:$E$347,2,FALSE)</f>
        <v>Ñuble</v>
      </c>
      <c r="H1463" t="str">
        <f>VLOOKUP(F1463,'[1]Sheet 1'!$B$2:$E$347,3,FALSE)</f>
        <v>Diguillín</v>
      </c>
      <c r="I1463" t="str">
        <f>VLOOKUP(F1463,'[1]Sheet 1'!$B$2:$E$347,4,FALSE)</f>
        <v>San Ignacio</v>
      </c>
      <c r="J1463" t="s">
        <v>136</v>
      </c>
      <c r="K1463" s="3" t="s">
        <v>0</v>
      </c>
      <c r="L1463" s="12" t="str">
        <f>VLOOKUP(K1463,[2]Hoja4!$A$2:$C$443,2,FALSE)</f>
        <v>Intentional self-harm by hanging, strangulation and suffocation</v>
      </c>
      <c r="M1463" s="12" t="str">
        <f>VLOOKUP(K1463,[2]Hoja4!$A$2:$C$443,3,FALSE)</f>
        <v>Unspecified place</v>
      </c>
      <c r="N1463" s="1">
        <v>8.6</v>
      </c>
      <c r="O1463" s="1">
        <v>26.2</v>
      </c>
      <c r="P1463" s="1">
        <v>17.2</v>
      </c>
      <c r="Q1463" s="1">
        <v>999.8</v>
      </c>
      <c r="R1463" s="1">
        <v>0</v>
      </c>
      <c r="S1463" s="1">
        <v>52.8</v>
      </c>
      <c r="T1463" s="5">
        <v>0.10290000000000001</v>
      </c>
      <c r="U1463" s="10">
        <v>3.0000000000000001E-3</v>
      </c>
    </row>
    <row r="1464" spans="1:21" customFormat="1">
      <c r="A1464">
        <v>2</v>
      </c>
      <c r="B1464">
        <v>38</v>
      </c>
      <c r="C1464">
        <v>2</v>
      </c>
      <c r="D1464">
        <v>12</v>
      </c>
      <c r="E1464">
        <v>2020</v>
      </c>
      <c r="F1464">
        <v>13201</v>
      </c>
      <c r="G1464" t="str">
        <f>VLOOKUP(F1464,'[1]Sheet 1'!$B$2:$E$347,2,FALSE)</f>
        <v>Metropolitana de Santiago</v>
      </c>
      <c r="H1464" t="str">
        <f>VLOOKUP(F1464,'[1]Sheet 1'!$B$2:$E$347,3,FALSE)</f>
        <v>Cordillera</v>
      </c>
      <c r="I1464" t="str">
        <f>VLOOKUP(F1464,'[1]Sheet 1'!$B$2:$E$347,4,FALSE)</f>
        <v>Puente Alto</v>
      </c>
      <c r="J1464" t="s">
        <v>136</v>
      </c>
      <c r="K1464" s="3" t="s">
        <v>0</v>
      </c>
      <c r="L1464" s="12" t="str">
        <f>VLOOKUP(K1464,[2]Hoja4!$A$2:$C$443,2,FALSE)</f>
        <v>Intentional self-harm by hanging, strangulation and suffocation</v>
      </c>
      <c r="M1464" s="12" t="str">
        <f>VLOOKUP(K1464,[2]Hoja4!$A$2:$C$443,3,FALSE)</f>
        <v>Unspecified place</v>
      </c>
      <c r="N1464" s="1">
        <v>5.8</v>
      </c>
      <c r="O1464" s="1">
        <v>17.8</v>
      </c>
      <c r="P1464" s="1">
        <v>11.8</v>
      </c>
      <c r="Q1464" s="1">
        <v>940.7</v>
      </c>
      <c r="R1464" s="1">
        <v>0</v>
      </c>
      <c r="S1464" s="1">
        <v>86.8</v>
      </c>
      <c r="T1464" s="5">
        <v>0.10290000000000001</v>
      </c>
      <c r="U1464" s="10">
        <v>3.0000000000000001E-3</v>
      </c>
    </row>
    <row r="1465" spans="1:21" customFormat="1">
      <c r="A1465">
        <v>1</v>
      </c>
      <c r="B1465">
        <v>23</v>
      </c>
      <c r="C1465">
        <v>2</v>
      </c>
      <c r="D1465">
        <v>12</v>
      </c>
      <c r="E1465">
        <v>2020</v>
      </c>
      <c r="F1465">
        <v>4301</v>
      </c>
      <c r="G1465" t="str">
        <f>VLOOKUP(F1465,'[1]Sheet 1'!$B$2:$E$347,2,FALSE)</f>
        <v>Coquimbo</v>
      </c>
      <c r="H1465" t="str">
        <f>VLOOKUP(F1465,'[1]Sheet 1'!$B$2:$E$347,3,FALSE)</f>
        <v>Limarí</v>
      </c>
      <c r="I1465" t="str">
        <f>VLOOKUP(F1465,'[1]Sheet 1'!$B$2:$E$347,4,FALSE)</f>
        <v>Ovalle</v>
      </c>
      <c r="J1465" t="s">
        <v>142</v>
      </c>
      <c r="K1465" s="3" t="s">
        <v>11</v>
      </c>
      <c r="L1465" s="12" t="str">
        <f>VLOOKUP(K1465,[2]Hoja4!$A$2:$C$443,2,FALSE)</f>
        <v>Intentional self-harm by other and unspecified firearm discharge</v>
      </c>
      <c r="M1465" s="12" t="str">
        <f>VLOOKUP(K1465,[2]Hoja4!$A$2:$C$443,3,FALSE)</f>
        <v>Unspecified place</v>
      </c>
      <c r="N1465" s="1"/>
      <c r="O1465" s="1"/>
      <c r="P1465" s="1"/>
      <c r="Q1465" s="1"/>
      <c r="R1465" s="1"/>
      <c r="S1465" s="1"/>
      <c r="T1465" s="5">
        <v>0.10290000000000001</v>
      </c>
      <c r="U1465" s="10">
        <v>3.0000000000000001E-3</v>
      </c>
    </row>
    <row r="1466" spans="1:21" customFormat="1">
      <c r="A1466">
        <v>1</v>
      </c>
      <c r="B1466">
        <v>66</v>
      </c>
      <c r="C1466">
        <v>3</v>
      </c>
      <c r="D1466">
        <v>12</v>
      </c>
      <c r="E1466">
        <v>2020</v>
      </c>
      <c r="F1466">
        <v>13127</v>
      </c>
      <c r="G1466" t="str">
        <f>VLOOKUP(F1466,'[1]Sheet 1'!$B$2:$E$347,2,FALSE)</f>
        <v>Metropolitana de Santiago</v>
      </c>
      <c r="H1466" t="str">
        <f>VLOOKUP(F1466,'[1]Sheet 1'!$B$2:$E$347,3,FALSE)</f>
        <v>Santiago</v>
      </c>
      <c r="I1466" t="str">
        <f>VLOOKUP(F1466,'[1]Sheet 1'!$B$2:$E$347,4,FALSE)</f>
        <v>Recoleta</v>
      </c>
      <c r="J1466" t="s">
        <v>142</v>
      </c>
      <c r="K1466" s="3" t="s">
        <v>9</v>
      </c>
      <c r="L1466" s="12" t="str">
        <f>VLOOKUP(K1466,[2]Hoja4!$A$2:$C$443,2,FALSE)</f>
        <v>Intentional self-harm by jumping from a high place</v>
      </c>
      <c r="M1466" s="12" t="str">
        <f>VLOOKUP(K1466,[2]Hoja4!$A$2:$C$443,3,FALSE)</f>
        <v>Unspecified place</v>
      </c>
      <c r="N1466" s="1">
        <v>11.3</v>
      </c>
      <c r="O1466" s="1">
        <v>30.5</v>
      </c>
      <c r="P1466" s="1">
        <v>20.9</v>
      </c>
      <c r="Q1466" s="1">
        <v>953.7</v>
      </c>
      <c r="R1466" s="1"/>
      <c r="S1466" s="1">
        <v>38</v>
      </c>
      <c r="T1466" s="5">
        <v>0.10290000000000001</v>
      </c>
      <c r="U1466" s="10">
        <v>3.0000000000000001E-3</v>
      </c>
    </row>
    <row r="1467" spans="1:21" customFormat="1">
      <c r="A1467">
        <v>1</v>
      </c>
      <c r="B1467">
        <v>57</v>
      </c>
      <c r="C1467">
        <v>3</v>
      </c>
      <c r="D1467">
        <v>12</v>
      </c>
      <c r="E1467">
        <v>2020</v>
      </c>
      <c r="F1467">
        <v>10101</v>
      </c>
      <c r="G1467" t="str">
        <f>VLOOKUP(F1467,'[1]Sheet 1'!$B$2:$E$347,2,FALSE)</f>
        <v>Los Lagos</v>
      </c>
      <c r="H1467" t="str">
        <f>VLOOKUP(F1467,'[1]Sheet 1'!$B$2:$E$347,3,FALSE)</f>
        <v>Llanquihue</v>
      </c>
      <c r="I1467" t="str">
        <f>VLOOKUP(F1467,'[1]Sheet 1'!$B$2:$E$347,4,FALSE)</f>
        <v>Puerto Montt</v>
      </c>
      <c r="J1467" t="s">
        <v>136</v>
      </c>
      <c r="K1467" s="3" t="s">
        <v>0</v>
      </c>
      <c r="L1467" s="12" t="str">
        <f>VLOOKUP(K1467,[2]Hoja4!$A$2:$C$443,2,FALSE)</f>
        <v>Intentional self-harm by hanging, strangulation and suffocation</v>
      </c>
      <c r="M1467" s="12" t="str">
        <f>VLOOKUP(K1467,[2]Hoja4!$A$2:$C$443,3,FALSE)</f>
        <v>Unspecified place</v>
      </c>
      <c r="N1467" s="1">
        <v>5.0999999999999996</v>
      </c>
      <c r="O1467" s="1">
        <v>16.3</v>
      </c>
      <c r="P1467" s="1">
        <v>10.5</v>
      </c>
      <c r="Q1467" s="1">
        <v>1013.9</v>
      </c>
      <c r="R1467" s="1">
        <v>0</v>
      </c>
      <c r="S1467" s="1">
        <v>65</v>
      </c>
      <c r="T1467" s="5">
        <v>0.10290000000000001</v>
      </c>
      <c r="U1467" s="10">
        <v>3.0000000000000001E-3</v>
      </c>
    </row>
    <row r="1468" spans="1:21" customFormat="1">
      <c r="A1468">
        <v>1</v>
      </c>
      <c r="B1468">
        <v>45</v>
      </c>
      <c r="C1468">
        <v>3</v>
      </c>
      <c r="D1468">
        <v>12</v>
      </c>
      <c r="E1468">
        <v>2020</v>
      </c>
      <c r="F1468">
        <v>16109</v>
      </c>
      <c r="G1468" t="str">
        <f>VLOOKUP(F1468,'[1]Sheet 1'!$B$2:$E$347,2,FALSE)</f>
        <v>Ñuble</v>
      </c>
      <c r="H1468" t="str">
        <f>VLOOKUP(F1468,'[1]Sheet 1'!$B$2:$E$347,3,FALSE)</f>
        <v>Diguillín</v>
      </c>
      <c r="I1468" t="str">
        <f>VLOOKUP(F1468,'[1]Sheet 1'!$B$2:$E$347,4,FALSE)</f>
        <v>Yungay</v>
      </c>
      <c r="J1468" t="s">
        <v>176</v>
      </c>
      <c r="K1468" s="3" t="s">
        <v>6</v>
      </c>
      <c r="L1468" s="12" t="str">
        <f>VLOOKUP(K1468,[2]Hoja4!$A$2:$C$443,2,FALSE)</f>
        <v>Intentional self-harm by sharp object</v>
      </c>
      <c r="M1468" s="12" t="str">
        <f>VLOOKUP(K1468,[2]Hoja4!$A$2:$C$443,3,FALSE)</f>
        <v>At home</v>
      </c>
      <c r="N1468" s="1">
        <v>8.4</v>
      </c>
      <c r="O1468" s="1">
        <v>25.6</v>
      </c>
      <c r="P1468" s="1">
        <v>17.100000000000001</v>
      </c>
      <c r="Q1468" s="1">
        <v>998.8</v>
      </c>
      <c r="R1468" s="1">
        <v>0</v>
      </c>
      <c r="S1468" s="1">
        <v>46</v>
      </c>
      <c r="T1468" s="5">
        <v>0.10290000000000001</v>
      </c>
      <c r="U1468" s="10">
        <v>3.0000000000000001E-3</v>
      </c>
    </row>
    <row r="1469" spans="1:21" customFormat="1">
      <c r="A1469">
        <v>1</v>
      </c>
      <c r="B1469">
        <v>42</v>
      </c>
      <c r="C1469">
        <v>3</v>
      </c>
      <c r="D1469">
        <v>12</v>
      </c>
      <c r="E1469">
        <v>2020</v>
      </c>
      <c r="F1469">
        <v>13501</v>
      </c>
      <c r="G1469" t="str">
        <f>VLOOKUP(F1469,'[1]Sheet 1'!$B$2:$E$347,2,FALSE)</f>
        <v>Metropolitana de Santiago</v>
      </c>
      <c r="H1469" t="str">
        <f>VLOOKUP(F1469,'[1]Sheet 1'!$B$2:$E$347,3,FALSE)</f>
        <v>Melipilla</v>
      </c>
      <c r="I1469" t="str">
        <f>VLOOKUP(F1469,'[1]Sheet 1'!$B$2:$E$347,4,FALSE)</f>
        <v>Melipilla</v>
      </c>
      <c r="J1469" t="s">
        <v>136</v>
      </c>
      <c r="K1469" s="3" t="s">
        <v>4</v>
      </c>
      <c r="L1469" s="12" t="str">
        <f>VLOOKUP(K1469,[2]Hoja4!$A$2:$C$443,2,FALSE)</f>
        <v>Intentional self-harm by hanging, strangulation and suffocation</v>
      </c>
      <c r="M1469" s="12" t="str">
        <f>VLOOKUP(K1469,[2]Hoja4!$A$2:$C$443,3,FALSE)</f>
        <v>At home</v>
      </c>
      <c r="N1469" s="1"/>
      <c r="O1469" s="1"/>
      <c r="P1469" s="1"/>
      <c r="Q1469" s="1"/>
      <c r="R1469" s="1">
        <v>0</v>
      </c>
      <c r="S1469" s="1"/>
      <c r="T1469" s="5">
        <v>0.10290000000000001</v>
      </c>
      <c r="U1469" s="10">
        <v>3.0000000000000001E-3</v>
      </c>
    </row>
    <row r="1470" spans="1:21" customFormat="1">
      <c r="A1470">
        <v>1</v>
      </c>
      <c r="B1470">
        <v>27</v>
      </c>
      <c r="C1470">
        <v>3</v>
      </c>
      <c r="D1470">
        <v>12</v>
      </c>
      <c r="E1470">
        <v>2020</v>
      </c>
      <c r="F1470">
        <v>1107</v>
      </c>
      <c r="G1470" t="str">
        <f>VLOOKUP(F1470,'[1]Sheet 1'!$B$2:$E$347,2,FALSE)</f>
        <v>Tarapacá</v>
      </c>
      <c r="H1470" t="str">
        <f>VLOOKUP(F1470,'[1]Sheet 1'!$B$2:$E$347,3,FALSE)</f>
        <v>Iquique</v>
      </c>
      <c r="I1470" t="str">
        <f>VLOOKUP(F1470,'[1]Sheet 1'!$B$2:$E$347,4,FALSE)</f>
        <v>Alto Hospicio</v>
      </c>
      <c r="J1470" t="s">
        <v>136</v>
      </c>
      <c r="K1470" s="3" t="s">
        <v>0</v>
      </c>
      <c r="L1470" s="12" t="str">
        <f>VLOOKUP(K1470,[2]Hoja4!$A$2:$C$443,2,FALSE)</f>
        <v>Intentional self-harm by hanging, strangulation and suffocation</v>
      </c>
      <c r="M1470" s="12" t="str">
        <f>VLOOKUP(K1470,[2]Hoja4!$A$2:$C$443,3,FALSE)</f>
        <v>Unspecified place</v>
      </c>
      <c r="N1470" s="1">
        <v>17.8</v>
      </c>
      <c r="O1470" s="1">
        <v>21.5</v>
      </c>
      <c r="P1470" s="1">
        <v>19.100000000000001</v>
      </c>
      <c r="Q1470" s="1">
        <v>1011.2</v>
      </c>
      <c r="R1470" s="1">
        <v>0</v>
      </c>
      <c r="S1470" s="1">
        <v>78.400000000000006</v>
      </c>
      <c r="T1470" s="5">
        <v>0.10290000000000001</v>
      </c>
      <c r="U1470" s="10">
        <v>3.0000000000000001E-3</v>
      </c>
    </row>
    <row r="1471" spans="1:21" customFormat="1">
      <c r="A1471">
        <v>1</v>
      </c>
      <c r="B1471">
        <v>71</v>
      </c>
      <c r="C1471">
        <v>4</v>
      </c>
      <c r="D1471">
        <v>12</v>
      </c>
      <c r="E1471">
        <v>2020</v>
      </c>
      <c r="F1471">
        <v>14204</v>
      </c>
      <c r="G1471" t="str">
        <f>VLOOKUP(F1471,'[1]Sheet 1'!$B$2:$E$347,2,FALSE)</f>
        <v>Los Ríos</v>
      </c>
      <c r="H1471" t="str">
        <f>VLOOKUP(F1471,'[1]Sheet 1'!$B$2:$E$347,3,FALSE)</f>
        <v>Ranco</v>
      </c>
      <c r="I1471" t="str">
        <f>VLOOKUP(F1471,'[1]Sheet 1'!$B$2:$E$347,4,FALSE)</f>
        <v>Río Bueno</v>
      </c>
      <c r="J1471" t="s">
        <v>136</v>
      </c>
      <c r="K1471" s="3" t="s">
        <v>4</v>
      </c>
      <c r="L1471" s="12" t="str">
        <f>VLOOKUP(K1471,[2]Hoja4!$A$2:$C$443,2,FALSE)</f>
        <v>Intentional self-harm by hanging, strangulation and suffocation</v>
      </c>
      <c r="M1471" s="12" t="str">
        <f>VLOOKUP(K1471,[2]Hoja4!$A$2:$C$443,3,FALSE)</f>
        <v>At home</v>
      </c>
      <c r="N1471" s="1">
        <v>7.4</v>
      </c>
      <c r="O1471" s="1">
        <v>23.8</v>
      </c>
      <c r="P1471" s="1">
        <v>13.7</v>
      </c>
      <c r="Q1471" s="1">
        <v>1011.3</v>
      </c>
      <c r="R1471" s="1">
        <v>0</v>
      </c>
      <c r="S1471" s="1">
        <v>58.8</v>
      </c>
      <c r="T1471" s="5">
        <v>0.10290000000000001</v>
      </c>
      <c r="U1471" s="10">
        <v>3.0000000000000001E-3</v>
      </c>
    </row>
    <row r="1472" spans="1:21" customFormat="1">
      <c r="A1472">
        <v>1</v>
      </c>
      <c r="B1472">
        <v>57</v>
      </c>
      <c r="C1472">
        <v>4</v>
      </c>
      <c r="D1472">
        <v>12</v>
      </c>
      <c r="E1472">
        <v>2020</v>
      </c>
      <c r="F1472">
        <v>6115</v>
      </c>
      <c r="G1472" t="str">
        <f>VLOOKUP(F1472,'[1]Sheet 1'!$B$2:$E$347,2,FALSE)</f>
        <v>Libertador General Bernardo O'Higgins</v>
      </c>
      <c r="H1472" t="str">
        <f>VLOOKUP(F1472,'[1]Sheet 1'!$B$2:$E$347,3,FALSE)</f>
        <v>Cachapoal</v>
      </c>
      <c r="I1472" t="str">
        <f>VLOOKUP(F1472,'[1]Sheet 1'!$B$2:$E$347,4,FALSE)</f>
        <v>Rengo</v>
      </c>
      <c r="J1472" t="s">
        <v>136</v>
      </c>
      <c r="K1472" s="3" t="s">
        <v>0</v>
      </c>
      <c r="L1472" s="12" t="str">
        <f>VLOOKUP(K1472,[2]Hoja4!$A$2:$C$443,2,FALSE)</f>
        <v>Intentional self-harm by hanging, strangulation and suffocation</v>
      </c>
      <c r="M1472" s="12" t="str">
        <f>VLOOKUP(K1472,[2]Hoja4!$A$2:$C$443,3,FALSE)</f>
        <v>Unspecified place</v>
      </c>
      <c r="N1472" s="1">
        <v>10.6</v>
      </c>
      <c r="O1472" s="1">
        <v>30.4</v>
      </c>
      <c r="P1472" s="1">
        <v>20.7</v>
      </c>
      <c r="Q1472" s="1">
        <v>957.4</v>
      </c>
      <c r="R1472" s="1">
        <v>0</v>
      </c>
      <c r="S1472" s="1">
        <v>37</v>
      </c>
      <c r="T1472" s="5">
        <v>0.10290000000000001</v>
      </c>
      <c r="U1472" s="10">
        <v>3.0000000000000001E-3</v>
      </c>
    </row>
    <row r="1473" spans="1:21" customFormat="1">
      <c r="A1473">
        <v>1</v>
      </c>
      <c r="B1473">
        <v>38</v>
      </c>
      <c r="C1473">
        <v>4</v>
      </c>
      <c r="D1473">
        <v>12</v>
      </c>
      <c r="E1473">
        <v>2020</v>
      </c>
      <c r="F1473">
        <v>4102</v>
      </c>
      <c r="G1473" t="str">
        <f>VLOOKUP(F1473,'[1]Sheet 1'!$B$2:$E$347,2,FALSE)</f>
        <v>Coquimbo</v>
      </c>
      <c r="H1473" t="str">
        <f>VLOOKUP(F1473,'[1]Sheet 1'!$B$2:$E$347,3,FALSE)</f>
        <v>Elqui</v>
      </c>
      <c r="I1473" t="str">
        <f>VLOOKUP(F1473,'[1]Sheet 1'!$B$2:$E$347,4,FALSE)</f>
        <v>Coquimbo</v>
      </c>
      <c r="J1473" t="s">
        <v>136</v>
      </c>
      <c r="K1473" s="3" t="s">
        <v>4</v>
      </c>
      <c r="L1473" s="12" t="str">
        <f>VLOOKUP(K1473,[2]Hoja4!$A$2:$C$443,2,FALSE)</f>
        <v>Intentional self-harm by hanging, strangulation and suffocation</v>
      </c>
      <c r="M1473" s="12" t="str">
        <f>VLOOKUP(K1473,[2]Hoja4!$A$2:$C$443,3,FALSE)</f>
        <v>At home</v>
      </c>
      <c r="N1473" s="1">
        <v>12.5</v>
      </c>
      <c r="O1473" s="1">
        <v>17.600000000000001</v>
      </c>
      <c r="P1473" s="1">
        <v>14.3</v>
      </c>
      <c r="Q1473" s="1">
        <v>998.8</v>
      </c>
      <c r="R1473" s="1">
        <v>0</v>
      </c>
      <c r="S1473" s="1">
        <v>85.5</v>
      </c>
      <c r="T1473" s="5">
        <v>0.10290000000000001</v>
      </c>
      <c r="U1473" s="10">
        <v>3.0000000000000001E-3</v>
      </c>
    </row>
    <row r="1474" spans="1:21" customFormat="1">
      <c r="A1474">
        <v>1</v>
      </c>
      <c r="B1474">
        <v>63</v>
      </c>
      <c r="C1474">
        <v>4</v>
      </c>
      <c r="D1474">
        <v>12</v>
      </c>
      <c r="E1474">
        <v>2020</v>
      </c>
      <c r="F1474">
        <v>13113</v>
      </c>
      <c r="G1474" t="str">
        <f>VLOOKUP(F1474,'[1]Sheet 1'!$B$2:$E$347,2,FALSE)</f>
        <v>Metropolitana de Santiago</v>
      </c>
      <c r="H1474" t="str">
        <f>VLOOKUP(F1474,'[1]Sheet 1'!$B$2:$E$347,3,FALSE)</f>
        <v>Santiago</v>
      </c>
      <c r="I1474" t="str">
        <f>VLOOKUP(F1474,'[1]Sheet 1'!$B$2:$E$347,4,FALSE)</f>
        <v>La Reina</v>
      </c>
      <c r="J1474" t="s">
        <v>136</v>
      </c>
      <c r="K1474" s="3" t="s">
        <v>0</v>
      </c>
      <c r="L1474" s="12" t="str">
        <f>VLOOKUP(K1474,[2]Hoja4!$A$2:$C$443,2,FALSE)</f>
        <v>Intentional self-harm by hanging, strangulation and suffocation</v>
      </c>
      <c r="M1474" s="12" t="str">
        <f>VLOOKUP(K1474,[2]Hoja4!$A$2:$C$443,3,FALSE)</f>
        <v>Unspecified place</v>
      </c>
      <c r="N1474" s="1">
        <v>10.7</v>
      </c>
      <c r="O1474" s="1">
        <v>29.7</v>
      </c>
      <c r="P1474" s="1">
        <v>20.5</v>
      </c>
      <c r="Q1474" s="1">
        <v>953.8</v>
      </c>
      <c r="R1474" s="1"/>
      <c r="S1474" s="1">
        <v>32.799999999999997</v>
      </c>
      <c r="T1474" s="5">
        <v>0.10290000000000001</v>
      </c>
      <c r="U1474" s="10">
        <v>3.0000000000000001E-3</v>
      </c>
    </row>
    <row r="1475" spans="1:21" customFormat="1">
      <c r="A1475">
        <v>1</v>
      </c>
      <c r="B1475">
        <v>22</v>
      </c>
      <c r="C1475">
        <v>4</v>
      </c>
      <c r="D1475">
        <v>12</v>
      </c>
      <c r="E1475">
        <v>2020</v>
      </c>
      <c r="F1475">
        <v>5802</v>
      </c>
      <c r="G1475" t="str">
        <f>VLOOKUP(F1475,'[1]Sheet 1'!$B$2:$E$347,2,FALSE)</f>
        <v>Valparaíso</v>
      </c>
      <c r="H1475" t="str">
        <f>VLOOKUP(F1475,'[1]Sheet 1'!$B$2:$E$347,3,FALSE)</f>
        <v>Marga Marga</v>
      </c>
      <c r="I1475" t="str">
        <f>VLOOKUP(F1475,'[1]Sheet 1'!$B$2:$E$347,4,FALSE)</f>
        <v>Limache</v>
      </c>
      <c r="J1475" t="s">
        <v>136</v>
      </c>
      <c r="K1475" s="3" t="s">
        <v>2</v>
      </c>
      <c r="L1475" s="12" t="str">
        <f>VLOOKUP(K1475,[2]Hoja4!$A$2:$C$443,2,FALSE)</f>
        <v>Intentional self-harm by hanging, strangulation and suffocation</v>
      </c>
      <c r="M1475" s="12" t="str">
        <f>VLOOKUP(K1475,[2]Hoja4!$A$2:$C$443,3,FALSE)</f>
        <v>Street and highway</v>
      </c>
      <c r="N1475" s="1">
        <v>5.8</v>
      </c>
      <c r="O1475" s="1">
        <v>19.2</v>
      </c>
      <c r="P1475" s="1">
        <v>13.2</v>
      </c>
      <c r="Q1475" s="1">
        <v>1013.4</v>
      </c>
      <c r="R1475" s="1">
        <v>0</v>
      </c>
      <c r="S1475" s="1">
        <v>72.5</v>
      </c>
      <c r="T1475" s="5">
        <v>0.10290000000000001</v>
      </c>
      <c r="U1475" s="10">
        <v>3.0000000000000001E-3</v>
      </c>
    </row>
    <row r="1476" spans="1:21" customFormat="1">
      <c r="A1476">
        <v>1</v>
      </c>
      <c r="B1476">
        <v>23</v>
      </c>
      <c r="C1476">
        <v>4</v>
      </c>
      <c r="D1476">
        <v>12</v>
      </c>
      <c r="E1476">
        <v>2020</v>
      </c>
      <c r="F1476">
        <v>4102</v>
      </c>
      <c r="G1476" t="str">
        <f>VLOOKUP(F1476,'[1]Sheet 1'!$B$2:$E$347,2,FALSE)</f>
        <v>Coquimbo</v>
      </c>
      <c r="H1476" t="str">
        <f>VLOOKUP(F1476,'[1]Sheet 1'!$B$2:$E$347,3,FALSE)</f>
        <v>Elqui</v>
      </c>
      <c r="I1476" t="str">
        <f>VLOOKUP(F1476,'[1]Sheet 1'!$B$2:$E$347,4,FALSE)</f>
        <v>Coquimbo</v>
      </c>
      <c r="J1476" t="s">
        <v>142</v>
      </c>
      <c r="K1476" s="3" t="s">
        <v>34</v>
      </c>
      <c r="L1476" s="12" t="str">
        <f>VLOOKUP(K1476,[2]Hoja4!$A$2:$C$443,2,FALSE)</f>
        <v>Intentional self-harm by other and unspecified firearm discharge</v>
      </c>
      <c r="M1476" s="12" t="str">
        <f>VLOOKUP(K1476,[2]Hoja4!$A$2:$C$443,3,FALSE)</f>
        <v>Other specified places</v>
      </c>
      <c r="N1476" s="1">
        <v>12.5</v>
      </c>
      <c r="O1476" s="1">
        <v>17.600000000000001</v>
      </c>
      <c r="P1476" s="1">
        <v>14.3</v>
      </c>
      <c r="Q1476" s="1">
        <v>998.8</v>
      </c>
      <c r="R1476" s="1">
        <v>0</v>
      </c>
      <c r="S1476" s="1">
        <v>85.5</v>
      </c>
      <c r="T1476" s="5">
        <v>0.10290000000000001</v>
      </c>
      <c r="U1476" s="10">
        <v>3.0000000000000001E-3</v>
      </c>
    </row>
    <row r="1477" spans="1:21" customFormat="1">
      <c r="A1477">
        <v>1</v>
      </c>
      <c r="B1477">
        <v>26</v>
      </c>
      <c r="C1477">
        <v>4</v>
      </c>
      <c r="D1477">
        <v>12</v>
      </c>
      <c r="E1477">
        <v>2020</v>
      </c>
      <c r="F1477">
        <v>13201</v>
      </c>
      <c r="G1477" t="str">
        <f>VLOOKUP(F1477,'[1]Sheet 1'!$B$2:$E$347,2,FALSE)</f>
        <v>Metropolitana de Santiago</v>
      </c>
      <c r="H1477" t="str">
        <f>VLOOKUP(F1477,'[1]Sheet 1'!$B$2:$E$347,3,FALSE)</f>
        <v>Cordillera</v>
      </c>
      <c r="I1477" t="str">
        <f>VLOOKUP(F1477,'[1]Sheet 1'!$B$2:$E$347,4,FALSE)</f>
        <v>Puente Alto</v>
      </c>
      <c r="J1477" t="s">
        <v>136</v>
      </c>
      <c r="K1477" s="3" t="s">
        <v>0</v>
      </c>
      <c r="L1477" s="12" t="str">
        <f>VLOOKUP(K1477,[2]Hoja4!$A$2:$C$443,2,FALSE)</f>
        <v>Intentional self-harm by hanging, strangulation and suffocation</v>
      </c>
      <c r="M1477" s="12" t="str">
        <f>VLOOKUP(K1477,[2]Hoja4!$A$2:$C$443,3,FALSE)</f>
        <v>Unspecified place</v>
      </c>
      <c r="N1477" s="1"/>
      <c r="O1477" s="1"/>
      <c r="P1477" s="1"/>
      <c r="Q1477" s="1"/>
      <c r="R1477" s="1"/>
      <c r="S1477" s="1"/>
      <c r="T1477" s="5">
        <v>0.10290000000000001</v>
      </c>
      <c r="U1477" s="10">
        <v>3.0000000000000001E-3</v>
      </c>
    </row>
    <row r="1478" spans="1:21" customFormat="1">
      <c r="A1478">
        <v>1</v>
      </c>
      <c r="B1478">
        <v>72</v>
      </c>
      <c r="C1478">
        <v>5</v>
      </c>
      <c r="D1478">
        <v>12</v>
      </c>
      <c r="E1478">
        <v>2020</v>
      </c>
      <c r="F1478">
        <v>5109</v>
      </c>
      <c r="G1478" t="str">
        <f>VLOOKUP(F1478,'[1]Sheet 1'!$B$2:$E$347,2,FALSE)</f>
        <v>Valparaíso</v>
      </c>
      <c r="H1478" t="str">
        <f>VLOOKUP(F1478,'[1]Sheet 1'!$B$2:$E$347,3,FALSE)</f>
        <v>Valparaíso</v>
      </c>
      <c r="I1478" t="str">
        <f>VLOOKUP(F1478,'[1]Sheet 1'!$B$2:$E$347,4,FALSE)</f>
        <v>Viña del Mar</v>
      </c>
      <c r="J1478" t="s">
        <v>136</v>
      </c>
      <c r="K1478" s="3" t="s">
        <v>0</v>
      </c>
      <c r="L1478" s="12" t="str">
        <f>VLOOKUP(K1478,[2]Hoja4!$A$2:$C$443,2,FALSE)</f>
        <v>Intentional self-harm by hanging, strangulation and suffocation</v>
      </c>
      <c r="M1478" s="12" t="str">
        <f>VLOOKUP(K1478,[2]Hoja4!$A$2:$C$443,3,FALSE)</f>
        <v>Unspecified place</v>
      </c>
      <c r="N1478" s="1">
        <v>8.8000000000000007</v>
      </c>
      <c r="O1478" s="1">
        <v>17.899999999999999</v>
      </c>
      <c r="P1478" s="1">
        <v>12.3</v>
      </c>
      <c r="Q1478" s="1">
        <v>979.3</v>
      </c>
      <c r="R1478" s="1">
        <v>0</v>
      </c>
      <c r="S1478" s="1">
        <v>87.8</v>
      </c>
      <c r="T1478" s="5">
        <v>0.10290000000000001</v>
      </c>
      <c r="U1478" s="10">
        <v>3.0000000000000001E-3</v>
      </c>
    </row>
    <row r="1479" spans="1:21" customFormat="1">
      <c r="A1479">
        <v>1</v>
      </c>
      <c r="B1479">
        <v>70</v>
      </c>
      <c r="C1479">
        <v>5</v>
      </c>
      <c r="D1479">
        <v>12</v>
      </c>
      <c r="E1479">
        <v>2020</v>
      </c>
      <c r="F1479">
        <v>14108</v>
      </c>
      <c r="G1479" t="str">
        <f>VLOOKUP(F1479,'[1]Sheet 1'!$B$2:$E$347,2,FALSE)</f>
        <v>Los Ríos</v>
      </c>
      <c r="H1479" t="str">
        <f>VLOOKUP(F1479,'[1]Sheet 1'!$B$2:$E$347,3,FALSE)</f>
        <v>Valdivia</v>
      </c>
      <c r="I1479" t="str">
        <f>VLOOKUP(F1479,'[1]Sheet 1'!$B$2:$E$347,4,FALSE)</f>
        <v>Panguipulli</v>
      </c>
      <c r="J1479" t="s">
        <v>136</v>
      </c>
      <c r="K1479" s="3" t="s">
        <v>4</v>
      </c>
      <c r="L1479" s="12" t="str">
        <f>VLOOKUP(K1479,[2]Hoja4!$A$2:$C$443,2,FALSE)</f>
        <v>Intentional self-harm by hanging, strangulation and suffocation</v>
      </c>
      <c r="M1479" s="12" t="str">
        <f>VLOOKUP(K1479,[2]Hoja4!$A$2:$C$443,3,FALSE)</f>
        <v>At home</v>
      </c>
      <c r="N1479" s="1">
        <v>3.9</v>
      </c>
      <c r="O1479" s="1">
        <v>28.4</v>
      </c>
      <c r="P1479" s="1">
        <v>16.600000000000001</v>
      </c>
      <c r="Q1479" s="1">
        <v>1015.8</v>
      </c>
      <c r="R1479" s="1">
        <v>0</v>
      </c>
      <c r="S1479" s="1">
        <v>65.5</v>
      </c>
      <c r="T1479" s="5">
        <v>0.10290000000000001</v>
      </c>
      <c r="U1479" s="10">
        <v>3.0000000000000001E-3</v>
      </c>
    </row>
    <row r="1480" spans="1:21" customFormat="1">
      <c r="A1480">
        <v>1</v>
      </c>
      <c r="B1480">
        <v>63</v>
      </c>
      <c r="C1480">
        <v>5</v>
      </c>
      <c r="D1480">
        <v>12</v>
      </c>
      <c r="E1480">
        <v>2020</v>
      </c>
      <c r="F1480">
        <v>13123</v>
      </c>
      <c r="G1480" t="str">
        <f>VLOOKUP(F1480,'[1]Sheet 1'!$B$2:$E$347,2,FALSE)</f>
        <v>Metropolitana de Santiago</v>
      </c>
      <c r="H1480" t="str">
        <f>VLOOKUP(F1480,'[1]Sheet 1'!$B$2:$E$347,3,FALSE)</f>
        <v>Santiago</v>
      </c>
      <c r="I1480" t="str">
        <f>VLOOKUP(F1480,'[1]Sheet 1'!$B$2:$E$347,4,FALSE)</f>
        <v>Providencia</v>
      </c>
      <c r="J1480" t="s">
        <v>136</v>
      </c>
      <c r="K1480" s="3" t="s">
        <v>0</v>
      </c>
      <c r="L1480" s="12" t="str">
        <f>VLOOKUP(K1480,[2]Hoja4!$A$2:$C$443,2,FALSE)</f>
        <v>Intentional self-harm by hanging, strangulation and suffocation</v>
      </c>
      <c r="M1480" s="12" t="str">
        <f>VLOOKUP(K1480,[2]Hoja4!$A$2:$C$443,3,FALSE)</f>
        <v>Unspecified place</v>
      </c>
      <c r="N1480" s="1">
        <v>9.6999999999999993</v>
      </c>
      <c r="O1480" s="1">
        <v>29.1</v>
      </c>
      <c r="P1480" s="1">
        <v>19.600000000000001</v>
      </c>
      <c r="Q1480" s="1">
        <v>956.6</v>
      </c>
      <c r="R1480" s="1"/>
      <c r="S1480" s="1">
        <v>43</v>
      </c>
      <c r="T1480" s="5">
        <v>0.10290000000000001</v>
      </c>
      <c r="U1480" s="10">
        <v>3.0000000000000001E-3</v>
      </c>
    </row>
    <row r="1481" spans="1:21" customFormat="1">
      <c r="A1481">
        <v>1</v>
      </c>
      <c r="B1481">
        <v>64</v>
      </c>
      <c r="C1481">
        <v>5</v>
      </c>
      <c r="D1481">
        <v>12</v>
      </c>
      <c r="E1481">
        <v>2020</v>
      </c>
      <c r="F1481">
        <v>13115</v>
      </c>
      <c r="G1481" t="str">
        <f>VLOOKUP(F1481,'[1]Sheet 1'!$B$2:$E$347,2,FALSE)</f>
        <v>Metropolitana de Santiago</v>
      </c>
      <c r="H1481" t="str">
        <f>VLOOKUP(F1481,'[1]Sheet 1'!$B$2:$E$347,3,FALSE)</f>
        <v>Santiago</v>
      </c>
      <c r="I1481" t="str">
        <f>VLOOKUP(F1481,'[1]Sheet 1'!$B$2:$E$347,4,FALSE)</f>
        <v>Lo Barnechea</v>
      </c>
      <c r="J1481" t="s">
        <v>136</v>
      </c>
      <c r="K1481" s="3" t="s">
        <v>0</v>
      </c>
      <c r="L1481" s="12" t="str">
        <f>VLOOKUP(K1481,[2]Hoja4!$A$2:$C$443,2,FALSE)</f>
        <v>Intentional self-harm by hanging, strangulation and suffocation</v>
      </c>
      <c r="M1481" s="12" t="str">
        <f>VLOOKUP(K1481,[2]Hoja4!$A$2:$C$443,3,FALSE)</f>
        <v>Unspecified place</v>
      </c>
      <c r="N1481" s="1">
        <v>9.6999999999999993</v>
      </c>
      <c r="O1481" s="1">
        <v>29.1</v>
      </c>
      <c r="P1481" s="1">
        <v>19.600000000000001</v>
      </c>
      <c r="Q1481" s="1">
        <v>956.6</v>
      </c>
      <c r="R1481" s="1"/>
      <c r="S1481" s="1">
        <v>43</v>
      </c>
      <c r="T1481" s="5">
        <v>0.10290000000000001</v>
      </c>
      <c r="U1481" s="10">
        <v>3.0000000000000001E-3</v>
      </c>
    </row>
    <row r="1482" spans="1:21" customFormat="1">
      <c r="A1482">
        <v>1</v>
      </c>
      <c r="B1482">
        <v>56</v>
      </c>
      <c r="C1482">
        <v>5</v>
      </c>
      <c r="D1482">
        <v>12</v>
      </c>
      <c r="E1482">
        <v>2020</v>
      </c>
      <c r="F1482">
        <v>9109</v>
      </c>
      <c r="G1482" t="str">
        <f>VLOOKUP(F1482,'[1]Sheet 1'!$B$2:$E$347,2,FALSE)</f>
        <v>La Araucanía</v>
      </c>
      <c r="H1482" t="str">
        <f>VLOOKUP(F1482,'[1]Sheet 1'!$B$2:$E$347,3,FALSE)</f>
        <v>Cautín</v>
      </c>
      <c r="I1482" t="str">
        <f>VLOOKUP(F1482,'[1]Sheet 1'!$B$2:$E$347,4,FALSE)</f>
        <v>Loncoche</v>
      </c>
      <c r="J1482" t="s">
        <v>136</v>
      </c>
      <c r="K1482" s="3" t="s">
        <v>4</v>
      </c>
      <c r="L1482" s="12" t="str">
        <f>VLOOKUP(K1482,[2]Hoja4!$A$2:$C$443,2,FALSE)</f>
        <v>Intentional self-harm by hanging, strangulation and suffocation</v>
      </c>
      <c r="M1482" s="12" t="str">
        <f>VLOOKUP(K1482,[2]Hoja4!$A$2:$C$443,3,FALSE)</f>
        <v>At home</v>
      </c>
      <c r="N1482" s="1">
        <v>3.7</v>
      </c>
      <c r="O1482" s="1">
        <v>25.6</v>
      </c>
      <c r="P1482" s="1">
        <v>14.9</v>
      </c>
      <c r="Q1482" s="1">
        <v>1006</v>
      </c>
      <c r="R1482" s="1">
        <v>0</v>
      </c>
      <c r="S1482" s="1">
        <v>67.8</v>
      </c>
      <c r="T1482" s="5">
        <v>0.10290000000000001</v>
      </c>
      <c r="U1482" s="10">
        <v>3.0000000000000001E-3</v>
      </c>
    </row>
    <row r="1483" spans="1:21" customFormat="1">
      <c r="A1483">
        <v>1</v>
      </c>
      <c r="B1483">
        <v>48</v>
      </c>
      <c r="C1483">
        <v>5</v>
      </c>
      <c r="D1483">
        <v>12</v>
      </c>
      <c r="E1483">
        <v>2020</v>
      </c>
      <c r="F1483">
        <v>5601</v>
      </c>
      <c r="G1483" t="str">
        <f>VLOOKUP(F1483,'[1]Sheet 1'!$B$2:$E$347,2,FALSE)</f>
        <v>Valparaíso</v>
      </c>
      <c r="H1483" t="str">
        <f>VLOOKUP(F1483,'[1]Sheet 1'!$B$2:$E$347,3,FALSE)</f>
        <v>San Antonio</v>
      </c>
      <c r="I1483" t="str">
        <f>VLOOKUP(F1483,'[1]Sheet 1'!$B$2:$E$347,4,FALSE)</f>
        <v>San Antonio</v>
      </c>
      <c r="J1483" t="s">
        <v>136</v>
      </c>
      <c r="K1483" s="3" t="s">
        <v>0</v>
      </c>
      <c r="L1483" s="12" t="str">
        <f>VLOOKUP(K1483,[2]Hoja4!$A$2:$C$443,2,FALSE)</f>
        <v>Intentional self-harm by hanging, strangulation and suffocation</v>
      </c>
      <c r="M1483" s="12" t="str">
        <f>VLOOKUP(K1483,[2]Hoja4!$A$2:$C$443,3,FALSE)</f>
        <v>Unspecified place</v>
      </c>
      <c r="N1483" s="1">
        <v>10</v>
      </c>
      <c r="O1483" s="1">
        <v>17.600000000000001</v>
      </c>
      <c r="P1483" s="1">
        <v>13.8</v>
      </c>
      <c r="Q1483" s="1">
        <v>1011.1</v>
      </c>
      <c r="R1483" s="1">
        <v>0</v>
      </c>
      <c r="S1483" s="1">
        <v>83.8</v>
      </c>
      <c r="T1483" s="5">
        <v>0.10290000000000001</v>
      </c>
      <c r="U1483" s="10">
        <v>3.0000000000000001E-3</v>
      </c>
    </row>
    <row r="1484" spans="1:21" customFormat="1">
      <c r="A1484">
        <v>1</v>
      </c>
      <c r="B1484">
        <v>43</v>
      </c>
      <c r="C1484">
        <v>6</v>
      </c>
      <c r="D1484">
        <v>12</v>
      </c>
      <c r="E1484">
        <v>2020</v>
      </c>
      <c r="F1484">
        <v>5501</v>
      </c>
      <c r="G1484" t="str">
        <f>VLOOKUP(F1484,'[1]Sheet 1'!$B$2:$E$347,2,FALSE)</f>
        <v>Valparaíso</v>
      </c>
      <c r="H1484" t="str">
        <f>VLOOKUP(F1484,'[1]Sheet 1'!$B$2:$E$347,3,FALSE)</f>
        <v>Quillota</v>
      </c>
      <c r="I1484" t="str">
        <f>VLOOKUP(F1484,'[1]Sheet 1'!$B$2:$E$347,4,FALSE)</f>
        <v>Quillota</v>
      </c>
      <c r="J1484" t="s">
        <v>136</v>
      </c>
      <c r="K1484" s="3" t="s">
        <v>4</v>
      </c>
      <c r="L1484" s="12" t="str">
        <f>VLOOKUP(K1484,[2]Hoja4!$A$2:$C$443,2,FALSE)</f>
        <v>Intentional self-harm by hanging, strangulation and suffocation</v>
      </c>
      <c r="M1484" s="12" t="str">
        <f>VLOOKUP(K1484,[2]Hoja4!$A$2:$C$443,3,FALSE)</f>
        <v>At home</v>
      </c>
      <c r="N1484" s="1">
        <v>7.2</v>
      </c>
      <c r="O1484" s="1">
        <v>25.9</v>
      </c>
      <c r="P1484" s="1">
        <v>15.5</v>
      </c>
      <c r="Q1484" s="1">
        <v>994.7</v>
      </c>
      <c r="R1484" s="1">
        <v>0</v>
      </c>
      <c r="S1484" s="1">
        <v>68.7</v>
      </c>
      <c r="T1484" s="5">
        <v>0.10290000000000001</v>
      </c>
      <c r="U1484" s="10">
        <v>3.0000000000000001E-3</v>
      </c>
    </row>
    <row r="1485" spans="1:21" customFormat="1">
      <c r="A1485">
        <v>1</v>
      </c>
      <c r="B1485">
        <v>24</v>
      </c>
      <c r="C1485">
        <v>6</v>
      </c>
      <c r="D1485">
        <v>12</v>
      </c>
      <c r="E1485">
        <v>2020</v>
      </c>
      <c r="F1485">
        <v>13126</v>
      </c>
      <c r="G1485" t="str">
        <f>VLOOKUP(F1485,'[1]Sheet 1'!$B$2:$E$347,2,FALSE)</f>
        <v>Metropolitana de Santiago</v>
      </c>
      <c r="H1485" t="str">
        <f>VLOOKUP(F1485,'[1]Sheet 1'!$B$2:$E$347,3,FALSE)</f>
        <v>Santiago</v>
      </c>
      <c r="I1485" t="str">
        <f>VLOOKUP(F1485,'[1]Sheet 1'!$B$2:$E$347,4,FALSE)</f>
        <v>Quinta Normal</v>
      </c>
      <c r="J1485" t="s">
        <v>136</v>
      </c>
      <c r="K1485" s="3" t="s">
        <v>0</v>
      </c>
      <c r="L1485" s="12" t="str">
        <f>VLOOKUP(K1485,[2]Hoja4!$A$2:$C$443,2,FALSE)</f>
        <v>Intentional self-harm by hanging, strangulation and suffocation</v>
      </c>
      <c r="M1485" s="12" t="str">
        <f>VLOOKUP(K1485,[2]Hoja4!$A$2:$C$443,3,FALSE)</f>
        <v>Unspecified place</v>
      </c>
      <c r="N1485" s="1">
        <v>10.8</v>
      </c>
      <c r="O1485" s="1">
        <v>31.7</v>
      </c>
      <c r="P1485" s="1">
        <v>20.6</v>
      </c>
      <c r="Q1485" s="1">
        <v>953.4</v>
      </c>
      <c r="R1485" s="1"/>
      <c r="S1485" s="1">
        <v>47.8</v>
      </c>
      <c r="T1485" s="5">
        <v>0.10290000000000001</v>
      </c>
      <c r="U1485" s="10">
        <v>3.0000000000000001E-3</v>
      </c>
    </row>
    <row r="1486" spans="1:21" customFormat="1">
      <c r="A1486">
        <v>2</v>
      </c>
      <c r="B1486">
        <v>58</v>
      </c>
      <c r="C1486">
        <v>7</v>
      </c>
      <c r="D1486">
        <v>12</v>
      </c>
      <c r="E1486">
        <v>2020</v>
      </c>
      <c r="F1486">
        <v>13132</v>
      </c>
      <c r="G1486" t="str">
        <f>VLOOKUP(F1486,'[1]Sheet 1'!$B$2:$E$347,2,FALSE)</f>
        <v>Metropolitana de Santiago</v>
      </c>
      <c r="H1486" t="str">
        <f>VLOOKUP(F1486,'[1]Sheet 1'!$B$2:$E$347,3,FALSE)</f>
        <v>Santiago</v>
      </c>
      <c r="I1486" t="str">
        <f>VLOOKUP(F1486,'[1]Sheet 1'!$B$2:$E$347,4,FALSE)</f>
        <v>Vitacura</v>
      </c>
      <c r="J1486" t="s">
        <v>136</v>
      </c>
      <c r="K1486" s="3" t="s">
        <v>0</v>
      </c>
      <c r="L1486" s="12" t="str">
        <f>VLOOKUP(K1486,[2]Hoja4!$A$2:$C$443,2,FALSE)</f>
        <v>Intentional self-harm by hanging, strangulation and suffocation</v>
      </c>
      <c r="M1486" s="12" t="str">
        <f>VLOOKUP(K1486,[2]Hoja4!$A$2:$C$443,3,FALSE)</f>
        <v>Unspecified place</v>
      </c>
      <c r="N1486" s="1">
        <v>11.1</v>
      </c>
      <c r="O1486" s="1">
        <v>28.8</v>
      </c>
      <c r="P1486" s="1">
        <v>20</v>
      </c>
      <c r="Q1486" s="1">
        <v>954.6</v>
      </c>
      <c r="R1486" s="1"/>
      <c r="S1486" s="1">
        <v>50.5</v>
      </c>
      <c r="T1486" s="5">
        <v>0.10290000000000001</v>
      </c>
      <c r="U1486" s="10">
        <v>3.0000000000000001E-3</v>
      </c>
    </row>
    <row r="1487" spans="1:21" customFormat="1">
      <c r="A1487">
        <v>2</v>
      </c>
      <c r="B1487">
        <v>60</v>
      </c>
      <c r="C1487">
        <v>7</v>
      </c>
      <c r="D1487">
        <v>12</v>
      </c>
      <c r="E1487">
        <v>2020</v>
      </c>
      <c r="F1487">
        <v>13104</v>
      </c>
      <c r="G1487" t="str">
        <f>VLOOKUP(F1487,'[1]Sheet 1'!$B$2:$E$347,2,FALSE)</f>
        <v>Metropolitana de Santiago</v>
      </c>
      <c r="H1487" t="str">
        <f>VLOOKUP(F1487,'[1]Sheet 1'!$B$2:$E$347,3,FALSE)</f>
        <v>Santiago</v>
      </c>
      <c r="I1487" t="str">
        <f>VLOOKUP(F1487,'[1]Sheet 1'!$B$2:$E$347,4,FALSE)</f>
        <v>Conchalí</v>
      </c>
      <c r="J1487" t="s">
        <v>136</v>
      </c>
      <c r="K1487" s="3" t="s">
        <v>0</v>
      </c>
      <c r="L1487" s="12" t="str">
        <f>VLOOKUP(K1487,[2]Hoja4!$A$2:$C$443,2,FALSE)</f>
        <v>Intentional self-harm by hanging, strangulation and suffocation</v>
      </c>
      <c r="M1487" s="12" t="str">
        <f>VLOOKUP(K1487,[2]Hoja4!$A$2:$C$443,3,FALSE)</f>
        <v>Unspecified place</v>
      </c>
      <c r="N1487" s="1">
        <v>11.1</v>
      </c>
      <c r="O1487" s="1">
        <v>28.8</v>
      </c>
      <c r="P1487" s="1">
        <v>20</v>
      </c>
      <c r="Q1487" s="1">
        <v>954.6</v>
      </c>
      <c r="R1487" s="1"/>
      <c r="S1487" s="1">
        <v>50.5</v>
      </c>
      <c r="T1487" s="5">
        <v>0.10290000000000001</v>
      </c>
      <c r="U1487" s="10">
        <v>3.0000000000000001E-3</v>
      </c>
    </row>
    <row r="1488" spans="1:21" customFormat="1">
      <c r="A1488">
        <v>2</v>
      </c>
      <c r="B1488">
        <v>50</v>
      </c>
      <c r="C1488">
        <v>7</v>
      </c>
      <c r="D1488">
        <v>12</v>
      </c>
      <c r="E1488">
        <v>2020</v>
      </c>
      <c r="F1488">
        <v>13104</v>
      </c>
      <c r="G1488" t="str">
        <f>VLOOKUP(F1488,'[1]Sheet 1'!$B$2:$E$347,2,FALSE)</f>
        <v>Metropolitana de Santiago</v>
      </c>
      <c r="H1488" t="str">
        <f>VLOOKUP(F1488,'[1]Sheet 1'!$B$2:$E$347,3,FALSE)</f>
        <v>Santiago</v>
      </c>
      <c r="I1488" t="str">
        <f>VLOOKUP(F1488,'[1]Sheet 1'!$B$2:$E$347,4,FALSE)</f>
        <v>Conchalí</v>
      </c>
      <c r="J1488" t="s">
        <v>136</v>
      </c>
      <c r="K1488" s="3" t="s">
        <v>0</v>
      </c>
      <c r="L1488" s="12" t="str">
        <f>VLOOKUP(K1488,[2]Hoja4!$A$2:$C$443,2,FALSE)</f>
        <v>Intentional self-harm by hanging, strangulation and suffocation</v>
      </c>
      <c r="M1488" s="12" t="str">
        <f>VLOOKUP(K1488,[2]Hoja4!$A$2:$C$443,3,FALSE)</f>
        <v>Unspecified place</v>
      </c>
      <c r="N1488" s="1">
        <v>11.1</v>
      </c>
      <c r="O1488" s="1">
        <v>28.8</v>
      </c>
      <c r="P1488" s="1">
        <v>20</v>
      </c>
      <c r="Q1488" s="1">
        <v>954.6</v>
      </c>
      <c r="R1488" s="1"/>
      <c r="S1488" s="1">
        <v>50.5</v>
      </c>
      <c r="T1488" s="5">
        <v>0.10290000000000001</v>
      </c>
      <c r="U1488" s="10">
        <v>3.0000000000000001E-3</v>
      </c>
    </row>
    <row r="1489" spans="1:21" customFormat="1">
      <c r="A1489">
        <v>1</v>
      </c>
      <c r="B1489">
        <v>37</v>
      </c>
      <c r="C1489">
        <v>7</v>
      </c>
      <c r="D1489">
        <v>12</v>
      </c>
      <c r="E1489">
        <v>2020</v>
      </c>
      <c r="F1489">
        <v>14108</v>
      </c>
      <c r="G1489" t="str">
        <f>VLOOKUP(F1489,'[1]Sheet 1'!$B$2:$E$347,2,FALSE)</f>
        <v>Los Ríos</v>
      </c>
      <c r="H1489" t="str">
        <f>VLOOKUP(F1489,'[1]Sheet 1'!$B$2:$E$347,3,FALSE)</f>
        <v>Valdivia</v>
      </c>
      <c r="I1489" t="str">
        <f>VLOOKUP(F1489,'[1]Sheet 1'!$B$2:$E$347,4,FALSE)</f>
        <v>Panguipulli</v>
      </c>
      <c r="J1489" t="s">
        <v>136</v>
      </c>
      <c r="K1489" s="3" t="s">
        <v>0</v>
      </c>
      <c r="L1489" s="12" t="str">
        <f>VLOOKUP(K1489,[2]Hoja4!$A$2:$C$443,2,FALSE)</f>
        <v>Intentional self-harm by hanging, strangulation and suffocation</v>
      </c>
      <c r="M1489" s="12" t="str">
        <f>VLOOKUP(K1489,[2]Hoja4!$A$2:$C$443,3,FALSE)</f>
        <v>Unspecified place</v>
      </c>
      <c r="N1489" s="1">
        <v>5.7</v>
      </c>
      <c r="O1489" s="1">
        <v>20.8</v>
      </c>
      <c r="P1489" s="1">
        <v>13.8</v>
      </c>
      <c r="Q1489" s="1">
        <v>1012</v>
      </c>
      <c r="R1489" s="1">
        <v>1.2</v>
      </c>
      <c r="S1489" s="1">
        <v>86.2</v>
      </c>
      <c r="T1489" s="5">
        <v>0.10290000000000001</v>
      </c>
      <c r="U1489" s="10">
        <v>3.0000000000000001E-3</v>
      </c>
    </row>
    <row r="1490" spans="1:21" customFormat="1">
      <c r="A1490">
        <v>1</v>
      </c>
      <c r="B1490">
        <v>37</v>
      </c>
      <c r="C1490">
        <v>7</v>
      </c>
      <c r="D1490">
        <v>12</v>
      </c>
      <c r="E1490">
        <v>2020</v>
      </c>
      <c r="F1490">
        <v>10301</v>
      </c>
      <c r="G1490" t="str">
        <f>VLOOKUP(F1490,'[1]Sheet 1'!$B$2:$E$347,2,FALSE)</f>
        <v>Los Lagos</v>
      </c>
      <c r="H1490" t="str">
        <f>VLOOKUP(F1490,'[1]Sheet 1'!$B$2:$E$347,3,FALSE)</f>
        <v>Osorno</v>
      </c>
      <c r="I1490" t="str">
        <f>VLOOKUP(F1490,'[1]Sheet 1'!$B$2:$E$347,4,FALSE)</f>
        <v>Osorno</v>
      </c>
      <c r="J1490" t="s">
        <v>136</v>
      </c>
      <c r="K1490" s="3" t="s">
        <v>4</v>
      </c>
      <c r="L1490" s="12" t="str">
        <f>VLOOKUP(K1490,[2]Hoja4!$A$2:$C$443,2,FALSE)</f>
        <v>Intentional self-harm by hanging, strangulation and suffocation</v>
      </c>
      <c r="M1490" s="12" t="str">
        <f>VLOOKUP(K1490,[2]Hoja4!$A$2:$C$443,3,FALSE)</f>
        <v>At home</v>
      </c>
      <c r="N1490" s="1">
        <v>7.6</v>
      </c>
      <c r="O1490" s="1">
        <v>25.8</v>
      </c>
      <c r="P1490" s="1">
        <v>15.5</v>
      </c>
      <c r="Q1490" s="1">
        <v>1005</v>
      </c>
      <c r="R1490" s="1">
        <v>4.4000000000000004</v>
      </c>
      <c r="S1490" s="1">
        <v>72.5</v>
      </c>
      <c r="T1490" s="5">
        <v>0.10290000000000001</v>
      </c>
      <c r="U1490" s="10">
        <v>3.0000000000000001E-3</v>
      </c>
    </row>
    <row r="1491" spans="1:21" customFormat="1">
      <c r="A1491">
        <v>1</v>
      </c>
      <c r="B1491">
        <v>35</v>
      </c>
      <c r="C1491">
        <v>7</v>
      </c>
      <c r="D1491">
        <v>12</v>
      </c>
      <c r="E1491">
        <v>2020</v>
      </c>
      <c r="F1491">
        <v>3202</v>
      </c>
      <c r="G1491" t="str">
        <f>VLOOKUP(F1491,'[1]Sheet 1'!$B$2:$E$347,2,FALSE)</f>
        <v>Atacama</v>
      </c>
      <c r="H1491" t="str">
        <f>VLOOKUP(F1491,'[1]Sheet 1'!$B$2:$E$347,3,FALSE)</f>
        <v>Chañaral</v>
      </c>
      <c r="I1491" t="str">
        <f>VLOOKUP(F1491,'[1]Sheet 1'!$B$2:$E$347,4,FALSE)</f>
        <v>Diego de Almagro</v>
      </c>
      <c r="J1491" t="s">
        <v>136</v>
      </c>
      <c r="K1491" s="3" t="s">
        <v>4</v>
      </c>
      <c r="L1491" s="12" t="str">
        <f>VLOOKUP(K1491,[2]Hoja4!$A$2:$C$443,2,FALSE)</f>
        <v>Intentional self-harm by hanging, strangulation and suffocation</v>
      </c>
      <c r="M1491" s="12" t="str">
        <f>VLOOKUP(K1491,[2]Hoja4!$A$2:$C$443,3,FALSE)</f>
        <v>At home</v>
      </c>
      <c r="N1491" s="1" t="s">
        <v>79</v>
      </c>
      <c r="O1491" s="1" t="s">
        <v>80</v>
      </c>
      <c r="P1491" s="1" t="s">
        <v>81</v>
      </c>
      <c r="Q1491" s="1" t="s">
        <v>77</v>
      </c>
      <c r="R1491" s="1">
        <v>0</v>
      </c>
      <c r="S1491" s="1" t="s">
        <v>85</v>
      </c>
      <c r="T1491" s="5">
        <v>0.10290000000000001</v>
      </c>
      <c r="U1491" s="10">
        <v>3.0000000000000001E-3</v>
      </c>
    </row>
    <row r="1492" spans="1:21" customFormat="1">
      <c r="A1492">
        <v>1</v>
      </c>
      <c r="B1492">
        <v>31</v>
      </c>
      <c r="C1492">
        <v>7</v>
      </c>
      <c r="D1492">
        <v>12</v>
      </c>
      <c r="E1492">
        <v>2020</v>
      </c>
      <c r="F1492">
        <v>10102</v>
      </c>
      <c r="G1492" t="str">
        <f>VLOOKUP(F1492,'[1]Sheet 1'!$B$2:$E$347,2,FALSE)</f>
        <v>Los Lagos</v>
      </c>
      <c r="H1492" t="str">
        <f>VLOOKUP(F1492,'[1]Sheet 1'!$B$2:$E$347,3,FALSE)</f>
        <v>Llanquihue</v>
      </c>
      <c r="I1492" t="str">
        <f>VLOOKUP(F1492,'[1]Sheet 1'!$B$2:$E$347,4,FALSE)</f>
        <v>Calbuco</v>
      </c>
      <c r="J1492" t="s">
        <v>136</v>
      </c>
      <c r="K1492" s="3" t="s">
        <v>0</v>
      </c>
      <c r="L1492" s="12" t="str">
        <f>VLOOKUP(K1492,[2]Hoja4!$A$2:$C$443,2,FALSE)</f>
        <v>Intentional self-harm by hanging, strangulation and suffocation</v>
      </c>
      <c r="M1492" s="12" t="str">
        <f>VLOOKUP(K1492,[2]Hoja4!$A$2:$C$443,3,FALSE)</f>
        <v>Unspecified place</v>
      </c>
      <c r="N1492" s="1">
        <v>9.1</v>
      </c>
      <c r="O1492" s="1">
        <v>22.6</v>
      </c>
      <c r="P1492" s="1">
        <v>14</v>
      </c>
      <c r="Q1492" s="1">
        <v>1001.9</v>
      </c>
      <c r="R1492" s="1">
        <v>6</v>
      </c>
      <c r="S1492" s="1">
        <v>84.8</v>
      </c>
      <c r="T1492" s="5">
        <v>0.10290000000000001</v>
      </c>
      <c r="U1492" s="10">
        <v>3.0000000000000001E-3</v>
      </c>
    </row>
    <row r="1493" spans="1:21" customFormat="1">
      <c r="A1493">
        <v>2</v>
      </c>
      <c r="B1493">
        <v>60</v>
      </c>
      <c r="C1493">
        <v>8</v>
      </c>
      <c r="D1493">
        <v>12</v>
      </c>
      <c r="E1493">
        <v>2020</v>
      </c>
      <c r="F1493">
        <v>13201</v>
      </c>
      <c r="G1493" t="str">
        <f>VLOOKUP(F1493,'[1]Sheet 1'!$B$2:$E$347,2,FALSE)</f>
        <v>Metropolitana de Santiago</v>
      </c>
      <c r="H1493" t="str">
        <f>VLOOKUP(F1493,'[1]Sheet 1'!$B$2:$E$347,3,FALSE)</f>
        <v>Cordillera</v>
      </c>
      <c r="I1493" t="str">
        <f>VLOOKUP(F1493,'[1]Sheet 1'!$B$2:$E$347,4,FALSE)</f>
        <v>Puente Alto</v>
      </c>
      <c r="J1493" t="s">
        <v>136</v>
      </c>
      <c r="K1493" s="3" t="s">
        <v>0</v>
      </c>
      <c r="L1493" s="12" t="str">
        <f>VLOOKUP(K1493,[2]Hoja4!$A$2:$C$443,2,FALSE)</f>
        <v>Intentional self-harm by hanging, strangulation and suffocation</v>
      </c>
      <c r="M1493" s="12" t="str">
        <f>VLOOKUP(K1493,[2]Hoja4!$A$2:$C$443,3,FALSE)</f>
        <v>Unspecified place</v>
      </c>
      <c r="N1493" s="1"/>
      <c r="O1493" s="1"/>
      <c r="P1493" s="1"/>
      <c r="Q1493" s="1"/>
      <c r="R1493" s="1"/>
      <c r="S1493" s="1"/>
      <c r="T1493" s="5">
        <v>0.10290000000000001</v>
      </c>
      <c r="U1493" s="10">
        <v>3.0000000000000001E-3</v>
      </c>
    </row>
    <row r="1494" spans="1:21" customFormat="1">
      <c r="A1494">
        <v>1</v>
      </c>
      <c r="B1494">
        <v>42</v>
      </c>
      <c r="C1494">
        <v>8</v>
      </c>
      <c r="D1494">
        <v>12</v>
      </c>
      <c r="E1494">
        <v>2020</v>
      </c>
      <c r="F1494">
        <v>2101</v>
      </c>
      <c r="G1494" t="str">
        <f>VLOOKUP(F1494,'[1]Sheet 1'!$B$2:$E$347,2,FALSE)</f>
        <v>Antofagasta</v>
      </c>
      <c r="H1494" t="str">
        <f>VLOOKUP(F1494,'[1]Sheet 1'!$B$2:$E$347,3,FALSE)</f>
        <v>Antofagasta</v>
      </c>
      <c r="I1494" t="str">
        <f>VLOOKUP(F1494,'[1]Sheet 1'!$B$2:$E$347,4,FALSE)</f>
        <v>Antofagasta</v>
      </c>
      <c r="J1494" t="s">
        <v>136</v>
      </c>
      <c r="K1494" s="3" t="s">
        <v>4</v>
      </c>
      <c r="L1494" s="12" t="str">
        <f>VLOOKUP(K1494,[2]Hoja4!$A$2:$C$443,2,FALSE)</f>
        <v>Intentional self-harm by hanging, strangulation and suffocation</v>
      </c>
      <c r="M1494" s="12" t="str">
        <f>VLOOKUP(K1494,[2]Hoja4!$A$2:$C$443,3,FALSE)</f>
        <v>At home</v>
      </c>
      <c r="N1494" s="1">
        <v>16.600000000000001</v>
      </c>
      <c r="O1494" s="1">
        <v>20.2</v>
      </c>
      <c r="P1494" s="1">
        <v>17.7</v>
      </c>
      <c r="Q1494" s="1">
        <v>1001.4</v>
      </c>
      <c r="R1494" s="1">
        <v>0</v>
      </c>
      <c r="S1494" s="1">
        <v>77</v>
      </c>
      <c r="T1494" s="5">
        <v>0.10290000000000001</v>
      </c>
      <c r="U1494" s="10">
        <v>3.0000000000000001E-3</v>
      </c>
    </row>
    <row r="1495" spans="1:21" customFormat="1">
      <c r="A1495">
        <v>1</v>
      </c>
      <c r="B1495">
        <v>35</v>
      </c>
      <c r="C1495">
        <v>8</v>
      </c>
      <c r="D1495">
        <v>12</v>
      </c>
      <c r="E1495">
        <v>2020</v>
      </c>
      <c r="F1495">
        <v>2201</v>
      </c>
      <c r="G1495" t="str">
        <f>VLOOKUP(F1495,'[1]Sheet 1'!$B$2:$E$347,2,FALSE)</f>
        <v>Antofagasta</v>
      </c>
      <c r="H1495" t="str">
        <f>VLOOKUP(F1495,'[1]Sheet 1'!$B$2:$E$347,3,FALSE)</f>
        <v>El Loa</v>
      </c>
      <c r="I1495" t="str">
        <f>VLOOKUP(F1495,'[1]Sheet 1'!$B$2:$E$347,4,FALSE)</f>
        <v>Calama</v>
      </c>
      <c r="J1495" t="s">
        <v>136</v>
      </c>
      <c r="K1495" s="3" t="s">
        <v>2</v>
      </c>
      <c r="L1495" s="12" t="str">
        <f>VLOOKUP(K1495,[2]Hoja4!$A$2:$C$443,2,FALSE)</f>
        <v>Intentional self-harm by hanging, strangulation and suffocation</v>
      </c>
      <c r="M1495" s="12" t="str">
        <f>VLOOKUP(K1495,[2]Hoja4!$A$2:$C$443,3,FALSE)</f>
        <v>Street and highway</v>
      </c>
      <c r="N1495" s="1">
        <v>5.4</v>
      </c>
      <c r="O1495" s="1">
        <v>25.3</v>
      </c>
      <c r="P1495" s="1">
        <v>16.600000000000001</v>
      </c>
      <c r="Q1495" s="1">
        <v>774.6</v>
      </c>
      <c r="R1495" s="1">
        <v>0</v>
      </c>
      <c r="S1495" s="1">
        <v>19.2</v>
      </c>
      <c r="T1495" s="5">
        <v>0.10290000000000001</v>
      </c>
      <c r="U1495" s="10">
        <v>3.0000000000000001E-3</v>
      </c>
    </row>
    <row r="1496" spans="1:21" customFormat="1">
      <c r="A1496">
        <v>2</v>
      </c>
      <c r="B1496">
        <v>15</v>
      </c>
      <c r="C1496">
        <v>8</v>
      </c>
      <c r="D1496">
        <v>12</v>
      </c>
      <c r="E1496">
        <v>2020</v>
      </c>
      <c r="F1496">
        <v>13113</v>
      </c>
      <c r="G1496" t="str">
        <f>VLOOKUP(F1496,'[1]Sheet 1'!$B$2:$E$347,2,FALSE)</f>
        <v>Metropolitana de Santiago</v>
      </c>
      <c r="H1496" t="str">
        <f>VLOOKUP(F1496,'[1]Sheet 1'!$B$2:$E$347,3,FALSE)</f>
        <v>Santiago</v>
      </c>
      <c r="I1496" t="str">
        <f>VLOOKUP(F1496,'[1]Sheet 1'!$B$2:$E$347,4,FALSE)</f>
        <v>La Reina</v>
      </c>
      <c r="J1496" t="s">
        <v>136</v>
      </c>
      <c r="K1496" s="3" t="s">
        <v>0</v>
      </c>
      <c r="L1496" s="12" t="str">
        <f>VLOOKUP(K1496,[2]Hoja4!$A$2:$C$443,2,FALSE)</f>
        <v>Intentional self-harm by hanging, strangulation and suffocation</v>
      </c>
      <c r="M1496" s="12" t="str">
        <f>VLOOKUP(K1496,[2]Hoja4!$A$2:$C$443,3,FALSE)</f>
        <v>Unspecified place</v>
      </c>
      <c r="N1496" s="1">
        <v>9.6</v>
      </c>
      <c r="O1496" s="1">
        <v>31.3</v>
      </c>
      <c r="P1496" s="1">
        <v>19.399999999999999</v>
      </c>
      <c r="Q1496" s="1">
        <v>958.4</v>
      </c>
      <c r="R1496" s="1"/>
      <c r="S1496" s="1">
        <v>49.8</v>
      </c>
      <c r="T1496" s="5">
        <v>0.10290000000000001</v>
      </c>
      <c r="U1496" s="10">
        <v>3.0000000000000001E-3</v>
      </c>
    </row>
    <row r="1497" spans="1:21" customFormat="1">
      <c r="A1497">
        <v>1</v>
      </c>
      <c r="B1497">
        <v>26</v>
      </c>
      <c r="C1497">
        <v>8</v>
      </c>
      <c r="D1497">
        <v>12</v>
      </c>
      <c r="E1497">
        <v>2020</v>
      </c>
      <c r="F1497">
        <v>13605</v>
      </c>
      <c r="G1497" t="str">
        <f>VLOOKUP(F1497,'[1]Sheet 1'!$B$2:$E$347,2,FALSE)</f>
        <v>Metropolitana de Santiago</v>
      </c>
      <c r="H1497" t="str">
        <f>VLOOKUP(F1497,'[1]Sheet 1'!$B$2:$E$347,3,FALSE)</f>
        <v>Talagante</v>
      </c>
      <c r="I1497" t="str">
        <f>VLOOKUP(F1497,'[1]Sheet 1'!$B$2:$E$347,4,FALSE)</f>
        <v>Peñaflor</v>
      </c>
      <c r="J1497" t="s">
        <v>136</v>
      </c>
      <c r="K1497" s="3" t="s">
        <v>4</v>
      </c>
      <c r="L1497" s="12" t="str">
        <f>VLOOKUP(K1497,[2]Hoja4!$A$2:$C$443,2,FALSE)</f>
        <v>Intentional self-harm by hanging, strangulation and suffocation</v>
      </c>
      <c r="M1497" s="12" t="str">
        <f>VLOOKUP(K1497,[2]Hoja4!$A$2:$C$443,3,FALSE)</f>
        <v>At home</v>
      </c>
      <c r="N1497" s="1"/>
      <c r="O1497" s="1"/>
      <c r="P1497" s="1"/>
      <c r="Q1497" s="1">
        <v>1017.6</v>
      </c>
      <c r="R1497" s="1">
        <v>0</v>
      </c>
      <c r="S1497" s="1">
        <v>65</v>
      </c>
      <c r="T1497" s="5">
        <v>0.10290000000000001</v>
      </c>
      <c r="U1497" s="10">
        <v>3.0000000000000001E-3</v>
      </c>
    </row>
    <row r="1498" spans="1:21" customFormat="1">
      <c r="A1498">
        <v>1</v>
      </c>
      <c r="B1498">
        <v>72</v>
      </c>
      <c r="C1498">
        <v>9</v>
      </c>
      <c r="D1498">
        <v>12</v>
      </c>
      <c r="E1498">
        <v>2020</v>
      </c>
      <c r="F1498">
        <v>7304</v>
      </c>
      <c r="G1498" t="str">
        <f>VLOOKUP(F1498,'[1]Sheet 1'!$B$2:$E$347,2,FALSE)</f>
        <v>Maule</v>
      </c>
      <c r="H1498" t="str">
        <f>VLOOKUP(F1498,'[1]Sheet 1'!$B$2:$E$347,3,FALSE)</f>
        <v>Curicó</v>
      </c>
      <c r="I1498" t="str">
        <f>VLOOKUP(F1498,'[1]Sheet 1'!$B$2:$E$347,4,FALSE)</f>
        <v>Molina</v>
      </c>
      <c r="J1498" t="s">
        <v>136</v>
      </c>
      <c r="K1498" s="3" t="s">
        <v>4</v>
      </c>
      <c r="L1498" s="12" t="str">
        <f>VLOOKUP(K1498,[2]Hoja4!$A$2:$C$443,2,FALSE)</f>
        <v>Intentional self-harm by hanging, strangulation and suffocation</v>
      </c>
      <c r="M1498" s="12" t="str">
        <f>VLOOKUP(K1498,[2]Hoja4!$A$2:$C$443,3,FALSE)</f>
        <v>At home</v>
      </c>
      <c r="N1498" s="1">
        <v>13.1</v>
      </c>
      <c r="O1498" s="1">
        <v>31.7</v>
      </c>
      <c r="P1498" s="1">
        <v>21.7</v>
      </c>
      <c r="Q1498" s="1">
        <v>988.3</v>
      </c>
      <c r="R1498" s="1">
        <v>0</v>
      </c>
      <c r="S1498" s="1">
        <v>49.5</v>
      </c>
      <c r="T1498" s="5">
        <v>0.10290000000000001</v>
      </c>
      <c r="U1498" s="10">
        <v>3.0000000000000001E-3</v>
      </c>
    </row>
    <row r="1499" spans="1:21" customFormat="1">
      <c r="A1499">
        <v>1</v>
      </c>
      <c r="B1499">
        <v>43</v>
      </c>
      <c r="C1499">
        <v>9</v>
      </c>
      <c r="D1499">
        <v>12</v>
      </c>
      <c r="E1499">
        <v>2020</v>
      </c>
      <c r="F1499">
        <v>13111</v>
      </c>
      <c r="G1499" t="str">
        <f>VLOOKUP(F1499,'[1]Sheet 1'!$B$2:$E$347,2,FALSE)</f>
        <v>Metropolitana de Santiago</v>
      </c>
      <c r="H1499" t="str">
        <f>VLOOKUP(F1499,'[1]Sheet 1'!$B$2:$E$347,3,FALSE)</f>
        <v>Santiago</v>
      </c>
      <c r="I1499" t="str">
        <f>VLOOKUP(F1499,'[1]Sheet 1'!$B$2:$E$347,4,FALSE)</f>
        <v>La Granja</v>
      </c>
      <c r="J1499" t="s">
        <v>136</v>
      </c>
      <c r="K1499" s="3" t="s">
        <v>0</v>
      </c>
      <c r="L1499" s="12" t="str">
        <f>VLOOKUP(K1499,[2]Hoja4!$A$2:$C$443,2,FALSE)</f>
        <v>Intentional self-harm by hanging, strangulation and suffocation</v>
      </c>
      <c r="M1499" s="12" t="str">
        <f>VLOOKUP(K1499,[2]Hoja4!$A$2:$C$443,3,FALSE)</f>
        <v>Unspecified place</v>
      </c>
      <c r="N1499" s="1">
        <v>12</v>
      </c>
      <c r="O1499" s="1">
        <v>33.299999999999997</v>
      </c>
      <c r="P1499" s="1">
        <v>22.8</v>
      </c>
      <c r="Q1499" s="1">
        <v>954.4</v>
      </c>
      <c r="R1499" s="1"/>
      <c r="S1499" s="1">
        <v>35.200000000000003</v>
      </c>
      <c r="T1499" s="5">
        <v>0.10290000000000001</v>
      </c>
      <c r="U1499" s="10">
        <v>3.0000000000000001E-3</v>
      </c>
    </row>
    <row r="1500" spans="1:21" customFormat="1">
      <c r="A1500">
        <v>1</v>
      </c>
      <c r="B1500">
        <v>44</v>
      </c>
      <c r="C1500">
        <v>9</v>
      </c>
      <c r="D1500">
        <v>12</v>
      </c>
      <c r="E1500">
        <v>2020</v>
      </c>
      <c r="F1500">
        <v>6101</v>
      </c>
      <c r="G1500" t="str">
        <f>VLOOKUP(F1500,'[1]Sheet 1'!$B$2:$E$347,2,FALSE)</f>
        <v>Libertador General Bernardo O'Higgins</v>
      </c>
      <c r="H1500" t="str">
        <f>VLOOKUP(F1500,'[1]Sheet 1'!$B$2:$E$347,3,FALSE)</f>
        <v>Cachapoal</v>
      </c>
      <c r="I1500" t="str">
        <f>VLOOKUP(F1500,'[1]Sheet 1'!$B$2:$E$347,4,FALSE)</f>
        <v>Rancagua</v>
      </c>
      <c r="J1500" t="s">
        <v>136</v>
      </c>
      <c r="K1500" s="3" t="s">
        <v>0</v>
      </c>
      <c r="L1500" s="12" t="str">
        <f>VLOOKUP(K1500,[2]Hoja4!$A$2:$C$443,2,FALSE)</f>
        <v>Intentional self-harm by hanging, strangulation and suffocation</v>
      </c>
      <c r="M1500" s="12" t="str">
        <f>VLOOKUP(K1500,[2]Hoja4!$A$2:$C$443,3,FALSE)</f>
        <v>Unspecified place</v>
      </c>
      <c r="N1500" s="1">
        <v>12.3</v>
      </c>
      <c r="O1500" s="1">
        <v>32.6</v>
      </c>
      <c r="P1500" s="1">
        <v>22.4</v>
      </c>
      <c r="Q1500" s="1">
        <v>958.3</v>
      </c>
      <c r="R1500" s="1">
        <v>0</v>
      </c>
      <c r="S1500" s="1">
        <v>45.2</v>
      </c>
      <c r="T1500" s="5">
        <v>0.10290000000000001</v>
      </c>
      <c r="U1500" s="10">
        <v>3.0000000000000001E-3</v>
      </c>
    </row>
    <row r="1501" spans="1:21" customFormat="1">
      <c r="A1501">
        <v>1</v>
      </c>
      <c r="B1501">
        <v>36</v>
      </c>
      <c r="C1501">
        <v>9</v>
      </c>
      <c r="D1501">
        <v>12</v>
      </c>
      <c r="E1501">
        <v>2020</v>
      </c>
      <c r="F1501">
        <v>3101</v>
      </c>
      <c r="G1501" t="str">
        <f>VLOOKUP(F1501,'[1]Sheet 1'!$B$2:$E$347,2,FALSE)</f>
        <v>Atacama</v>
      </c>
      <c r="H1501" t="str">
        <f>VLOOKUP(F1501,'[1]Sheet 1'!$B$2:$E$347,3,FALSE)</f>
        <v>Copiapó</v>
      </c>
      <c r="I1501" t="str">
        <f>VLOOKUP(F1501,'[1]Sheet 1'!$B$2:$E$347,4,FALSE)</f>
        <v>Copiapó</v>
      </c>
      <c r="J1501" t="s">
        <v>136</v>
      </c>
      <c r="K1501" s="3" t="s">
        <v>4</v>
      </c>
      <c r="L1501" s="12" t="str">
        <f>VLOOKUP(K1501,[2]Hoja4!$A$2:$C$443,2,FALSE)</f>
        <v>Intentional self-harm by hanging, strangulation and suffocation</v>
      </c>
      <c r="M1501" s="12" t="str">
        <f>VLOOKUP(K1501,[2]Hoja4!$A$2:$C$443,3,FALSE)</f>
        <v>At home</v>
      </c>
      <c r="N1501" s="1">
        <v>13</v>
      </c>
      <c r="O1501" s="1">
        <v>20.8</v>
      </c>
      <c r="P1501" s="1">
        <v>15</v>
      </c>
      <c r="Q1501" s="1">
        <v>992.6</v>
      </c>
      <c r="R1501" s="1">
        <v>0</v>
      </c>
      <c r="S1501" s="1">
        <v>79.8</v>
      </c>
      <c r="T1501" s="5">
        <v>0.10290000000000001</v>
      </c>
      <c r="U1501" s="10">
        <v>3.0000000000000001E-3</v>
      </c>
    </row>
    <row r="1502" spans="1:21" customFormat="1">
      <c r="A1502">
        <v>1</v>
      </c>
      <c r="B1502">
        <v>33</v>
      </c>
      <c r="C1502">
        <v>9</v>
      </c>
      <c r="D1502">
        <v>12</v>
      </c>
      <c r="E1502">
        <v>2020</v>
      </c>
      <c r="F1502">
        <v>1101</v>
      </c>
      <c r="G1502" t="str">
        <f>VLOOKUP(F1502,'[1]Sheet 1'!$B$2:$E$347,2,FALSE)</f>
        <v>Tarapacá</v>
      </c>
      <c r="H1502" t="str">
        <f>VLOOKUP(F1502,'[1]Sheet 1'!$B$2:$E$347,3,FALSE)</f>
        <v>Iquique</v>
      </c>
      <c r="I1502" t="str">
        <f>VLOOKUP(F1502,'[1]Sheet 1'!$B$2:$E$347,4,FALSE)</f>
        <v>Iquique</v>
      </c>
      <c r="J1502" t="s">
        <v>136</v>
      </c>
      <c r="K1502" s="3" t="s">
        <v>4</v>
      </c>
      <c r="L1502" s="12" t="str">
        <f>VLOOKUP(K1502,[2]Hoja4!$A$2:$C$443,2,FALSE)</f>
        <v>Intentional self-harm by hanging, strangulation and suffocation</v>
      </c>
      <c r="M1502" s="12" t="str">
        <f>VLOOKUP(K1502,[2]Hoja4!$A$2:$C$443,3,FALSE)</f>
        <v>At home</v>
      </c>
      <c r="N1502" s="1">
        <v>16.5</v>
      </c>
      <c r="O1502" s="1">
        <v>20.100000000000001</v>
      </c>
      <c r="P1502" s="1">
        <v>18.5</v>
      </c>
      <c r="Q1502" s="1">
        <v>1013</v>
      </c>
      <c r="R1502" s="1">
        <v>0</v>
      </c>
      <c r="S1502" s="1">
        <v>75.400000000000006</v>
      </c>
      <c r="T1502" s="5">
        <v>0.10290000000000001</v>
      </c>
      <c r="U1502" s="10">
        <v>3.0000000000000001E-3</v>
      </c>
    </row>
    <row r="1503" spans="1:21" customFormat="1">
      <c r="A1503">
        <v>1</v>
      </c>
      <c r="B1503">
        <v>63</v>
      </c>
      <c r="C1503">
        <v>10</v>
      </c>
      <c r="D1503">
        <v>12</v>
      </c>
      <c r="E1503">
        <v>2020</v>
      </c>
      <c r="F1503">
        <v>10301</v>
      </c>
      <c r="G1503" t="str">
        <f>VLOOKUP(F1503,'[1]Sheet 1'!$B$2:$E$347,2,FALSE)</f>
        <v>Los Lagos</v>
      </c>
      <c r="H1503" t="str">
        <f>VLOOKUP(F1503,'[1]Sheet 1'!$B$2:$E$347,3,FALSE)</f>
        <v>Osorno</v>
      </c>
      <c r="I1503" t="str">
        <f>VLOOKUP(F1503,'[1]Sheet 1'!$B$2:$E$347,4,FALSE)</f>
        <v>Osorno</v>
      </c>
      <c r="J1503" t="s">
        <v>179</v>
      </c>
      <c r="K1503" s="3" t="s">
        <v>5</v>
      </c>
      <c r="L1503" s="12" t="str">
        <f>VLOOKUP(K1503,[2]Hoja4!$A$2:$C$443,2,FALSE)</f>
        <v>Intentional self-harm by other and unspecified firearm discharge</v>
      </c>
      <c r="M1503" s="12" t="str">
        <f>VLOOKUP(K1503,[2]Hoja4!$A$2:$C$443,3,FALSE)</f>
        <v>At home</v>
      </c>
      <c r="N1503" s="1">
        <v>9.1</v>
      </c>
      <c r="O1503" s="1">
        <v>18.7</v>
      </c>
      <c r="P1503" s="1">
        <v>13.9</v>
      </c>
      <c r="Q1503" s="1">
        <v>1004.9</v>
      </c>
      <c r="R1503" s="1">
        <v>8.4</v>
      </c>
      <c r="S1503" s="1">
        <v>71.2</v>
      </c>
      <c r="T1503" s="5">
        <v>0.10290000000000001</v>
      </c>
      <c r="U1503" s="10">
        <v>3.0000000000000001E-3</v>
      </c>
    </row>
    <row r="1504" spans="1:21" customFormat="1">
      <c r="A1504">
        <v>1</v>
      </c>
      <c r="B1504">
        <v>19</v>
      </c>
      <c r="C1504">
        <v>10</v>
      </c>
      <c r="D1504">
        <v>12</v>
      </c>
      <c r="E1504">
        <v>2020</v>
      </c>
      <c r="F1504">
        <v>8202</v>
      </c>
      <c r="G1504" t="str">
        <f>VLOOKUP(F1504,'[1]Sheet 1'!$B$2:$E$347,2,FALSE)</f>
        <v>Biobío</v>
      </c>
      <c r="H1504" t="str">
        <f>VLOOKUP(F1504,'[1]Sheet 1'!$B$2:$E$347,3,FALSE)</f>
        <v>Arauco</v>
      </c>
      <c r="I1504" t="str">
        <f>VLOOKUP(F1504,'[1]Sheet 1'!$B$2:$E$347,4,FALSE)</f>
        <v>Arauco</v>
      </c>
      <c r="J1504" t="s">
        <v>153</v>
      </c>
      <c r="K1504" s="3" t="s">
        <v>15</v>
      </c>
      <c r="L1504" s="12" t="str">
        <f>VLOOKUP(K1504,[2]Hoja4!$A$2:$C$443,2,FALSE)</f>
        <v>Intentional self-poisoning by and exposure to carbon monoxide and other gases and vapours</v>
      </c>
      <c r="M1504" s="12" t="str">
        <f>VLOOKUP(K1504,[2]Hoja4!$A$2:$C$443,3,FALSE)</f>
        <v>At home</v>
      </c>
      <c r="N1504" s="1">
        <v>8.6999999999999993</v>
      </c>
      <c r="O1504" s="1">
        <v>18.899999999999999</v>
      </c>
      <c r="P1504" s="1">
        <v>14.3</v>
      </c>
      <c r="Q1504" s="1">
        <v>1016.6</v>
      </c>
      <c r="R1504" s="1">
        <v>0.8</v>
      </c>
      <c r="S1504" s="1">
        <v>70</v>
      </c>
      <c r="T1504" s="5">
        <v>0.10290000000000001</v>
      </c>
      <c r="U1504" s="10">
        <v>3.0000000000000001E-3</v>
      </c>
    </row>
    <row r="1505" spans="1:21" customFormat="1">
      <c r="A1505">
        <v>1</v>
      </c>
      <c r="B1505">
        <v>50</v>
      </c>
      <c r="C1505">
        <v>11</v>
      </c>
      <c r="D1505">
        <v>12</v>
      </c>
      <c r="E1505">
        <v>2020</v>
      </c>
      <c r="F1505">
        <v>5402</v>
      </c>
      <c r="G1505" t="str">
        <f>VLOOKUP(F1505,'[1]Sheet 1'!$B$2:$E$347,2,FALSE)</f>
        <v>Valparaíso</v>
      </c>
      <c r="H1505" t="str">
        <f>VLOOKUP(F1505,'[1]Sheet 1'!$B$2:$E$347,3,FALSE)</f>
        <v>Petorca</v>
      </c>
      <c r="I1505" t="str">
        <f>VLOOKUP(F1505,'[1]Sheet 1'!$B$2:$E$347,4,FALSE)</f>
        <v>Cabildo</v>
      </c>
      <c r="J1505" t="s">
        <v>142</v>
      </c>
      <c r="K1505" s="3" t="s">
        <v>24</v>
      </c>
      <c r="L1505" s="12" t="str">
        <f>VLOOKUP(K1505,[2]Hoja4!$A$2:$C$443,2,FALSE)</f>
        <v>Intentional self-harm by other and unspecified firearm discharge</v>
      </c>
      <c r="M1505" s="12" t="str">
        <f>VLOOKUP(K1505,[2]Hoja4!$A$2:$C$443,3,FALSE)</f>
        <v>Industrial and construction area</v>
      </c>
      <c r="N1505" s="1">
        <v>16.899999999999999</v>
      </c>
      <c r="O1505" s="1">
        <v>27.9</v>
      </c>
      <c r="P1505" s="1">
        <v>22.4</v>
      </c>
      <c r="Q1505" s="1">
        <v>1017.9</v>
      </c>
      <c r="R1505" s="1">
        <v>0</v>
      </c>
      <c r="S1505" s="1">
        <v>46.5</v>
      </c>
      <c r="T1505" s="5">
        <v>0.10290000000000001</v>
      </c>
      <c r="U1505" s="10">
        <v>3.0000000000000001E-3</v>
      </c>
    </row>
    <row r="1506" spans="1:21" customFormat="1">
      <c r="A1506">
        <v>1</v>
      </c>
      <c r="B1506">
        <v>40</v>
      </c>
      <c r="C1506">
        <v>11</v>
      </c>
      <c r="D1506">
        <v>12</v>
      </c>
      <c r="E1506">
        <v>2020</v>
      </c>
      <c r="F1506">
        <v>8306</v>
      </c>
      <c r="G1506" t="str">
        <f>VLOOKUP(F1506,'[1]Sheet 1'!$B$2:$E$347,2,FALSE)</f>
        <v>Biobío</v>
      </c>
      <c r="H1506" t="str">
        <f>VLOOKUP(F1506,'[1]Sheet 1'!$B$2:$E$347,3,FALSE)</f>
        <v>Biobío</v>
      </c>
      <c r="I1506" t="str">
        <f>VLOOKUP(F1506,'[1]Sheet 1'!$B$2:$E$347,4,FALSE)</f>
        <v>Nacimiento</v>
      </c>
      <c r="J1506" t="s">
        <v>136</v>
      </c>
      <c r="K1506" s="3" t="s">
        <v>2</v>
      </c>
      <c r="L1506" s="12" t="str">
        <f>VLOOKUP(K1506,[2]Hoja4!$A$2:$C$443,2,FALSE)</f>
        <v>Intentional self-harm by hanging, strangulation and suffocation</v>
      </c>
      <c r="M1506" s="12" t="str">
        <f>VLOOKUP(K1506,[2]Hoja4!$A$2:$C$443,3,FALSE)</f>
        <v>Street and highway</v>
      </c>
      <c r="N1506" s="1">
        <v>9.8000000000000007</v>
      </c>
      <c r="O1506" s="1">
        <v>24.4</v>
      </c>
      <c r="P1506" s="1">
        <v>17.100000000000001</v>
      </c>
      <c r="Q1506" s="1">
        <v>1004.9</v>
      </c>
      <c r="R1506" s="1">
        <v>0</v>
      </c>
      <c r="S1506" s="1">
        <v>46.4</v>
      </c>
      <c r="T1506" s="5">
        <v>0.10290000000000001</v>
      </c>
      <c r="U1506" s="10">
        <v>3.0000000000000001E-3</v>
      </c>
    </row>
    <row r="1507" spans="1:21" customFormat="1">
      <c r="A1507">
        <v>1</v>
      </c>
      <c r="B1507">
        <v>33</v>
      </c>
      <c r="C1507">
        <v>11</v>
      </c>
      <c r="D1507">
        <v>12</v>
      </c>
      <c r="E1507">
        <v>2020</v>
      </c>
      <c r="F1507">
        <v>5701</v>
      </c>
      <c r="G1507" t="str">
        <f>VLOOKUP(F1507,'[1]Sheet 1'!$B$2:$E$347,2,FALSE)</f>
        <v>Valparaíso</v>
      </c>
      <c r="H1507" t="str">
        <f>VLOOKUP(F1507,'[1]Sheet 1'!$B$2:$E$347,3,FALSE)</f>
        <v>San Felipe de Aconcagua</v>
      </c>
      <c r="I1507" t="str">
        <f>VLOOKUP(F1507,'[1]Sheet 1'!$B$2:$E$347,4,FALSE)</f>
        <v>San Felipe</v>
      </c>
      <c r="J1507" t="s">
        <v>136</v>
      </c>
      <c r="K1507" s="3" t="s">
        <v>4</v>
      </c>
      <c r="L1507" s="12" t="str">
        <f>VLOOKUP(K1507,[2]Hoja4!$A$2:$C$443,2,FALSE)</f>
        <v>Intentional self-harm by hanging, strangulation and suffocation</v>
      </c>
      <c r="M1507" s="12" t="str">
        <f>VLOOKUP(K1507,[2]Hoja4!$A$2:$C$443,3,FALSE)</f>
        <v>At home</v>
      </c>
      <c r="N1507" s="1">
        <v>8.1</v>
      </c>
      <c r="O1507" s="1">
        <v>32.299999999999997</v>
      </c>
      <c r="P1507" s="1">
        <v>20.2</v>
      </c>
      <c r="Q1507" s="1">
        <v>938.2</v>
      </c>
      <c r="R1507" s="1">
        <v>0</v>
      </c>
      <c r="S1507" s="1">
        <v>40.200000000000003</v>
      </c>
      <c r="T1507" s="5">
        <v>0.10290000000000001</v>
      </c>
      <c r="U1507" s="10">
        <v>3.0000000000000001E-3</v>
      </c>
    </row>
    <row r="1508" spans="1:21" customFormat="1">
      <c r="A1508">
        <v>1</v>
      </c>
      <c r="B1508">
        <v>30</v>
      </c>
      <c r="C1508">
        <v>11</v>
      </c>
      <c r="D1508">
        <v>12</v>
      </c>
      <c r="E1508">
        <v>2020</v>
      </c>
      <c r="F1508">
        <v>13101</v>
      </c>
      <c r="G1508" t="str">
        <f>VLOOKUP(F1508,'[1]Sheet 1'!$B$2:$E$347,2,FALSE)</f>
        <v>Metropolitana de Santiago</v>
      </c>
      <c r="H1508" t="str">
        <f>VLOOKUP(F1508,'[1]Sheet 1'!$B$2:$E$347,3,FALSE)</f>
        <v>Santiago</v>
      </c>
      <c r="I1508" t="str">
        <f>VLOOKUP(F1508,'[1]Sheet 1'!$B$2:$E$347,4,FALSE)</f>
        <v>Santiago</v>
      </c>
      <c r="J1508" t="s">
        <v>136</v>
      </c>
      <c r="K1508" s="3" t="s">
        <v>0</v>
      </c>
      <c r="L1508" s="12" t="str">
        <f>VLOOKUP(K1508,[2]Hoja4!$A$2:$C$443,2,FALSE)</f>
        <v>Intentional self-harm by hanging, strangulation and suffocation</v>
      </c>
      <c r="M1508" s="12" t="str">
        <f>VLOOKUP(K1508,[2]Hoja4!$A$2:$C$443,3,FALSE)</f>
        <v>Unspecified place</v>
      </c>
      <c r="N1508" s="1">
        <v>9.5</v>
      </c>
      <c r="O1508" s="1">
        <v>29.8</v>
      </c>
      <c r="P1508" s="1">
        <v>19.100000000000001</v>
      </c>
      <c r="Q1508" s="1">
        <v>955.1</v>
      </c>
      <c r="R1508" s="1"/>
      <c r="S1508" s="1">
        <v>45.3</v>
      </c>
      <c r="T1508" s="5">
        <v>0.10290000000000001</v>
      </c>
      <c r="U1508" s="10">
        <v>3.0000000000000001E-3</v>
      </c>
    </row>
    <row r="1509" spans="1:21" customFormat="1">
      <c r="A1509">
        <v>2</v>
      </c>
      <c r="B1509">
        <v>27</v>
      </c>
      <c r="C1509">
        <v>12</v>
      </c>
      <c r="D1509">
        <v>12</v>
      </c>
      <c r="E1509">
        <v>2020</v>
      </c>
      <c r="F1509">
        <v>5103</v>
      </c>
      <c r="G1509" t="str">
        <f>VLOOKUP(F1509,'[1]Sheet 1'!$B$2:$E$347,2,FALSE)</f>
        <v>Valparaíso</v>
      </c>
      <c r="H1509" t="str">
        <f>VLOOKUP(F1509,'[1]Sheet 1'!$B$2:$E$347,3,FALSE)</f>
        <v>Valparaíso</v>
      </c>
      <c r="I1509" t="str">
        <f>VLOOKUP(F1509,'[1]Sheet 1'!$B$2:$E$347,4,FALSE)</f>
        <v>Concón</v>
      </c>
      <c r="J1509" t="s">
        <v>136</v>
      </c>
      <c r="K1509" s="3" t="s">
        <v>4</v>
      </c>
      <c r="L1509" s="12" t="str">
        <f>VLOOKUP(K1509,[2]Hoja4!$A$2:$C$443,2,FALSE)</f>
        <v>Intentional self-harm by hanging, strangulation and suffocation</v>
      </c>
      <c r="M1509" s="12" t="str">
        <f>VLOOKUP(K1509,[2]Hoja4!$A$2:$C$443,3,FALSE)</f>
        <v>At home</v>
      </c>
      <c r="N1509" s="1">
        <v>9.8000000000000007</v>
      </c>
      <c r="O1509" s="1">
        <v>27.9</v>
      </c>
      <c r="P1509" s="1">
        <v>16.600000000000001</v>
      </c>
      <c r="Q1509" s="1">
        <v>977.7</v>
      </c>
      <c r="R1509" s="1">
        <v>0</v>
      </c>
      <c r="S1509" s="1">
        <v>51.5</v>
      </c>
      <c r="T1509" s="5">
        <v>0.10290000000000001</v>
      </c>
      <c r="U1509" s="10">
        <v>3.0000000000000001E-3</v>
      </c>
    </row>
    <row r="1510" spans="1:21" customFormat="1">
      <c r="A1510">
        <v>1</v>
      </c>
      <c r="B1510">
        <v>50</v>
      </c>
      <c r="C1510">
        <v>13</v>
      </c>
      <c r="D1510">
        <v>12</v>
      </c>
      <c r="E1510">
        <v>2020</v>
      </c>
      <c r="F1510">
        <v>13402</v>
      </c>
      <c r="G1510" t="str">
        <f>VLOOKUP(F1510,'[1]Sheet 1'!$B$2:$E$347,2,FALSE)</f>
        <v>Metropolitana de Santiago</v>
      </c>
      <c r="H1510" t="str">
        <f>VLOOKUP(F1510,'[1]Sheet 1'!$B$2:$E$347,3,FALSE)</f>
        <v>Maipo</v>
      </c>
      <c r="I1510" t="str">
        <f>VLOOKUP(F1510,'[1]Sheet 1'!$B$2:$E$347,4,FALSE)</f>
        <v>Buin</v>
      </c>
      <c r="J1510" t="s">
        <v>136</v>
      </c>
      <c r="K1510" s="3" t="s">
        <v>0</v>
      </c>
      <c r="L1510" s="12" t="str">
        <f>VLOOKUP(K1510,[2]Hoja4!$A$2:$C$443,2,FALSE)</f>
        <v>Intentional self-harm by hanging, strangulation and suffocation</v>
      </c>
      <c r="M1510" s="12" t="str">
        <f>VLOOKUP(K1510,[2]Hoja4!$A$2:$C$443,3,FALSE)</f>
        <v>Unspecified place</v>
      </c>
      <c r="N1510" s="1">
        <v>10.1</v>
      </c>
      <c r="O1510" s="1">
        <v>32.299999999999997</v>
      </c>
      <c r="P1510" s="1">
        <v>20.9</v>
      </c>
      <c r="Q1510" s="1">
        <v>964.9</v>
      </c>
      <c r="R1510" s="1">
        <v>0</v>
      </c>
      <c r="S1510" s="1">
        <v>42.4</v>
      </c>
      <c r="T1510" s="5">
        <v>0.10290000000000001</v>
      </c>
      <c r="U1510" s="10">
        <v>3.0000000000000001E-3</v>
      </c>
    </row>
    <row r="1511" spans="1:21" customFormat="1">
      <c r="A1511">
        <v>1</v>
      </c>
      <c r="B1511">
        <v>38</v>
      </c>
      <c r="C1511">
        <v>13</v>
      </c>
      <c r="D1511">
        <v>12</v>
      </c>
      <c r="E1511">
        <v>2020</v>
      </c>
      <c r="F1511">
        <v>5101</v>
      </c>
      <c r="G1511" t="str">
        <f>VLOOKUP(F1511,'[1]Sheet 1'!$B$2:$E$347,2,FALSE)</f>
        <v>Valparaíso</v>
      </c>
      <c r="H1511" t="str">
        <f>VLOOKUP(F1511,'[1]Sheet 1'!$B$2:$E$347,3,FALSE)</f>
        <v>Valparaíso</v>
      </c>
      <c r="I1511" t="str">
        <f>VLOOKUP(F1511,'[1]Sheet 1'!$B$2:$E$347,4,FALSE)</f>
        <v>Valparaíso</v>
      </c>
      <c r="J1511" t="s">
        <v>136</v>
      </c>
      <c r="K1511" s="3" t="s">
        <v>0</v>
      </c>
      <c r="L1511" s="12" t="str">
        <f>VLOOKUP(K1511,[2]Hoja4!$A$2:$C$443,2,FALSE)</f>
        <v>Intentional self-harm by hanging, strangulation and suffocation</v>
      </c>
      <c r="M1511" s="12" t="str">
        <f>VLOOKUP(K1511,[2]Hoja4!$A$2:$C$443,3,FALSE)</f>
        <v>Unspecified place</v>
      </c>
      <c r="N1511" s="1">
        <v>13.4</v>
      </c>
      <c r="O1511" s="1">
        <v>30.8</v>
      </c>
      <c r="P1511" s="1">
        <v>20.3</v>
      </c>
      <c r="Q1511" s="1">
        <v>975.8</v>
      </c>
      <c r="R1511" s="1">
        <v>0</v>
      </c>
      <c r="S1511" s="1">
        <v>43.8</v>
      </c>
      <c r="T1511" s="5">
        <v>0.10290000000000001</v>
      </c>
      <c r="U1511" s="10">
        <v>3.0000000000000001E-3</v>
      </c>
    </row>
    <row r="1512" spans="1:21" customFormat="1">
      <c r="A1512">
        <v>1</v>
      </c>
      <c r="B1512">
        <v>29</v>
      </c>
      <c r="C1512">
        <v>13</v>
      </c>
      <c r="D1512">
        <v>12</v>
      </c>
      <c r="E1512">
        <v>2020</v>
      </c>
      <c r="F1512">
        <v>13118</v>
      </c>
      <c r="G1512" t="str">
        <f>VLOOKUP(F1512,'[1]Sheet 1'!$B$2:$E$347,2,FALSE)</f>
        <v>Metropolitana de Santiago</v>
      </c>
      <c r="H1512" t="str">
        <f>VLOOKUP(F1512,'[1]Sheet 1'!$B$2:$E$347,3,FALSE)</f>
        <v>Santiago</v>
      </c>
      <c r="I1512" t="str">
        <f>VLOOKUP(F1512,'[1]Sheet 1'!$B$2:$E$347,4,FALSE)</f>
        <v>Macul</v>
      </c>
      <c r="J1512" t="s">
        <v>136</v>
      </c>
      <c r="K1512" s="3" t="s">
        <v>0</v>
      </c>
      <c r="L1512" s="12" t="str">
        <f>VLOOKUP(K1512,[2]Hoja4!$A$2:$C$443,2,FALSE)</f>
        <v>Intentional self-harm by hanging, strangulation and suffocation</v>
      </c>
      <c r="M1512" s="12" t="str">
        <f>VLOOKUP(K1512,[2]Hoja4!$A$2:$C$443,3,FALSE)</f>
        <v>Unspecified place</v>
      </c>
      <c r="N1512" s="1">
        <v>11.5</v>
      </c>
      <c r="O1512" s="1">
        <v>32.4</v>
      </c>
      <c r="P1512" s="1">
        <v>21.6</v>
      </c>
      <c r="Q1512" s="1">
        <v>955.8</v>
      </c>
      <c r="R1512" s="1"/>
      <c r="S1512" s="1">
        <v>41.2</v>
      </c>
      <c r="T1512" s="5">
        <v>0.10290000000000001</v>
      </c>
      <c r="U1512" s="10">
        <v>3.0000000000000001E-3</v>
      </c>
    </row>
    <row r="1513" spans="1:21" customFormat="1">
      <c r="A1513">
        <v>2</v>
      </c>
      <c r="B1513">
        <v>29</v>
      </c>
      <c r="C1513">
        <v>13</v>
      </c>
      <c r="D1513">
        <v>12</v>
      </c>
      <c r="E1513">
        <v>2020</v>
      </c>
      <c r="F1513">
        <v>6302</v>
      </c>
      <c r="G1513" t="str">
        <f>VLOOKUP(F1513,'[1]Sheet 1'!$B$2:$E$347,2,FALSE)</f>
        <v>Libertador General Bernardo O'Higgins</v>
      </c>
      <c r="H1513" t="str">
        <f>VLOOKUP(F1513,'[1]Sheet 1'!$B$2:$E$347,3,FALSE)</f>
        <v>Colchagua</v>
      </c>
      <c r="I1513" t="str">
        <f>VLOOKUP(F1513,'[1]Sheet 1'!$B$2:$E$347,4,FALSE)</f>
        <v>Chépica</v>
      </c>
      <c r="J1513" t="s">
        <v>136</v>
      </c>
      <c r="K1513" s="3" t="s">
        <v>0</v>
      </c>
      <c r="L1513" s="12" t="str">
        <f>VLOOKUP(K1513,[2]Hoja4!$A$2:$C$443,2,FALSE)</f>
        <v>Intentional self-harm by hanging, strangulation and suffocation</v>
      </c>
      <c r="M1513" s="12" t="str">
        <f>VLOOKUP(K1513,[2]Hoja4!$A$2:$C$443,3,FALSE)</f>
        <v>Unspecified place</v>
      </c>
      <c r="N1513" s="1">
        <v>13.8</v>
      </c>
      <c r="O1513" s="1">
        <v>27.7</v>
      </c>
      <c r="P1513" s="1">
        <v>20.8</v>
      </c>
      <c r="Q1513" s="1">
        <v>981.2</v>
      </c>
      <c r="R1513" s="1">
        <v>0</v>
      </c>
      <c r="S1513" s="1">
        <v>45.4</v>
      </c>
      <c r="T1513" s="5">
        <v>0.10290000000000001</v>
      </c>
      <c r="U1513" s="10">
        <v>3.0000000000000001E-3</v>
      </c>
    </row>
    <row r="1514" spans="1:21" customFormat="1">
      <c r="A1514">
        <v>1</v>
      </c>
      <c r="B1514">
        <v>21</v>
      </c>
      <c r="C1514">
        <v>13</v>
      </c>
      <c r="D1514">
        <v>12</v>
      </c>
      <c r="E1514">
        <v>2020</v>
      </c>
      <c r="F1514">
        <v>7102</v>
      </c>
      <c r="G1514" t="str">
        <f>VLOOKUP(F1514,'[1]Sheet 1'!$B$2:$E$347,2,FALSE)</f>
        <v>Maule</v>
      </c>
      <c r="H1514" t="str">
        <f>VLOOKUP(F1514,'[1]Sheet 1'!$B$2:$E$347,3,FALSE)</f>
        <v>Talca</v>
      </c>
      <c r="I1514" t="str">
        <f>VLOOKUP(F1514,'[1]Sheet 1'!$B$2:$E$347,4,FALSE)</f>
        <v>Constitución</v>
      </c>
      <c r="J1514" t="s">
        <v>138</v>
      </c>
      <c r="K1514" s="3" t="s">
        <v>1</v>
      </c>
      <c r="L1514" s="12" t="str">
        <f>VLOOKUP(K1514,[2]Hoja4!$A$2:$C$443,2,FALSE)</f>
        <v>Intentional self-harm by unspecified means</v>
      </c>
      <c r="M1514" s="12" t="str">
        <f>VLOOKUP(K1514,[2]Hoja4!$A$2:$C$443,3,FALSE)</f>
        <v>Unspecified place</v>
      </c>
      <c r="N1514" s="1">
        <v>11.5</v>
      </c>
      <c r="O1514" s="1">
        <v>28.4</v>
      </c>
      <c r="P1514" s="1">
        <v>18.600000000000001</v>
      </c>
      <c r="Q1514" s="1">
        <v>1005.1</v>
      </c>
      <c r="R1514" s="1">
        <v>0</v>
      </c>
      <c r="S1514" s="1">
        <v>54.1</v>
      </c>
      <c r="T1514" s="5">
        <v>0.10290000000000001</v>
      </c>
      <c r="U1514" s="10">
        <v>3.0000000000000001E-3</v>
      </c>
    </row>
    <row r="1515" spans="1:21" customFormat="1">
      <c r="A1515">
        <v>1</v>
      </c>
      <c r="B1515">
        <v>21</v>
      </c>
      <c r="C1515">
        <v>13</v>
      </c>
      <c r="D1515">
        <v>12</v>
      </c>
      <c r="E1515">
        <v>2020</v>
      </c>
      <c r="F1515">
        <v>12101</v>
      </c>
      <c r="G1515" t="str">
        <f>VLOOKUP(F1515,'[1]Sheet 1'!$B$2:$E$347,2,FALSE)</f>
        <v>Magallanes y de la Antártica Chilena</v>
      </c>
      <c r="H1515" t="str">
        <f>VLOOKUP(F1515,'[1]Sheet 1'!$B$2:$E$347,3,FALSE)</f>
        <v>Magallanes</v>
      </c>
      <c r="I1515" t="str">
        <f>VLOOKUP(F1515,'[1]Sheet 1'!$B$2:$E$347,4,FALSE)</f>
        <v>Punta Arenas</v>
      </c>
      <c r="J1515" t="s">
        <v>136</v>
      </c>
      <c r="K1515" s="3" t="s">
        <v>0</v>
      </c>
      <c r="L1515" s="12" t="str">
        <f>VLOOKUP(K1515,[2]Hoja4!$A$2:$C$443,2,FALSE)</f>
        <v>Intentional self-harm by hanging, strangulation and suffocation</v>
      </c>
      <c r="M1515" s="12" t="str">
        <f>VLOOKUP(K1515,[2]Hoja4!$A$2:$C$443,3,FALSE)</f>
        <v>Unspecified place</v>
      </c>
      <c r="N1515" s="1">
        <v>5</v>
      </c>
      <c r="O1515" s="1">
        <v>12.2</v>
      </c>
      <c r="P1515" s="1">
        <v>8</v>
      </c>
      <c r="Q1515" s="1">
        <v>986</v>
      </c>
      <c r="R1515" s="1">
        <v>1.2</v>
      </c>
      <c r="S1515" s="1">
        <v>64.5</v>
      </c>
      <c r="T1515" s="5">
        <v>0.10290000000000001</v>
      </c>
      <c r="U1515" s="10">
        <v>3.0000000000000001E-3</v>
      </c>
    </row>
    <row r="1516" spans="1:21" customFormat="1">
      <c r="A1516">
        <v>1</v>
      </c>
      <c r="B1516">
        <v>27</v>
      </c>
      <c r="C1516">
        <v>13</v>
      </c>
      <c r="D1516">
        <v>12</v>
      </c>
      <c r="E1516">
        <v>2020</v>
      </c>
      <c r="F1516">
        <v>4101</v>
      </c>
      <c r="G1516" t="str">
        <f>VLOOKUP(F1516,'[1]Sheet 1'!$B$2:$E$347,2,FALSE)</f>
        <v>Coquimbo</v>
      </c>
      <c r="H1516" t="str">
        <f>VLOOKUP(F1516,'[1]Sheet 1'!$B$2:$E$347,3,FALSE)</f>
        <v>Elqui</v>
      </c>
      <c r="I1516" t="str">
        <f>VLOOKUP(F1516,'[1]Sheet 1'!$B$2:$E$347,4,FALSE)</f>
        <v>La Serena</v>
      </c>
      <c r="J1516" t="s">
        <v>136</v>
      </c>
      <c r="K1516" s="3" t="s">
        <v>4</v>
      </c>
      <c r="L1516" s="12" t="str">
        <f>VLOOKUP(K1516,[2]Hoja4!$A$2:$C$443,2,FALSE)</f>
        <v>Intentional self-harm by hanging, strangulation and suffocation</v>
      </c>
      <c r="M1516" s="12" t="str">
        <f>VLOOKUP(K1516,[2]Hoja4!$A$2:$C$443,3,FALSE)</f>
        <v>At home</v>
      </c>
      <c r="N1516" s="1">
        <v>11.5</v>
      </c>
      <c r="O1516" s="1">
        <v>17.8</v>
      </c>
      <c r="P1516" s="1">
        <v>14.6</v>
      </c>
      <c r="Q1516" s="1">
        <v>998.1</v>
      </c>
      <c r="R1516" s="1">
        <v>0</v>
      </c>
      <c r="S1516" s="1">
        <v>86.5</v>
      </c>
      <c r="T1516" s="5">
        <v>0.10290000000000001</v>
      </c>
      <c r="U1516" s="10">
        <v>3.0000000000000001E-3</v>
      </c>
    </row>
    <row r="1517" spans="1:21" customFormat="1">
      <c r="A1517">
        <v>1</v>
      </c>
      <c r="B1517">
        <v>28</v>
      </c>
      <c r="C1517">
        <v>13</v>
      </c>
      <c r="D1517">
        <v>12</v>
      </c>
      <c r="E1517">
        <v>2020</v>
      </c>
      <c r="F1517">
        <v>2201</v>
      </c>
      <c r="G1517" t="str">
        <f>VLOOKUP(F1517,'[1]Sheet 1'!$B$2:$E$347,2,FALSE)</f>
        <v>Antofagasta</v>
      </c>
      <c r="H1517" t="str">
        <f>VLOOKUP(F1517,'[1]Sheet 1'!$B$2:$E$347,3,FALSE)</f>
        <v>El Loa</v>
      </c>
      <c r="I1517" t="str">
        <f>VLOOKUP(F1517,'[1]Sheet 1'!$B$2:$E$347,4,FALSE)</f>
        <v>Calama</v>
      </c>
      <c r="J1517" t="s">
        <v>136</v>
      </c>
      <c r="K1517" s="3" t="s">
        <v>2</v>
      </c>
      <c r="L1517" s="12" t="str">
        <f>VLOOKUP(K1517,[2]Hoja4!$A$2:$C$443,2,FALSE)</f>
        <v>Intentional self-harm by hanging, strangulation and suffocation</v>
      </c>
      <c r="M1517" s="12" t="str">
        <f>VLOOKUP(K1517,[2]Hoja4!$A$2:$C$443,3,FALSE)</f>
        <v>Street and highway</v>
      </c>
      <c r="N1517" s="1">
        <v>4.2</v>
      </c>
      <c r="O1517" s="1">
        <v>26.4</v>
      </c>
      <c r="P1517" s="1">
        <v>16</v>
      </c>
      <c r="Q1517" s="1">
        <v>772.6</v>
      </c>
      <c r="R1517" s="1">
        <v>0</v>
      </c>
      <c r="S1517" s="1">
        <v>24.8</v>
      </c>
      <c r="T1517" s="5">
        <v>0.10290000000000001</v>
      </c>
      <c r="U1517" s="10">
        <v>3.0000000000000001E-3</v>
      </c>
    </row>
    <row r="1518" spans="1:21" customFormat="1">
      <c r="A1518">
        <v>1</v>
      </c>
      <c r="B1518">
        <v>66</v>
      </c>
      <c r="C1518">
        <v>14</v>
      </c>
      <c r="D1518">
        <v>12</v>
      </c>
      <c r="E1518">
        <v>2020</v>
      </c>
      <c r="F1518">
        <v>13105</v>
      </c>
      <c r="G1518" t="str">
        <f>VLOOKUP(F1518,'[1]Sheet 1'!$B$2:$E$347,2,FALSE)</f>
        <v>Metropolitana de Santiago</v>
      </c>
      <c r="H1518" t="str">
        <f>VLOOKUP(F1518,'[1]Sheet 1'!$B$2:$E$347,3,FALSE)</f>
        <v>Santiago</v>
      </c>
      <c r="I1518" t="str">
        <f>VLOOKUP(F1518,'[1]Sheet 1'!$B$2:$E$347,4,FALSE)</f>
        <v>El Bosque</v>
      </c>
      <c r="J1518" t="s">
        <v>136</v>
      </c>
      <c r="K1518" s="3" t="s">
        <v>0</v>
      </c>
      <c r="L1518" s="12" t="str">
        <f>VLOOKUP(K1518,[2]Hoja4!$A$2:$C$443,2,FALSE)</f>
        <v>Intentional self-harm by hanging, strangulation and suffocation</v>
      </c>
      <c r="M1518" s="12" t="str">
        <f>VLOOKUP(K1518,[2]Hoja4!$A$2:$C$443,3,FALSE)</f>
        <v>Unspecified place</v>
      </c>
      <c r="N1518" s="1">
        <v>12</v>
      </c>
      <c r="O1518" s="1">
        <v>30.4</v>
      </c>
      <c r="P1518" s="1">
        <v>22.7</v>
      </c>
      <c r="Q1518" s="1">
        <v>954</v>
      </c>
      <c r="R1518" s="1"/>
      <c r="S1518" s="1">
        <v>32.799999999999997</v>
      </c>
      <c r="T1518" s="5">
        <v>0.10290000000000001</v>
      </c>
      <c r="U1518" s="10">
        <v>3.0000000000000001E-3</v>
      </c>
    </row>
    <row r="1519" spans="1:21" customFormat="1">
      <c r="A1519">
        <v>2</v>
      </c>
      <c r="B1519">
        <v>46</v>
      </c>
      <c r="C1519">
        <v>14</v>
      </c>
      <c r="D1519">
        <v>12</v>
      </c>
      <c r="E1519">
        <v>2020</v>
      </c>
      <c r="F1519">
        <v>9201</v>
      </c>
      <c r="G1519" t="str">
        <f>VLOOKUP(F1519,'[1]Sheet 1'!$B$2:$E$347,2,FALSE)</f>
        <v>La Araucanía</v>
      </c>
      <c r="H1519" t="str">
        <f>VLOOKUP(F1519,'[1]Sheet 1'!$B$2:$E$347,3,FALSE)</f>
        <v>Malleco</v>
      </c>
      <c r="I1519" t="str">
        <f>VLOOKUP(F1519,'[1]Sheet 1'!$B$2:$E$347,4,FALSE)</f>
        <v>Angol</v>
      </c>
      <c r="J1519" t="s">
        <v>136</v>
      </c>
      <c r="K1519" s="3" t="s">
        <v>13</v>
      </c>
      <c r="L1519" s="12" t="str">
        <f>VLOOKUP(K1519,[2]Hoja4!$A$2:$C$443,2,FALSE)</f>
        <v>Intentional self-harm by hanging, strangulation and suffocation</v>
      </c>
      <c r="M1519" s="12" t="str">
        <f>VLOOKUP(K1519,[2]Hoja4!$A$2:$C$443,3,FALSE)</f>
        <v>Other specified places</v>
      </c>
      <c r="N1519" s="1">
        <v>7.8</v>
      </c>
      <c r="O1519" s="1">
        <v>22.9</v>
      </c>
      <c r="P1519" s="1">
        <v>15</v>
      </c>
      <c r="Q1519" s="1">
        <v>502.1</v>
      </c>
      <c r="R1519" s="1">
        <v>0</v>
      </c>
      <c r="S1519" s="1">
        <v>62.3</v>
      </c>
      <c r="T1519" s="5">
        <v>0.10290000000000001</v>
      </c>
      <c r="U1519" s="10">
        <v>3.0000000000000001E-3</v>
      </c>
    </row>
    <row r="1520" spans="1:21" customFormat="1">
      <c r="A1520">
        <v>1</v>
      </c>
      <c r="B1520">
        <v>38</v>
      </c>
      <c r="C1520">
        <v>14</v>
      </c>
      <c r="D1520">
        <v>12</v>
      </c>
      <c r="E1520">
        <v>2020</v>
      </c>
      <c r="F1520">
        <v>7105</v>
      </c>
      <c r="G1520" t="str">
        <f>VLOOKUP(F1520,'[1]Sheet 1'!$B$2:$E$347,2,FALSE)</f>
        <v>Maule</v>
      </c>
      <c r="H1520" t="str">
        <f>VLOOKUP(F1520,'[1]Sheet 1'!$B$2:$E$347,3,FALSE)</f>
        <v>Talca</v>
      </c>
      <c r="I1520" t="str">
        <f>VLOOKUP(F1520,'[1]Sheet 1'!$B$2:$E$347,4,FALSE)</f>
        <v>Maule</v>
      </c>
      <c r="J1520" t="s">
        <v>136</v>
      </c>
      <c r="K1520" s="3" t="s">
        <v>4</v>
      </c>
      <c r="L1520" s="12" t="str">
        <f>VLOOKUP(K1520,[2]Hoja4!$A$2:$C$443,2,FALSE)</f>
        <v>Intentional self-harm by hanging, strangulation and suffocation</v>
      </c>
      <c r="M1520" s="12" t="str">
        <f>VLOOKUP(K1520,[2]Hoja4!$A$2:$C$443,3,FALSE)</f>
        <v>At home</v>
      </c>
      <c r="N1520" s="1">
        <v>12</v>
      </c>
      <c r="O1520" s="1">
        <v>25.8</v>
      </c>
      <c r="P1520" s="1">
        <v>19.399999999999999</v>
      </c>
      <c r="Q1520" s="1">
        <v>1003.2</v>
      </c>
      <c r="R1520" s="1">
        <v>0</v>
      </c>
      <c r="S1520" s="1">
        <v>49.2</v>
      </c>
      <c r="T1520" s="5">
        <v>0.10290000000000001</v>
      </c>
      <c r="U1520" s="10">
        <v>3.0000000000000001E-3</v>
      </c>
    </row>
    <row r="1521" spans="1:21" customFormat="1">
      <c r="A1521">
        <v>2</v>
      </c>
      <c r="B1521">
        <v>38</v>
      </c>
      <c r="C1521">
        <v>14</v>
      </c>
      <c r="D1521">
        <v>12</v>
      </c>
      <c r="E1521">
        <v>2020</v>
      </c>
      <c r="F1521">
        <v>2201</v>
      </c>
      <c r="G1521" t="str">
        <f>VLOOKUP(F1521,'[1]Sheet 1'!$B$2:$E$347,2,FALSE)</f>
        <v>Antofagasta</v>
      </c>
      <c r="H1521" t="str">
        <f>VLOOKUP(F1521,'[1]Sheet 1'!$B$2:$E$347,3,FALSE)</f>
        <v>El Loa</v>
      </c>
      <c r="I1521" t="str">
        <f>VLOOKUP(F1521,'[1]Sheet 1'!$B$2:$E$347,4,FALSE)</f>
        <v>Calama</v>
      </c>
      <c r="J1521" t="s">
        <v>136</v>
      </c>
      <c r="K1521" s="3" t="s">
        <v>0</v>
      </c>
      <c r="L1521" s="12" t="str">
        <f>VLOOKUP(K1521,[2]Hoja4!$A$2:$C$443,2,FALSE)</f>
        <v>Intentional self-harm by hanging, strangulation and suffocation</v>
      </c>
      <c r="M1521" s="12" t="str">
        <f>VLOOKUP(K1521,[2]Hoja4!$A$2:$C$443,3,FALSE)</f>
        <v>Unspecified place</v>
      </c>
      <c r="N1521" s="1">
        <v>5.9</v>
      </c>
      <c r="O1521" s="1">
        <v>25.4</v>
      </c>
      <c r="P1521" s="1">
        <v>16.399999999999999</v>
      </c>
      <c r="Q1521" s="1">
        <v>772.1</v>
      </c>
      <c r="R1521" s="1">
        <v>0</v>
      </c>
      <c r="S1521" s="1">
        <v>18.5</v>
      </c>
      <c r="T1521" s="5">
        <v>0.10290000000000001</v>
      </c>
      <c r="U1521" s="10">
        <v>3.0000000000000001E-3</v>
      </c>
    </row>
    <row r="1522" spans="1:21" customFormat="1">
      <c r="A1522">
        <v>2</v>
      </c>
      <c r="B1522">
        <v>13</v>
      </c>
      <c r="C1522">
        <v>14</v>
      </c>
      <c r="D1522">
        <v>12</v>
      </c>
      <c r="E1522">
        <v>2020</v>
      </c>
      <c r="F1522">
        <v>5701</v>
      </c>
      <c r="G1522" t="str">
        <f>VLOOKUP(F1522,'[1]Sheet 1'!$B$2:$E$347,2,FALSE)</f>
        <v>Valparaíso</v>
      </c>
      <c r="H1522" t="str">
        <f>VLOOKUP(F1522,'[1]Sheet 1'!$B$2:$E$347,3,FALSE)</f>
        <v>San Felipe de Aconcagua</v>
      </c>
      <c r="I1522" t="str">
        <f>VLOOKUP(F1522,'[1]Sheet 1'!$B$2:$E$347,4,FALSE)</f>
        <v>San Felipe</v>
      </c>
      <c r="J1522" t="s">
        <v>136</v>
      </c>
      <c r="K1522" s="3" t="s">
        <v>0</v>
      </c>
      <c r="L1522" s="12" t="str">
        <f>VLOOKUP(K1522,[2]Hoja4!$A$2:$C$443,2,FALSE)</f>
        <v>Intentional self-harm by hanging, strangulation and suffocation</v>
      </c>
      <c r="M1522" s="12" t="str">
        <f>VLOOKUP(K1522,[2]Hoja4!$A$2:$C$443,3,FALSE)</f>
        <v>Unspecified place</v>
      </c>
      <c r="N1522" s="1">
        <v>11.6</v>
      </c>
      <c r="O1522" s="1" t="s">
        <v>105</v>
      </c>
      <c r="P1522" s="1">
        <v>23.2</v>
      </c>
      <c r="Q1522" s="1">
        <v>937.2</v>
      </c>
      <c r="R1522" s="1">
        <v>0</v>
      </c>
      <c r="S1522" s="1">
        <v>33.9</v>
      </c>
      <c r="T1522" s="5">
        <v>0.10290000000000001</v>
      </c>
      <c r="U1522" s="10">
        <v>3.0000000000000001E-3</v>
      </c>
    </row>
    <row r="1523" spans="1:21" customFormat="1">
      <c r="A1523">
        <v>1</v>
      </c>
      <c r="B1523">
        <v>26</v>
      </c>
      <c r="C1523">
        <v>14</v>
      </c>
      <c r="D1523">
        <v>12</v>
      </c>
      <c r="E1523">
        <v>2020</v>
      </c>
      <c r="F1523">
        <v>5801</v>
      </c>
      <c r="G1523" t="str">
        <f>VLOOKUP(F1523,'[1]Sheet 1'!$B$2:$E$347,2,FALSE)</f>
        <v>Valparaíso</v>
      </c>
      <c r="H1523" t="str">
        <f>VLOOKUP(F1523,'[1]Sheet 1'!$B$2:$E$347,3,FALSE)</f>
        <v>Marga Marga</v>
      </c>
      <c r="I1523" t="str">
        <f>VLOOKUP(F1523,'[1]Sheet 1'!$B$2:$E$347,4,FALSE)</f>
        <v>Quilpué</v>
      </c>
      <c r="J1523" t="s">
        <v>136</v>
      </c>
      <c r="K1523" s="3" t="s">
        <v>0</v>
      </c>
      <c r="L1523" s="12" t="str">
        <f>VLOOKUP(K1523,[2]Hoja4!$A$2:$C$443,2,FALSE)</f>
        <v>Intentional self-harm by hanging, strangulation and suffocation</v>
      </c>
      <c r="M1523" s="12" t="str">
        <f>VLOOKUP(K1523,[2]Hoja4!$A$2:$C$443,3,FALSE)</f>
        <v>Unspecified place</v>
      </c>
      <c r="N1523" s="1">
        <v>7.9</v>
      </c>
      <c r="O1523" s="1">
        <v>28.5</v>
      </c>
      <c r="P1523" s="1">
        <v>18.7</v>
      </c>
      <c r="Q1523" s="1">
        <v>1010.7</v>
      </c>
      <c r="R1523" s="1">
        <v>0</v>
      </c>
      <c r="S1523" s="1">
        <v>55.2</v>
      </c>
      <c r="T1523" s="5">
        <v>0.10290000000000001</v>
      </c>
      <c r="U1523" s="10">
        <v>3.0000000000000001E-3</v>
      </c>
    </row>
    <row r="1524" spans="1:21" customFormat="1">
      <c r="A1524">
        <v>1</v>
      </c>
      <c r="B1524">
        <v>15</v>
      </c>
      <c r="C1524">
        <v>15</v>
      </c>
      <c r="D1524">
        <v>12</v>
      </c>
      <c r="E1524">
        <v>2020</v>
      </c>
      <c r="F1524">
        <v>13401</v>
      </c>
      <c r="G1524" t="str">
        <f>VLOOKUP(F1524,'[1]Sheet 1'!$B$2:$E$347,2,FALSE)</f>
        <v>Metropolitana de Santiago</v>
      </c>
      <c r="H1524" t="str">
        <f>VLOOKUP(F1524,'[1]Sheet 1'!$B$2:$E$347,3,FALSE)</f>
        <v>Maipo</v>
      </c>
      <c r="I1524" t="str">
        <f>VLOOKUP(F1524,'[1]Sheet 1'!$B$2:$E$347,4,FALSE)</f>
        <v>San Bernardo</v>
      </c>
      <c r="J1524" t="s">
        <v>136</v>
      </c>
      <c r="K1524" s="3" t="s">
        <v>0</v>
      </c>
      <c r="L1524" s="12" t="str">
        <f>VLOOKUP(K1524,[2]Hoja4!$A$2:$C$443,2,FALSE)</f>
        <v>Intentional self-harm by hanging, strangulation and suffocation</v>
      </c>
      <c r="M1524" s="12" t="str">
        <f>VLOOKUP(K1524,[2]Hoja4!$A$2:$C$443,3,FALSE)</f>
        <v>Unspecified place</v>
      </c>
      <c r="N1524" s="1">
        <v>8.9</v>
      </c>
      <c r="O1524" s="1">
        <v>30.2</v>
      </c>
      <c r="P1524" s="1">
        <v>19.8</v>
      </c>
      <c r="Q1524" s="1">
        <v>962.1</v>
      </c>
      <c r="R1524" s="1">
        <v>0</v>
      </c>
      <c r="S1524" s="1">
        <v>51</v>
      </c>
      <c r="T1524" s="5">
        <v>0.10290000000000001</v>
      </c>
      <c r="U1524" s="10">
        <v>3.0000000000000001E-3</v>
      </c>
    </row>
    <row r="1525" spans="1:21" customFormat="1">
      <c r="A1525">
        <v>2</v>
      </c>
      <c r="B1525">
        <v>22</v>
      </c>
      <c r="C1525">
        <v>15</v>
      </c>
      <c r="D1525">
        <v>12</v>
      </c>
      <c r="E1525">
        <v>2020</v>
      </c>
      <c r="F1525">
        <v>7301</v>
      </c>
      <c r="G1525" t="str">
        <f>VLOOKUP(F1525,'[1]Sheet 1'!$B$2:$E$347,2,FALSE)</f>
        <v>Maule</v>
      </c>
      <c r="H1525" t="str">
        <f>VLOOKUP(F1525,'[1]Sheet 1'!$B$2:$E$347,3,FALSE)</f>
        <v>Curicó</v>
      </c>
      <c r="I1525" t="str">
        <f>VLOOKUP(F1525,'[1]Sheet 1'!$B$2:$E$347,4,FALSE)</f>
        <v>Curicó</v>
      </c>
      <c r="J1525" t="s">
        <v>136</v>
      </c>
      <c r="K1525" s="3" t="s">
        <v>4</v>
      </c>
      <c r="L1525" s="12" t="str">
        <f>VLOOKUP(K1525,[2]Hoja4!$A$2:$C$443,2,FALSE)</f>
        <v>Intentional self-harm by hanging, strangulation and suffocation</v>
      </c>
      <c r="M1525" s="12" t="str">
        <f>VLOOKUP(K1525,[2]Hoja4!$A$2:$C$443,3,FALSE)</f>
        <v>At home</v>
      </c>
      <c r="N1525" s="1">
        <v>9.6</v>
      </c>
      <c r="O1525" s="1">
        <v>26.9</v>
      </c>
      <c r="P1525" s="1">
        <v>17.7</v>
      </c>
      <c r="Q1525" s="1">
        <v>988.1</v>
      </c>
      <c r="R1525" s="1">
        <v>0</v>
      </c>
      <c r="S1525" s="1">
        <v>64.8</v>
      </c>
      <c r="T1525" s="5">
        <v>0.10290000000000001</v>
      </c>
      <c r="U1525" s="10">
        <v>3.0000000000000001E-3</v>
      </c>
    </row>
    <row r="1526" spans="1:21" customFormat="1">
      <c r="A1526">
        <v>1</v>
      </c>
      <c r="B1526">
        <v>19</v>
      </c>
      <c r="C1526">
        <v>15</v>
      </c>
      <c r="D1526">
        <v>12</v>
      </c>
      <c r="E1526">
        <v>2020</v>
      </c>
      <c r="F1526">
        <v>9203</v>
      </c>
      <c r="G1526" t="str">
        <f>VLOOKUP(F1526,'[1]Sheet 1'!$B$2:$E$347,2,FALSE)</f>
        <v>La Araucanía</v>
      </c>
      <c r="H1526" t="str">
        <f>VLOOKUP(F1526,'[1]Sheet 1'!$B$2:$E$347,3,FALSE)</f>
        <v>Malleco</v>
      </c>
      <c r="I1526" t="str">
        <f>VLOOKUP(F1526,'[1]Sheet 1'!$B$2:$E$347,4,FALSE)</f>
        <v>Curacautín</v>
      </c>
      <c r="J1526" t="s">
        <v>136</v>
      </c>
      <c r="K1526" s="3" t="s">
        <v>0</v>
      </c>
      <c r="L1526" s="12" t="str">
        <f>VLOOKUP(K1526,[2]Hoja4!$A$2:$C$443,2,FALSE)</f>
        <v>Intentional self-harm by hanging, strangulation and suffocation</v>
      </c>
      <c r="M1526" s="12" t="str">
        <f>VLOOKUP(K1526,[2]Hoja4!$A$2:$C$443,3,FALSE)</f>
        <v>Unspecified place</v>
      </c>
      <c r="N1526" s="1">
        <v>6.3</v>
      </c>
      <c r="O1526" s="1">
        <v>23.9</v>
      </c>
      <c r="P1526" s="1">
        <v>15.1</v>
      </c>
      <c r="Q1526" s="1">
        <v>502.1</v>
      </c>
      <c r="R1526" s="1">
        <v>0</v>
      </c>
      <c r="S1526" s="1">
        <v>50.1</v>
      </c>
      <c r="T1526" s="5">
        <v>0.10290000000000001</v>
      </c>
      <c r="U1526" s="10">
        <v>3.0000000000000001E-3</v>
      </c>
    </row>
    <row r="1527" spans="1:21" customFormat="1">
      <c r="A1527">
        <v>2</v>
      </c>
      <c r="B1527">
        <v>77</v>
      </c>
      <c r="C1527">
        <v>16</v>
      </c>
      <c r="D1527">
        <v>12</v>
      </c>
      <c r="E1527">
        <v>2020</v>
      </c>
      <c r="F1527">
        <v>9102</v>
      </c>
      <c r="G1527" t="str">
        <f>VLOOKUP(F1527,'[1]Sheet 1'!$B$2:$E$347,2,FALSE)</f>
        <v>La Araucanía</v>
      </c>
      <c r="H1527" t="str">
        <f>VLOOKUP(F1527,'[1]Sheet 1'!$B$2:$E$347,3,FALSE)</f>
        <v>Cautín</v>
      </c>
      <c r="I1527" t="str">
        <f>VLOOKUP(F1527,'[1]Sheet 1'!$B$2:$E$347,4,FALSE)</f>
        <v>Carahue</v>
      </c>
      <c r="J1527" t="s">
        <v>136</v>
      </c>
      <c r="K1527" s="3" t="s">
        <v>0</v>
      </c>
      <c r="L1527" s="12" t="str">
        <f>VLOOKUP(K1527,[2]Hoja4!$A$2:$C$443,2,FALSE)</f>
        <v>Intentional self-harm by hanging, strangulation and suffocation</v>
      </c>
      <c r="M1527" s="12" t="str">
        <f>VLOOKUP(K1527,[2]Hoja4!$A$2:$C$443,3,FALSE)</f>
        <v>Unspecified place</v>
      </c>
      <c r="N1527" s="1">
        <v>4.7</v>
      </c>
      <c r="O1527" s="1">
        <v>22</v>
      </c>
      <c r="P1527" s="1">
        <v>12.8</v>
      </c>
      <c r="Q1527" s="1">
        <v>1005.5</v>
      </c>
      <c r="R1527" s="1">
        <v>0</v>
      </c>
      <c r="S1527" s="1">
        <v>67.2</v>
      </c>
      <c r="T1527" s="5">
        <v>0.10290000000000001</v>
      </c>
      <c r="U1527" s="10">
        <v>3.0000000000000001E-3</v>
      </c>
    </row>
    <row r="1528" spans="1:21" customFormat="1">
      <c r="A1528">
        <v>2</v>
      </c>
      <c r="B1528">
        <v>49</v>
      </c>
      <c r="C1528">
        <v>16</v>
      </c>
      <c r="D1528">
        <v>12</v>
      </c>
      <c r="E1528">
        <v>2020</v>
      </c>
      <c r="F1528">
        <v>12101</v>
      </c>
      <c r="G1528" t="str">
        <f>VLOOKUP(F1528,'[1]Sheet 1'!$B$2:$E$347,2,FALSE)</f>
        <v>Magallanes y de la Antártica Chilena</v>
      </c>
      <c r="H1528" t="str">
        <f>VLOOKUP(F1528,'[1]Sheet 1'!$B$2:$E$347,3,FALSE)</f>
        <v>Magallanes</v>
      </c>
      <c r="I1528" t="str">
        <f>VLOOKUP(F1528,'[1]Sheet 1'!$B$2:$E$347,4,FALSE)</f>
        <v>Punta Arenas</v>
      </c>
      <c r="J1528" t="s">
        <v>140</v>
      </c>
      <c r="K1528" s="3" t="s">
        <v>26</v>
      </c>
      <c r="L1528" s="12" t="str">
        <f>VLOOKUP(K1528,[2]Hoja4!$A$2:$C$443,2,FALSE)</f>
        <v>Intentional self-poisoning by and exposure to other and unspecified drugs, medicaments and biological substances</v>
      </c>
      <c r="M1528" s="12" t="str">
        <f>VLOOKUP(K1528,[2]Hoja4!$A$2:$C$443,3,FALSE)</f>
        <v>Industrial and construction area</v>
      </c>
      <c r="N1528" s="1">
        <v>8.3000000000000007</v>
      </c>
      <c r="O1528" s="1">
        <v>14.1</v>
      </c>
      <c r="P1528" s="1">
        <v>10.4</v>
      </c>
      <c r="Q1528" s="1">
        <v>992.9</v>
      </c>
      <c r="R1528" s="1">
        <v>0.4</v>
      </c>
      <c r="S1528" s="1">
        <v>63</v>
      </c>
      <c r="T1528" s="5">
        <v>0.10290000000000001</v>
      </c>
      <c r="U1528" s="10">
        <v>3.0000000000000001E-3</v>
      </c>
    </row>
    <row r="1529" spans="1:21" customFormat="1">
      <c r="A1529">
        <v>1</v>
      </c>
      <c r="B1529">
        <v>56</v>
      </c>
      <c r="C1529">
        <v>16</v>
      </c>
      <c r="D1529">
        <v>12</v>
      </c>
      <c r="E1529">
        <v>2020</v>
      </c>
      <c r="F1529">
        <v>8102</v>
      </c>
      <c r="G1529" t="str">
        <f>VLOOKUP(F1529,'[1]Sheet 1'!$B$2:$E$347,2,FALSE)</f>
        <v>Biobío</v>
      </c>
      <c r="H1529" t="str">
        <f>VLOOKUP(F1529,'[1]Sheet 1'!$B$2:$E$347,3,FALSE)</f>
        <v>Concepción</v>
      </c>
      <c r="I1529" t="str">
        <f>VLOOKUP(F1529,'[1]Sheet 1'!$B$2:$E$347,4,FALSE)</f>
        <v>Coronel</v>
      </c>
      <c r="J1529" t="s">
        <v>136</v>
      </c>
      <c r="K1529" s="3" t="s">
        <v>4</v>
      </c>
      <c r="L1529" s="12" t="str">
        <f>VLOOKUP(K1529,[2]Hoja4!$A$2:$C$443,2,FALSE)</f>
        <v>Intentional self-harm by hanging, strangulation and suffocation</v>
      </c>
      <c r="M1529" s="12" t="str">
        <f>VLOOKUP(K1529,[2]Hoja4!$A$2:$C$443,3,FALSE)</f>
        <v>At home</v>
      </c>
      <c r="N1529" s="1">
        <v>8</v>
      </c>
      <c r="O1529" s="1">
        <v>21.8</v>
      </c>
      <c r="P1529" s="1">
        <v>15.2</v>
      </c>
      <c r="Q1529" s="1">
        <v>1014.2</v>
      </c>
      <c r="R1529" s="1">
        <v>0</v>
      </c>
      <c r="S1529" s="1">
        <v>55</v>
      </c>
      <c r="T1529" s="5">
        <v>0.10290000000000001</v>
      </c>
      <c r="U1529" s="10">
        <v>3.0000000000000001E-3</v>
      </c>
    </row>
    <row r="1530" spans="1:21" customFormat="1">
      <c r="A1530">
        <v>1</v>
      </c>
      <c r="B1530">
        <v>40</v>
      </c>
      <c r="C1530">
        <v>16</v>
      </c>
      <c r="D1530">
        <v>12</v>
      </c>
      <c r="E1530">
        <v>2020</v>
      </c>
      <c r="F1530">
        <v>13103</v>
      </c>
      <c r="G1530" t="str">
        <f>VLOOKUP(F1530,'[1]Sheet 1'!$B$2:$E$347,2,FALSE)</f>
        <v>Metropolitana de Santiago</v>
      </c>
      <c r="H1530" t="str">
        <f>VLOOKUP(F1530,'[1]Sheet 1'!$B$2:$E$347,3,FALSE)</f>
        <v>Santiago</v>
      </c>
      <c r="I1530" t="str">
        <f>VLOOKUP(F1530,'[1]Sheet 1'!$B$2:$E$347,4,FALSE)</f>
        <v>Cerro Navia</v>
      </c>
      <c r="J1530" t="s">
        <v>136</v>
      </c>
      <c r="K1530" s="3" t="s">
        <v>0</v>
      </c>
      <c r="L1530" s="12" t="str">
        <f>VLOOKUP(K1530,[2]Hoja4!$A$2:$C$443,2,FALSE)</f>
        <v>Intentional self-harm by hanging, strangulation and suffocation</v>
      </c>
      <c r="M1530" s="12" t="str">
        <f>VLOOKUP(K1530,[2]Hoja4!$A$2:$C$443,3,FALSE)</f>
        <v>Unspecified place</v>
      </c>
      <c r="N1530" s="1">
        <v>11.9</v>
      </c>
      <c r="O1530" s="1">
        <v>31.8</v>
      </c>
      <c r="P1530" s="1">
        <v>22.2</v>
      </c>
      <c r="Q1530" s="1">
        <v>953.4</v>
      </c>
      <c r="R1530" s="1"/>
      <c r="S1530" s="1">
        <v>31.2</v>
      </c>
      <c r="T1530" s="5">
        <v>0.10290000000000001</v>
      </c>
      <c r="U1530" s="10">
        <v>3.0000000000000001E-3</v>
      </c>
    </row>
    <row r="1531" spans="1:21" customFormat="1">
      <c r="A1531">
        <v>1</v>
      </c>
      <c r="B1531">
        <v>37</v>
      </c>
      <c r="C1531">
        <v>16</v>
      </c>
      <c r="D1531">
        <v>12</v>
      </c>
      <c r="E1531">
        <v>2020</v>
      </c>
      <c r="F1531">
        <v>13102</v>
      </c>
      <c r="G1531" t="str">
        <f>VLOOKUP(F1531,'[1]Sheet 1'!$B$2:$E$347,2,FALSE)</f>
        <v>Metropolitana de Santiago</v>
      </c>
      <c r="H1531" t="str">
        <f>VLOOKUP(F1531,'[1]Sheet 1'!$B$2:$E$347,3,FALSE)</f>
        <v>Santiago</v>
      </c>
      <c r="I1531" t="str">
        <f>VLOOKUP(F1531,'[1]Sheet 1'!$B$2:$E$347,4,FALSE)</f>
        <v>Cerrillos</v>
      </c>
      <c r="J1531" t="s">
        <v>136</v>
      </c>
      <c r="K1531" s="3" t="s">
        <v>0</v>
      </c>
      <c r="L1531" s="12" t="str">
        <f>VLOOKUP(K1531,[2]Hoja4!$A$2:$C$443,2,FALSE)</f>
        <v>Intentional self-harm by hanging, strangulation and suffocation</v>
      </c>
      <c r="M1531" s="12" t="str">
        <f>VLOOKUP(K1531,[2]Hoja4!$A$2:$C$443,3,FALSE)</f>
        <v>Unspecified place</v>
      </c>
      <c r="N1531" s="1">
        <v>11.9</v>
      </c>
      <c r="O1531" s="1">
        <v>31.8</v>
      </c>
      <c r="P1531" s="1">
        <v>22.2</v>
      </c>
      <c r="Q1531" s="1">
        <v>953.4</v>
      </c>
      <c r="R1531" s="1"/>
      <c r="S1531" s="1">
        <v>31.2</v>
      </c>
      <c r="T1531" s="5">
        <v>0.10290000000000001</v>
      </c>
      <c r="U1531" s="10">
        <v>3.0000000000000001E-3</v>
      </c>
    </row>
    <row r="1532" spans="1:21" customFormat="1">
      <c r="A1532">
        <v>1</v>
      </c>
      <c r="B1532">
        <v>31</v>
      </c>
      <c r="C1532">
        <v>17</v>
      </c>
      <c r="D1532">
        <v>12</v>
      </c>
      <c r="E1532">
        <v>2020</v>
      </c>
      <c r="F1532">
        <v>2201</v>
      </c>
      <c r="G1532" t="str">
        <f>VLOOKUP(F1532,'[1]Sheet 1'!$B$2:$E$347,2,FALSE)</f>
        <v>Antofagasta</v>
      </c>
      <c r="H1532" t="str">
        <f>VLOOKUP(F1532,'[1]Sheet 1'!$B$2:$E$347,3,FALSE)</f>
        <v>El Loa</v>
      </c>
      <c r="I1532" t="str">
        <f>VLOOKUP(F1532,'[1]Sheet 1'!$B$2:$E$347,4,FALSE)</f>
        <v>Calama</v>
      </c>
      <c r="J1532" t="s">
        <v>136</v>
      </c>
      <c r="K1532" s="3" t="s">
        <v>2</v>
      </c>
      <c r="L1532" s="12" t="str">
        <f>VLOOKUP(K1532,[2]Hoja4!$A$2:$C$443,2,FALSE)</f>
        <v>Intentional self-harm by hanging, strangulation and suffocation</v>
      </c>
      <c r="M1532" s="12" t="str">
        <f>VLOOKUP(K1532,[2]Hoja4!$A$2:$C$443,3,FALSE)</f>
        <v>Street and highway</v>
      </c>
      <c r="N1532" s="1">
        <v>5.5</v>
      </c>
      <c r="O1532" s="1">
        <v>25.3</v>
      </c>
      <c r="P1532" s="1">
        <v>16.2</v>
      </c>
      <c r="Q1532" s="1">
        <v>772.6</v>
      </c>
      <c r="R1532" s="1">
        <v>0</v>
      </c>
      <c r="S1532" s="1">
        <v>24.8</v>
      </c>
      <c r="T1532" s="5">
        <v>0.10290000000000001</v>
      </c>
      <c r="U1532" s="10">
        <v>3.0000000000000001E-3</v>
      </c>
    </row>
    <row r="1533" spans="1:21" customFormat="1">
      <c r="A1533">
        <v>1</v>
      </c>
      <c r="B1533">
        <v>26</v>
      </c>
      <c r="C1533">
        <v>17</v>
      </c>
      <c r="D1533">
        <v>12</v>
      </c>
      <c r="E1533">
        <v>2020</v>
      </c>
      <c r="F1533">
        <v>8108</v>
      </c>
      <c r="G1533" t="str">
        <f>VLOOKUP(F1533,'[1]Sheet 1'!$B$2:$E$347,2,FALSE)</f>
        <v>Biobío</v>
      </c>
      <c r="H1533" t="str">
        <f>VLOOKUP(F1533,'[1]Sheet 1'!$B$2:$E$347,3,FALSE)</f>
        <v>Concepción</v>
      </c>
      <c r="I1533" t="str">
        <f>VLOOKUP(F1533,'[1]Sheet 1'!$B$2:$E$347,4,FALSE)</f>
        <v>San Pedro de la Paz</v>
      </c>
      <c r="J1533" t="s">
        <v>136</v>
      </c>
      <c r="K1533" s="3" t="s">
        <v>4</v>
      </c>
      <c r="L1533" s="12" t="str">
        <f>VLOOKUP(K1533,[2]Hoja4!$A$2:$C$443,2,FALSE)</f>
        <v>Intentional self-harm by hanging, strangulation and suffocation</v>
      </c>
      <c r="M1533" s="12" t="str">
        <f>VLOOKUP(K1533,[2]Hoja4!$A$2:$C$443,3,FALSE)</f>
        <v>At home</v>
      </c>
      <c r="N1533" s="1">
        <v>10.1</v>
      </c>
      <c r="O1533" s="1">
        <v>23.1</v>
      </c>
      <c r="P1533" s="1">
        <v>15.1</v>
      </c>
      <c r="Q1533" s="1">
        <v>1013.2</v>
      </c>
      <c r="R1533" s="1">
        <v>0</v>
      </c>
      <c r="S1533" s="1">
        <v>74.8</v>
      </c>
      <c r="T1533" s="5">
        <v>0.10290000000000001</v>
      </c>
      <c r="U1533" s="10">
        <v>3.0000000000000001E-3</v>
      </c>
    </row>
    <row r="1534" spans="1:21" customFormat="1">
      <c r="A1534">
        <v>1</v>
      </c>
      <c r="B1534">
        <v>26</v>
      </c>
      <c r="C1534">
        <v>17</v>
      </c>
      <c r="D1534">
        <v>12</v>
      </c>
      <c r="E1534">
        <v>2020</v>
      </c>
      <c r="F1534">
        <v>14202</v>
      </c>
      <c r="G1534" t="str">
        <f>VLOOKUP(F1534,'[1]Sheet 1'!$B$2:$E$347,2,FALSE)</f>
        <v>Los Ríos</v>
      </c>
      <c r="H1534" t="str">
        <f>VLOOKUP(F1534,'[1]Sheet 1'!$B$2:$E$347,3,FALSE)</f>
        <v>Ranco</v>
      </c>
      <c r="I1534" t="str">
        <f>VLOOKUP(F1534,'[1]Sheet 1'!$B$2:$E$347,4,FALSE)</f>
        <v>Futrono</v>
      </c>
      <c r="J1534" t="s">
        <v>136</v>
      </c>
      <c r="K1534" s="3" t="s">
        <v>0</v>
      </c>
      <c r="L1534" s="12" t="str">
        <f>VLOOKUP(K1534,[2]Hoja4!$A$2:$C$443,2,FALSE)</f>
        <v>Intentional self-harm by hanging, strangulation and suffocation</v>
      </c>
      <c r="M1534" s="12" t="str">
        <f>VLOOKUP(K1534,[2]Hoja4!$A$2:$C$443,3,FALSE)</f>
        <v>Unspecified place</v>
      </c>
      <c r="N1534" s="1">
        <v>8.1</v>
      </c>
      <c r="O1534" s="1">
        <v>23.5</v>
      </c>
      <c r="P1534" s="1">
        <v>16.899999999999999</v>
      </c>
      <c r="Q1534" s="1">
        <v>1006.7</v>
      </c>
      <c r="R1534" s="1">
        <v>0</v>
      </c>
      <c r="S1534" s="1">
        <v>59.9</v>
      </c>
      <c r="T1534" s="5">
        <v>0.10290000000000001</v>
      </c>
      <c r="U1534" s="10">
        <v>3.0000000000000001E-3</v>
      </c>
    </row>
    <row r="1535" spans="1:21" customFormat="1">
      <c r="A1535">
        <v>1</v>
      </c>
      <c r="B1535">
        <v>36</v>
      </c>
      <c r="C1535">
        <v>18</v>
      </c>
      <c r="D1535">
        <v>12</v>
      </c>
      <c r="E1535">
        <v>2020</v>
      </c>
      <c r="F1535">
        <v>5601</v>
      </c>
      <c r="G1535" t="str">
        <f>VLOOKUP(F1535,'[1]Sheet 1'!$B$2:$E$347,2,FALSE)</f>
        <v>Valparaíso</v>
      </c>
      <c r="H1535" t="str">
        <f>VLOOKUP(F1535,'[1]Sheet 1'!$B$2:$E$347,3,FALSE)</f>
        <v>San Antonio</v>
      </c>
      <c r="I1535" t="str">
        <f>VLOOKUP(F1535,'[1]Sheet 1'!$B$2:$E$347,4,FALSE)</f>
        <v>San Antonio</v>
      </c>
      <c r="J1535" t="s">
        <v>136</v>
      </c>
      <c r="K1535" s="3" t="s">
        <v>0</v>
      </c>
      <c r="L1535" s="12" t="str">
        <f>VLOOKUP(K1535,[2]Hoja4!$A$2:$C$443,2,FALSE)</f>
        <v>Intentional self-harm by hanging, strangulation and suffocation</v>
      </c>
      <c r="M1535" s="12" t="str">
        <f>VLOOKUP(K1535,[2]Hoja4!$A$2:$C$443,3,FALSE)</f>
        <v>Unspecified place</v>
      </c>
      <c r="N1535" s="1">
        <v>11</v>
      </c>
      <c r="O1535" s="1">
        <v>19.7</v>
      </c>
      <c r="P1535" s="1">
        <v>15.4</v>
      </c>
      <c r="Q1535" s="1">
        <v>1010.9</v>
      </c>
      <c r="R1535" s="1">
        <v>0</v>
      </c>
      <c r="S1535" s="1">
        <v>84.8</v>
      </c>
      <c r="T1535" s="5">
        <v>0.10290000000000001</v>
      </c>
      <c r="U1535" s="10">
        <v>3.0000000000000001E-3</v>
      </c>
    </row>
    <row r="1536" spans="1:21" customFormat="1">
      <c r="A1536">
        <v>1</v>
      </c>
      <c r="B1536">
        <v>45</v>
      </c>
      <c r="C1536">
        <v>19</v>
      </c>
      <c r="D1536">
        <v>12</v>
      </c>
      <c r="E1536">
        <v>2020</v>
      </c>
      <c r="F1536">
        <v>5502</v>
      </c>
      <c r="G1536" t="str">
        <f>VLOOKUP(F1536,'[1]Sheet 1'!$B$2:$E$347,2,FALSE)</f>
        <v>Valparaíso</v>
      </c>
      <c r="H1536" t="str">
        <f>VLOOKUP(F1536,'[1]Sheet 1'!$B$2:$E$347,3,FALSE)</f>
        <v>Quillota</v>
      </c>
      <c r="I1536" t="str">
        <f>VLOOKUP(F1536,'[1]Sheet 1'!$B$2:$E$347,4,FALSE)</f>
        <v>Calera</v>
      </c>
      <c r="J1536" t="s">
        <v>136</v>
      </c>
      <c r="K1536" s="3" t="s">
        <v>2</v>
      </c>
      <c r="L1536" s="12" t="str">
        <f>VLOOKUP(K1536,[2]Hoja4!$A$2:$C$443,2,FALSE)</f>
        <v>Intentional self-harm by hanging, strangulation and suffocation</v>
      </c>
      <c r="M1536" s="12" t="str">
        <f>VLOOKUP(K1536,[2]Hoja4!$A$2:$C$443,3,FALSE)</f>
        <v>Street and highway</v>
      </c>
      <c r="N1536" s="1">
        <v>7.8</v>
      </c>
      <c r="O1536" s="1" t="s">
        <v>102</v>
      </c>
      <c r="P1536" s="1">
        <v>17.8</v>
      </c>
      <c r="Q1536" s="1">
        <v>995</v>
      </c>
      <c r="R1536" s="1">
        <v>0</v>
      </c>
      <c r="S1536" s="1">
        <v>47.1</v>
      </c>
      <c r="T1536" s="5">
        <v>0.10290000000000001</v>
      </c>
      <c r="U1536" s="10">
        <v>3.0000000000000001E-3</v>
      </c>
    </row>
    <row r="1537" spans="1:21" customFormat="1">
      <c r="A1537">
        <v>1</v>
      </c>
      <c r="B1537">
        <v>52</v>
      </c>
      <c r="C1537">
        <v>19</v>
      </c>
      <c r="D1537">
        <v>12</v>
      </c>
      <c r="E1537">
        <v>2020</v>
      </c>
      <c r="F1537">
        <v>6206</v>
      </c>
      <c r="G1537" t="str">
        <f>VLOOKUP(F1537,'[1]Sheet 1'!$B$2:$E$347,2,FALSE)</f>
        <v>Libertador General Bernardo O'Higgins</v>
      </c>
      <c r="H1537" t="str">
        <f>VLOOKUP(F1537,'[1]Sheet 1'!$B$2:$E$347,3,FALSE)</f>
        <v>Cardenal Caro</v>
      </c>
      <c r="I1537" t="str">
        <f>VLOOKUP(F1537,'[1]Sheet 1'!$B$2:$E$347,4,FALSE)</f>
        <v>Paredones</v>
      </c>
      <c r="J1537" t="s">
        <v>136</v>
      </c>
      <c r="K1537" s="3" t="s">
        <v>4</v>
      </c>
      <c r="L1537" s="12" t="str">
        <f>VLOOKUP(K1537,[2]Hoja4!$A$2:$C$443,2,FALSE)</f>
        <v>Intentional self-harm by hanging, strangulation and suffocation</v>
      </c>
      <c r="M1537" s="12" t="str">
        <f>VLOOKUP(K1537,[2]Hoja4!$A$2:$C$443,3,FALSE)</f>
        <v>At home</v>
      </c>
      <c r="N1537" s="1">
        <v>11.3</v>
      </c>
      <c r="O1537" s="1" t="s">
        <v>66</v>
      </c>
      <c r="P1537" s="1">
        <v>14.3</v>
      </c>
      <c r="Q1537" s="1">
        <v>1014.2</v>
      </c>
      <c r="R1537" s="1">
        <v>0</v>
      </c>
      <c r="S1537" s="1">
        <v>77.5</v>
      </c>
      <c r="T1537" s="5">
        <v>0.10290000000000001</v>
      </c>
      <c r="U1537" s="10">
        <v>3.0000000000000001E-3</v>
      </c>
    </row>
    <row r="1538" spans="1:21" customFormat="1">
      <c r="A1538">
        <v>1</v>
      </c>
      <c r="B1538">
        <v>22</v>
      </c>
      <c r="C1538">
        <v>19</v>
      </c>
      <c r="D1538">
        <v>12</v>
      </c>
      <c r="E1538">
        <v>2020</v>
      </c>
      <c r="F1538">
        <v>9201</v>
      </c>
      <c r="G1538" t="str">
        <f>VLOOKUP(F1538,'[1]Sheet 1'!$B$2:$E$347,2,FALSE)</f>
        <v>La Araucanía</v>
      </c>
      <c r="H1538" t="str">
        <f>VLOOKUP(F1538,'[1]Sheet 1'!$B$2:$E$347,3,FALSE)</f>
        <v>Malleco</v>
      </c>
      <c r="I1538" t="str">
        <f>VLOOKUP(F1538,'[1]Sheet 1'!$B$2:$E$347,4,FALSE)</f>
        <v>Angol</v>
      </c>
      <c r="J1538" t="s">
        <v>136</v>
      </c>
      <c r="K1538" s="3" t="s">
        <v>2</v>
      </c>
      <c r="L1538" s="12" t="str">
        <f>VLOOKUP(K1538,[2]Hoja4!$A$2:$C$443,2,FALSE)</f>
        <v>Intentional self-harm by hanging, strangulation and suffocation</v>
      </c>
      <c r="M1538" s="12" t="str">
        <f>VLOOKUP(K1538,[2]Hoja4!$A$2:$C$443,3,FALSE)</f>
        <v>Street and highway</v>
      </c>
      <c r="N1538" s="1">
        <v>11.5</v>
      </c>
      <c r="O1538" s="1">
        <v>21.3</v>
      </c>
      <c r="P1538" s="1">
        <v>16.399999999999999</v>
      </c>
      <c r="Q1538" s="1">
        <v>502.1</v>
      </c>
      <c r="R1538" s="1">
        <v>0</v>
      </c>
      <c r="S1538" s="1">
        <v>63.1</v>
      </c>
      <c r="T1538" s="5">
        <v>0.10290000000000001</v>
      </c>
      <c r="U1538" s="10">
        <v>3.0000000000000001E-3</v>
      </c>
    </row>
    <row r="1539" spans="1:21" customFormat="1">
      <c r="A1539">
        <v>1</v>
      </c>
      <c r="B1539">
        <v>22</v>
      </c>
      <c r="C1539">
        <v>19</v>
      </c>
      <c r="D1539">
        <v>12</v>
      </c>
      <c r="E1539">
        <v>2020</v>
      </c>
      <c r="F1539">
        <v>13127</v>
      </c>
      <c r="G1539" t="str">
        <f>VLOOKUP(F1539,'[1]Sheet 1'!$B$2:$E$347,2,FALSE)</f>
        <v>Metropolitana de Santiago</v>
      </c>
      <c r="H1539" t="str">
        <f>VLOOKUP(F1539,'[1]Sheet 1'!$B$2:$E$347,3,FALSE)</f>
        <v>Santiago</v>
      </c>
      <c r="I1539" t="str">
        <f>VLOOKUP(F1539,'[1]Sheet 1'!$B$2:$E$347,4,FALSE)</f>
        <v>Recoleta</v>
      </c>
      <c r="J1539" t="s">
        <v>136</v>
      </c>
      <c r="K1539" s="3" t="s">
        <v>0</v>
      </c>
      <c r="L1539" s="12" t="str">
        <f>VLOOKUP(K1539,[2]Hoja4!$A$2:$C$443,2,FALSE)</f>
        <v>Intentional self-harm by hanging, strangulation and suffocation</v>
      </c>
      <c r="M1539" s="12" t="str">
        <f>VLOOKUP(K1539,[2]Hoja4!$A$2:$C$443,3,FALSE)</f>
        <v>Unspecified place</v>
      </c>
      <c r="N1539" s="1">
        <v>8.5</v>
      </c>
      <c r="O1539" s="1">
        <v>27.2</v>
      </c>
      <c r="P1539" s="1">
        <v>17.2</v>
      </c>
      <c r="Q1539" s="1">
        <v>955.2</v>
      </c>
      <c r="R1539" s="1"/>
      <c r="S1539" s="1">
        <v>50.5</v>
      </c>
      <c r="T1539" s="5">
        <v>0.10290000000000001</v>
      </c>
      <c r="U1539" s="10">
        <v>3.0000000000000001E-3</v>
      </c>
    </row>
    <row r="1540" spans="1:21" customFormat="1">
      <c r="A1540">
        <v>1</v>
      </c>
      <c r="B1540">
        <v>22</v>
      </c>
      <c r="C1540">
        <v>19</v>
      </c>
      <c r="D1540">
        <v>12</v>
      </c>
      <c r="E1540">
        <v>2020</v>
      </c>
      <c r="F1540">
        <v>4203</v>
      </c>
      <c r="G1540" t="str">
        <f>VLOOKUP(F1540,'[1]Sheet 1'!$B$2:$E$347,2,FALSE)</f>
        <v>Coquimbo</v>
      </c>
      <c r="H1540" t="str">
        <f>VLOOKUP(F1540,'[1]Sheet 1'!$B$2:$E$347,3,FALSE)</f>
        <v>Choapa</v>
      </c>
      <c r="I1540" t="str">
        <f>VLOOKUP(F1540,'[1]Sheet 1'!$B$2:$E$347,4,FALSE)</f>
        <v>Los Vilos</v>
      </c>
      <c r="J1540" t="s">
        <v>136</v>
      </c>
      <c r="K1540" s="3" t="s">
        <v>13</v>
      </c>
      <c r="L1540" s="12" t="str">
        <f>VLOOKUP(K1540,[2]Hoja4!$A$2:$C$443,2,FALSE)</f>
        <v>Intentional self-harm by hanging, strangulation and suffocation</v>
      </c>
      <c r="M1540" s="12" t="str">
        <f>VLOOKUP(K1540,[2]Hoja4!$A$2:$C$443,3,FALSE)</f>
        <v>Other specified places</v>
      </c>
      <c r="N1540" s="1">
        <v>7</v>
      </c>
      <c r="O1540" s="1">
        <v>26.9</v>
      </c>
      <c r="P1540" s="1">
        <v>16.600000000000001</v>
      </c>
      <c r="Q1540" s="1">
        <v>977.5</v>
      </c>
      <c r="R1540" s="1">
        <v>0</v>
      </c>
      <c r="S1540" s="1">
        <v>54.5</v>
      </c>
      <c r="T1540" s="5">
        <v>0.10290000000000001</v>
      </c>
      <c r="U1540" s="10">
        <v>3.0000000000000001E-3</v>
      </c>
    </row>
    <row r="1541" spans="1:21" customFormat="1">
      <c r="A1541">
        <v>1</v>
      </c>
      <c r="B1541">
        <v>65</v>
      </c>
      <c r="C1541">
        <v>20</v>
      </c>
      <c r="D1541">
        <v>12</v>
      </c>
      <c r="E1541">
        <v>2020</v>
      </c>
      <c r="F1541">
        <v>16303</v>
      </c>
      <c r="G1541" t="str">
        <f>VLOOKUP(F1541,'[1]Sheet 1'!$B$2:$E$347,2,FALSE)</f>
        <v>Ñuble</v>
      </c>
      <c r="H1541" t="str">
        <f>VLOOKUP(F1541,'[1]Sheet 1'!$B$2:$E$347,3,FALSE)</f>
        <v>Punilla</v>
      </c>
      <c r="I1541" t="str">
        <f>VLOOKUP(F1541,'[1]Sheet 1'!$B$2:$E$347,4,FALSE)</f>
        <v>Ñiquén</v>
      </c>
      <c r="J1541" t="s">
        <v>136</v>
      </c>
      <c r="K1541" s="3" t="s">
        <v>4</v>
      </c>
      <c r="L1541" s="12" t="str">
        <f>VLOOKUP(K1541,[2]Hoja4!$A$2:$C$443,2,FALSE)</f>
        <v>Intentional self-harm by hanging, strangulation and suffocation</v>
      </c>
      <c r="M1541" s="12" t="str">
        <f>VLOOKUP(K1541,[2]Hoja4!$A$2:$C$443,3,FALSE)</f>
        <v>At home</v>
      </c>
      <c r="N1541" s="1">
        <v>12.2</v>
      </c>
      <c r="O1541" s="1">
        <v>31.7</v>
      </c>
      <c r="P1541" s="1">
        <v>22.3</v>
      </c>
      <c r="Q1541" s="1">
        <v>989.9</v>
      </c>
      <c r="R1541" s="1">
        <v>0</v>
      </c>
      <c r="S1541" s="1">
        <v>67.2</v>
      </c>
      <c r="T1541" s="5">
        <v>0.10290000000000001</v>
      </c>
      <c r="U1541" s="10">
        <v>3.0000000000000001E-3</v>
      </c>
    </row>
    <row r="1542" spans="1:21" customFormat="1">
      <c r="A1542">
        <v>1</v>
      </c>
      <c r="B1542">
        <v>63</v>
      </c>
      <c r="C1542">
        <v>20</v>
      </c>
      <c r="D1542">
        <v>12</v>
      </c>
      <c r="E1542">
        <v>2020</v>
      </c>
      <c r="F1542">
        <v>14101</v>
      </c>
      <c r="G1542" t="str">
        <f>VLOOKUP(F1542,'[1]Sheet 1'!$B$2:$E$347,2,FALSE)</f>
        <v>Los Ríos</v>
      </c>
      <c r="H1542" t="str">
        <f>VLOOKUP(F1542,'[1]Sheet 1'!$B$2:$E$347,3,FALSE)</f>
        <v>Valdivia</v>
      </c>
      <c r="I1542" t="str">
        <f>VLOOKUP(F1542,'[1]Sheet 1'!$B$2:$E$347,4,FALSE)</f>
        <v>Valdivia</v>
      </c>
      <c r="J1542" t="s">
        <v>136</v>
      </c>
      <c r="K1542" s="3" t="s">
        <v>0</v>
      </c>
      <c r="L1542" s="12" t="str">
        <f>VLOOKUP(K1542,[2]Hoja4!$A$2:$C$443,2,FALSE)</f>
        <v>Intentional self-harm by hanging, strangulation and suffocation</v>
      </c>
      <c r="M1542" s="12" t="str">
        <f>VLOOKUP(K1542,[2]Hoja4!$A$2:$C$443,3,FALSE)</f>
        <v>Unspecified place</v>
      </c>
      <c r="N1542" s="1">
        <v>4.5999999999999996</v>
      </c>
      <c r="O1542" s="1">
        <v>22.6</v>
      </c>
      <c r="P1542" s="1">
        <v>13.5</v>
      </c>
      <c r="Q1542" s="1">
        <v>1018.3</v>
      </c>
      <c r="R1542" s="1">
        <v>0</v>
      </c>
      <c r="S1542" s="1">
        <v>69.8</v>
      </c>
      <c r="T1542" s="5">
        <v>0.10290000000000001</v>
      </c>
      <c r="U1542" s="10">
        <v>3.0000000000000001E-3</v>
      </c>
    </row>
    <row r="1543" spans="1:21" customFormat="1">
      <c r="A1543">
        <v>1</v>
      </c>
      <c r="B1543">
        <v>53</v>
      </c>
      <c r="C1543">
        <v>20</v>
      </c>
      <c r="D1543">
        <v>12</v>
      </c>
      <c r="E1543">
        <v>2020</v>
      </c>
      <c r="F1543">
        <v>14105</v>
      </c>
      <c r="G1543" t="str">
        <f>VLOOKUP(F1543,'[1]Sheet 1'!$B$2:$E$347,2,FALSE)</f>
        <v>Los Ríos</v>
      </c>
      <c r="H1543" t="str">
        <f>VLOOKUP(F1543,'[1]Sheet 1'!$B$2:$E$347,3,FALSE)</f>
        <v>Valdivia</v>
      </c>
      <c r="I1543" t="str">
        <f>VLOOKUP(F1543,'[1]Sheet 1'!$B$2:$E$347,4,FALSE)</f>
        <v>Máfil</v>
      </c>
      <c r="J1543" t="s">
        <v>136</v>
      </c>
      <c r="K1543" s="3" t="s">
        <v>4</v>
      </c>
      <c r="L1543" s="12" t="str">
        <f>VLOOKUP(K1543,[2]Hoja4!$A$2:$C$443,2,FALSE)</f>
        <v>Intentional self-harm by hanging, strangulation and suffocation</v>
      </c>
      <c r="M1543" s="12" t="str">
        <f>VLOOKUP(K1543,[2]Hoja4!$A$2:$C$443,3,FALSE)</f>
        <v>At home</v>
      </c>
      <c r="N1543" s="1">
        <v>4.5999999999999996</v>
      </c>
      <c r="O1543" s="1">
        <v>22.6</v>
      </c>
      <c r="P1543" s="1">
        <v>13.5</v>
      </c>
      <c r="Q1543" s="1">
        <v>1018.3</v>
      </c>
      <c r="R1543" s="1">
        <v>0</v>
      </c>
      <c r="S1543" s="1">
        <v>69.8</v>
      </c>
      <c r="T1543" s="5">
        <v>0.10290000000000001</v>
      </c>
      <c r="U1543" s="10">
        <v>3.0000000000000001E-3</v>
      </c>
    </row>
    <row r="1544" spans="1:21" customFormat="1">
      <c r="A1544">
        <v>1</v>
      </c>
      <c r="B1544">
        <v>31</v>
      </c>
      <c r="C1544">
        <v>20</v>
      </c>
      <c r="D1544">
        <v>12</v>
      </c>
      <c r="E1544">
        <v>2020</v>
      </c>
      <c r="F1544">
        <v>6107</v>
      </c>
      <c r="G1544" t="str">
        <f>VLOOKUP(F1544,'[1]Sheet 1'!$B$2:$E$347,2,FALSE)</f>
        <v>Libertador General Bernardo O'Higgins</v>
      </c>
      <c r="H1544" t="str">
        <f>VLOOKUP(F1544,'[1]Sheet 1'!$B$2:$E$347,3,FALSE)</f>
        <v>Cachapoal</v>
      </c>
      <c r="I1544" t="str">
        <f>VLOOKUP(F1544,'[1]Sheet 1'!$B$2:$E$347,4,FALSE)</f>
        <v>Las Cabras</v>
      </c>
      <c r="J1544" t="s">
        <v>142</v>
      </c>
      <c r="K1544" s="3" t="s">
        <v>11</v>
      </c>
      <c r="L1544" s="12" t="str">
        <f>VLOOKUP(K1544,[2]Hoja4!$A$2:$C$443,2,FALSE)</f>
        <v>Intentional self-harm by other and unspecified firearm discharge</v>
      </c>
      <c r="M1544" s="12" t="str">
        <f>VLOOKUP(K1544,[2]Hoja4!$A$2:$C$443,3,FALSE)</f>
        <v>Unspecified place</v>
      </c>
      <c r="N1544" s="1">
        <v>10</v>
      </c>
      <c r="O1544" s="1">
        <v>29.6</v>
      </c>
      <c r="P1544" s="1">
        <v>19.5</v>
      </c>
      <c r="Q1544" s="1">
        <v>958.1</v>
      </c>
      <c r="R1544" s="1">
        <v>0</v>
      </c>
      <c r="S1544" s="1">
        <v>47</v>
      </c>
      <c r="T1544" s="5">
        <v>0.10290000000000001</v>
      </c>
      <c r="U1544" s="10">
        <v>3.0000000000000001E-3</v>
      </c>
    </row>
    <row r="1545" spans="1:21" customFormat="1">
      <c r="A1545">
        <v>1</v>
      </c>
      <c r="B1545">
        <v>25</v>
      </c>
      <c r="C1545">
        <v>20</v>
      </c>
      <c r="D1545">
        <v>12</v>
      </c>
      <c r="E1545">
        <v>2020</v>
      </c>
      <c r="F1545">
        <v>9106</v>
      </c>
      <c r="G1545" t="str">
        <f>VLOOKUP(F1545,'[1]Sheet 1'!$B$2:$E$347,2,FALSE)</f>
        <v>La Araucanía</v>
      </c>
      <c r="H1545" t="str">
        <f>VLOOKUP(F1545,'[1]Sheet 1'!$B$2:$E$347,3,FALSE)</f>
        <v>Cautín</v>
      </c>
      <c r="I1545" t="str">
        <f>VLOOKUP(F1545,'[1]Sheet 1'!$B$2:$E$347,4,FALSE)</f>
        <v>Galvarino</v>
      </c>
      <c r="J1545" t="s">
        <v>136</v>
      </c>
      <c r="K1545" s="3" t="s">
        <v>2</v>
      </c>
      <c r="L1545" s="12" t="str">
        <f>VLOOKUP(K1545,[2]Hoja4!$A$2:$C$443,2,FALSE)</f>
        <v>Intentional self-harm by hanging, strangulation and suffocation</v>
      </c>
      <c r="M1545" s="12" t="str">
        <f>VLOOKUP(K1545,[2]Hoja4!$A$2:$C$443,3,FALSE)</f>
        <v>Street and highway</v>
      </c>
      <c r="N1545" s="1">
        <v>4.4000000000000004</v>
      </c>
      <c r="O1545" s="1">
        <v>21</v>
      </c>
      <c r="P1545" s="1">
        <v>12.9</v>
      </c>
      <c r="Q1545" s="1">
        <v>1008.2</v>
      </c>
      <c r="R1545" s="1">
        <v>0</v>
      </c>
      <c r="S1545" s="1">
        <v>78</v>
      </c>
      <c r="T1545" s="5">
        <v>0.10290000000000001</v>
      </c>
      <c r="U1545" s="10">
        <v>3.0000000000000001E-3</v>
      </c>
    </row>
    <row r="1546" spans="1:21" customFormat="1">
      <c r="A1546">
        <v>2</v>
      </c>
      <c r="B1546">
        <v>57</v>
      </c>
      <c r="C1546">
        <v>21</v>
      </c>
      <c r="D1546">
        <v>12</v>
      </c>
      <c r="E1546">
        <v>2020</v>
      </c>
      <c r="F1546">
        <v>7105</v>
      </c>
      <c r="G1546" t="str">
        <f>VLOOKUP(F1546,'[1]Sheet 1'!$B$2:$E$347,2,FALSE)</f>
        <v>Maule</v>
      </c>
      <c r="H1546" t="str">
        <f>VLOOKUP(F1546,'[1]Sheet 1'!$B$2:$E$347,3,FALSE)</f>
        <v>Talca</v>
      </c>
      <c r="I1546" t="str">
        <f>VLOOKUP(F1546,'[1]Sheet 1'!$B$2:$E$347,4,FALSE)</f>
        <v>Maule</v>
      </c>
      <c r="J1546" t="s">
        <v>136</v>
      </c>
      <c r="K1546" s="3" t="s">
        <v>4</v>
      </c>
      <c r="L1546" s="12" t="str">
        <f>VLOOKUP(K1546,[2]Hoja4!$A$2:$C$443,2,FALSE)</f>
        <v>Intentional self-harm by hanging, strangulation and suffocation</v>
      </c>
      <c r="M1546" s="12" t="str">
        <f>VLOOKUP(K1546,[2]Hoja4!$A$2:$C$443,3,FALSE)</f>
        <v>At home</v>
      </c>
      <c r="N1546" s="1">
        <v>4.0999999999999996</v>
      </c>
      <c r="O1546" s="1">
        <v>25.2</v>
      </c>
      <c r="P1546" s="1">
        <v>13.9</v>
      </c>
      <c r="Q1546" s="1">
        <v>1000.3</v>
      </c>
      <c r="R1546" s="1">
        <v>0</v>
      </c>
      <c r="S1546" s="1">
        <v>48.3</v>
      </c>
      <c r="T1546" s="5">
        <v>0.10290000000000001</v>
      </c>
      <c r="U1546" s="10">
        <v>3.0000000000000001E-3</v>
      </c>
    </row>
    <row r="1547" spans="1:21" customFormat="1">
      <c r="A1547">
        <v>1</v>
      </c>
      <c r="B1547">
        <v>54</v>
      </c>
      <c r="C1547">
        <v>21</v>
      </c>
      <c r="D1547">
        <v>12</v>
      </c>
      <c r="E1547">
        <v>2020</v>
      </c>
      <c r="F1547">
        <v>9115</v>
      </c>
      <c r="G1547" t="str">
        <f>VLOOKUP(F1547,'[1]Sheet 1'!$B$2:$E$347,2,FALSE)</f>
        <v>La Araucanía</v>
      </c>
      <c r="H1547" t="str">
        <f>VLOOKUP(F1547,'[1]Sheet 1'!$B$2:$E$347,3,FALSE)</f>
        <v>Cautín</v>
      </c>
      <c r="I1547" t="str">
        <f>VLOOKUP(F1547,'[1]Sheet 1'!$B$2:$E$347,4,FALSE)</f>
        <v>Pucón</v>
      </c>
      <c r="J1547" t="s">
        <v>136</v>
      </c>
      <c r="K1547" s="3" t="s">
        <v>17</v>
      </c>
      <c r="L1547" s="12" t="str">
        <f>VLOOKUP(K1547,[2]Hoja4!$A$2:$C$443,2,FALSE)</f>
        <v>Intentional self-harm by hanging, strangulation and suffocation</v>
      </c>
      <c r="M1547" s="12" t="str">
        <f>VLOOKUP(K1547,[2]Hoja4!$A$2:$C$443,3,FALSE)</f>
        <v>Industrial and construction area</v>
      </c>
      <c r="N1547" s="1">
        <v>4.0999999999999996</v>
      </c>
      <c r="O1547" s="1">
        <v>25.2</v>
      </c>
      <c r="P1547" s="1">
        <v>13.9</v>
      </c>
      <c r="Q1547" s="1">
        <v>1006.1</v>
      </c>
      <c r="R1547" s="1">
        <v>0</v>
      </c>
      <c r="S1547" s="1">
        <v>77.8</v>
      </c>
      <c r="T1547" s="5">
        <v>0.10290000000000001</v>
      </c>
      <c r="U1547" s="10">
        <v>3.0000000000000001E-3</v>
      </c>
    </row>
    <row r="1548" spans="1:21" customFormat="1">
      <c r="A1548">
        <v>2</v>
      </c>
      <c r="B1548">
        <v>20</v>
      </c>
      <c r="C1548">
        <v>21</v>
      </c>
      <c r="D1548">
        <v>12</v>
      </c>
      <c r="E1548">
        <v>2020</v>
      </c>
      <c r="F1548">
        <v>13105</v>
      </c>
      <c r="G1548" t="str">
        <f>VLOOKUP(F1548,'[1]Sheet 1'!$B$2:$E$347,2,FALSE)</f>
        <v>Metropolitana de Santiago</v>
      </c>
      <c r="H1548" t="str">
        <f>VLOOKUP(F1548,'[1]Sheet 1'!$B$2:$E$347,3,FALSE)</f>
        <v>Santiago</v>
      </c>
      <c r="I1548" t="str">
        <f>VLOOKUP(F1548,'[1]Sheet 1'!$B$2:$E$347,4,FALSE)</f>
        <v>El Bosque</v>
      </c>
      <c r="J1548" t="s">
        <v>136</v>
      </c>
      <c r="K1548" s="3" t="s">
        <v>0</v>
      </c>
      <c r="L1548" s="12" t="str">
        <f>VLOOKUP(K1548,[2]Hoja4!$A$2:$C$443,2,FALSE)</f>
        <v>Intentional self-harm by hanging, strangulation and suffocation</v>
      </c>
      <c r="M1548" s="12" t="str">
        <f>VLOOKUP(K1548,[2]Hoja4!$A$2:$C$443,3,FALSE)</f>
        <v>Unspecified place</v>
      </c>
      <c r="N1548" s="1">
        <v>13.8</v>
      </c>
      <c r="O1548" s="1">
        <v>24.9</v>
      </c>
      <c r="P1548" s="1">
        <v>17.8</v>
      </c>
      <c r="Q1548" s="1">
        <v>953.4</v>
      </c>
      <c r="R1548" s="1"/>
      <c r="S1548" s="1">
        <v>35</v>
      </c>
      <c r="T1548" s="5">
        <v>0.10290000000000001</v>
      </c>
      <c r="U1548" s="10">
        <v>3.0000000000000001E-3</v>
      </c>
    </row>
    <row r="1549" spans="1:21" customFormat="1">
      <c r="A1549">
        <v>2</v>
      </c>
      <c r="B1549">
        <v>71</v>
      </c>
      <c r="C1549">
        <v>22</v>
      </c>
      <c r="D1549">
        <v>12</v>
      </c>
      <c r="E1549">
        <v>2020</v>
      </c>
      <c r="F1549">
        <v>13203</v>
      </c>
      <c r="G1549" t="str">
        <f>VLOOKUP(F1549,'[1]Sheet 1'!$B$2:$E$347,2,FALSE)</f>
        <v>Metropolitana de Santiago</v>
      </c>
      <c r="H1549" t="str">
        <f>VLOOKUP(F1549,'[1]Sheet 1'!$B$2:$E$347,3,FALSE)</f>
        <v>Cordillera</v>
      </c>
      <c r="I1549" t="str">
        <f>VLOOKUP(F1549,'[1]Sheet 1'!$B$2:$E$347,4,FALSE)</f>
        <v>San José de Maipo</v>
      </c>
      <c r="J1549" t="s">
        <v>136</v>
      </c>
      <c r="K1549" s="3" t="s">
        <v>0</v>
      </c>
      <c r="L1549" s="12" t="str">
        <f>VLOOKUP(K1549,[2]Hoja4!$A$2:$C$443,2,FALSE)</f>
        <v>Intentional self-harm by hanging, strangulation and suffocation</v>
      </c>
      <c r="M1549" s="12" t="str">
        <f>VLOOKUP(K1549,[2]Hoja4!$A$2:$C$443,3,FALSE)</f>
        <v>Unspecified place</v>
      </c>
      <c r="N1549" s="1">
        <v>13.8</v>
      </c>
      <c r="O1549" s="1">
        <v>24.9</v>
      </c>
      <c r="P1549" s="1">
        <v>17.8</v>
      </c>
      <c r="Q1549" s="1">
        <v>937.2</v>
      </c>
      <c r="R1549" s="1">
        <v>0</v>
      </c>
      <c r="S1549" s="1">
        <v>42.9</v>
      </c>
      <c r="T1549" s="5">
        <v>0.10290000000000001</v>
      </c>
      <c r="U1549" s="10">
        <v>3.0000000000000001E-3</v>
      </c>
    </row>
    <row r="1550" spans="1:21" customFormat="1">
      <c r="A1550">
        <v>1</v>
      </c>
      <c r="B1550">
        <v>64</v>
      </c>
      <c r="C1550">
        <v>22</v>
      </c>
      <c r="D1550">
        <v>12</v>
      </c>
      <c r="E1550">
        <v>2020</v>
      </c>
      <c r="F1550">
        <v>4303</v>
      </c>
      <c r="G1550" t="str">
        <f>VLOOKUP(F1550,'[1]Sheet 1'!$B$2:$E$347,2,FALSE)</f>
        <v>Coquimbo</v>
      </c>
      <c r="H1550" t="str">
        <f>VLOOKUP(F1550,'[1]Sheet 1'!$B$2:$E$347,3,FALSE)</f>
        <v>Limarí</v>
      </c>
      <c r="I1550" t="str">
        <f>VLOOKUP(F1550,'[1]Sheet 1'!$B$2:$E$347,4,FALSE)</f>
        <v>Monte Patria</v>
      </c>
      <c r="J1550" t="s">
        <v>136</v>
      </c>
      <c r="K1550" s="3" t="s">
        <v>4</v>
      </c>
      <c r="L1550" s="12" t="str">
        <f>VLOOKUP(K1550,[2]Hoja4!$A$2:$C$443,2,FALSE)</f>
        <v>Intentional self-harm by hanging, strangulation and suffocation</v>
      </c>
      <c r="M1550" s="12" t="str">
        <f>VLOOKUP(K1550,[2]Hoja4!$A$2:$C$443,3,FALSE)</f>
        <v>At home</v>
      </c>
      <c r="N1550" s="1"/>
      <c r="O1550" s="1"/>
      <c r="P1550" s="1"/>
      <c r="Q1550" s="1"/>
      <c r="R1550" s="1"/>
      <c r="S1550" s="1"/>
      <c r="T1550" s="5">
        <v>0.10290000000000001</v>
      </c>
      <c r="U1550" s="10">
        <v>3.0000000000000001E-3</v>
      </c>
    </row>
    <row r="1551" spans="1:21" customFormat="1">
      <c r="A1551">
        <v>1</v>
      </c>
      <c r="B1551">
        <v>58</v>
      </c>
      <c r="C1551">
        <v>22</v>
      </c>
      <c r="D1551">
        <v>12</v>
      </c>
      <c r="E1551">
        <v>2020</v>
      </c>
      <c r="F1551">
        <v>8109</v>
      </c>
      <c r="G1551" t="str">
        <f>VLOOKUP(F1551,'[1]Sheet 1'!$B$2:$E$347,2,FALSE)</f>
        <v>Biobío</v>
      </c>
      <c r="H1551" t="str">
        <f>VLOOKUP(F1551,'[1]Sheet 1'!$B$2:$E$347,3,FALSE)</f>
        <v>Concepción</v>
      </c>
      <c r="I1551" t="str">
        <f>VLOOKUP(F1551,'[1]Sheet 1'!$B$2:$E$347,4,FALSE)</f>
        <v>Santa Juana</v>
      </c>
      <c r="J1551" t="s">
        <v>136</v>
      </c>
      <c r="K1551" s="3" t="s">
        <v>4</v>
      </c>
      <c r="L1551" s="12" t="str">
        <f>VLOOKUP(K1551,[2]Hoja4!$A$2:$C$443,2,FALSE)</f>
        <v>Intentional self-harm by hanging, strangulation and suffocation</v>
      </c>
      <c r="M1551" s="12" t="str">
        <f>VLOOKUP(K1551,[2]Hoja4!$A$2:$C$443,3,FALSE)</f>
        <v>At home</v>
      </c>
      <c r="N1551" s="1">
        <v>11</v>
      </c>
      <c r="O1551" s="1">
        <v>23.5</v>
      </c>
      <c r="P1551" s="1">
        <v>16.899999999999999</v>
      </c>
      <c r="Q1551" s="1">
        <v>1014.9</v>
      </c>
      <c r="R1551" s="1">
        <v>0</v>
      </c>
      <c r="S1551" s="1">
        <v>65.2</v>
      </c>
      <c r="T1551" s="5">
        <v>0.10290000000000001</v>
      </c>
      <c r="U1551" s="10">
        <v>3.0000000000000001E-3</v>
      </c>
    </row>
    <row r="1552" spans="1:21" customFormat="1">
      <c r="A1552">
        <v>1</v>
      </c>
      <c r="B1552">
        <v>19</v>
      </c>
      <c r="C1552">
        <v>22</v>
      </c>
      <c r="D1552">
        <v>12</v>
      </c>
      <c r="E1552">
        <v>2020</v>
      </c>
      <c r="F1552">
        <v>13108</v>
      </c>
      <c r="G1552" t="str">
        <f>VLOOKUP(F1552,'[1]Sheet 1'!$B$2:$E$347,2,FALSE)</f>
        <v>Metropolitana de Santiago</v>
      </c>
      <c r="H1552" t="str">
        <f>VLOOKUP(F1552,'[1]Sheet 1'!$B$2:$E$347,3,FALSE)</f>
        <v>Santiago</v>
      </c>
      <c r="I1552" t="str">
        <f>VLOOKUP(F1552,'[1]Sheet 1'!$B$2:$E$347,4,FALSE)</f>
        <v>Independencia</v>
      </c>
      <c r="J1552" t="s">
        <v>136</v>
      </c>
      <c r="K1552" s="3" t="s">
        <v>0</v>
      </c>
      <c r="L1552" s="12" t="str">
        <f>VLOOKUP(K1552,[2]Hoja4!$A$2:$C$443,2,FALSE)</f>
        <v>Intentional self-harm by hanging, strangulation and suffocation</v>
      </c>
      <c r="M1552" s="12" t="str">
        <f>VLOOKUP(K1552,[2]Hoja4!$A$2:$C$443,3,FALSE)</f>
        <v>Unspecified place</v>
      </c>
      <c r="N1552" s="1">
        <v>12.2</v>
      </c>
      <c r="O1552" s="1">
        <v>31.7</v>
      </c>
      <c r="P1552" s="1">
        <v>22.3</v>
      </c>
      <c r="Q1552" s="1">
        <v>953.3</v>
      </c>
      <c r="R1552" s="1"/>
      <c r="S1552" s="1">
        <v>37.200000000000003</v>
      </c>
      <c r="T1552" s="5">
        <v>0.10290000000000001</v>
      </c>
      <c r="U1552" s="10">
        <v>3.0000000000000001E-3</v>
      </c>
    </row>
    <row r="1553" spans="1:21" customFormat="1">
      <c r="A1553">
        <v>1</v>
      </c>
      <c r="B1553">
        <v>76</v>
      </c>
      <c r="C1553">
        <v>23</v>
      </c>
      <c r="D1553">
        <v>12</v>
      </c>
      <c r="E1553">
        <v>2020</v>
      </c>
      <c r="F1553">
        <v>8106</v>
      </c>
      <c r="G1553" t="str">
        <f>VLOOKUP(F1553,'[1]Sheet 1'!$B$2:$E$347,2,FALSE)</f>
        <v>Biobío</v>
      </c>
      <c r="H1553" t="str">
        <f>VLOOKUP(F1553,'[1]Sheet 1'!$B$2:$E$347,3,FALSE)</f>
        <v>Concepción</v>
      </c>
      <c r="I1553" t="str">
        <f>VLOOKUP(F1553,'[1]Sheet 1'!$B$2:$E$347,4,FALSE)</f>
        <v>Lota</v>
      </c>
      <c r="J1553" t="s">
        <v>136</v>
      </c>
      <c r="K1553" s="3" t="s">
        <v>4</v>
      </c>
      <c r="L1553" s="12" t="str">
        <f>VLOOKUP(K1553,[2]Hoja4!$A$2:$C$443,2,FALSE)</f>
        <v>Intentional self-harm by hanging, strangulation and suffocation</v>
      </c>
      <c r="M1553" s="12" t="str">
        <f>VLOOKUP(K1553,[2]Hoja4!$A$2:$C$443,3,FALSE)</f>
        <v>At home</v>
      </c>
      <c r="N1553" s="1">
        <v>12.4</v>
      </c>
      <c r="O1553" s="1">
        <v>22.4</v>
      </c>
      <c r="P1553" s="1">
        <v>17.100000000000001</v>
      </c>
      <c r="Q1553" s="1">
        <v>1014</v>
      </c>
      <c r="R1553" s="1">
        <v>0</v>
      </c>
      <c r="S1553" s="1">
        <v>68.2</v>
      </c>
      <c r="T1553" s="5">
        <v>0.10290000000000001</v>
      </c>
      <c r="U1553" s="10">
        <v>3.0000000000000001E-3</v>
      </c>
    </row>
    <row r="1554" spans="1:21" customFormat="1">
      <c r="A1554">
        <v>1</v>
      </c>
      <c r="B1554">
        <v>54</v>
      </c>
      <c r="C1554">
        <v>23</v>
      </c>
      <c r="D1554">
        <v>12</v>
      </c>
      <c r="E1554">
        <v>2020</v>
      </c>
      <c r="F1554">
        <v>13401</v>
      </c>
      <c r="G1554" t="str">
        <f>VLOOKUP(F1554,'[1]Sheet 1'!$B$2:$E$347,2,FALSE)</f>
        <v>Metropolitana de Santiago</v>
      </c>
      <c r="H1554" t="str">
        <f>VLOOKUP(F1554,'[1]Sheet 1'!$B$2:$E$347,3,FALSE)</f>
        <v>Maipo</v>
      </c>
      <c r="I1554" t="str">
        <f>VLOOKUP(F1554,'[1]Sheet 1'!$B$2:$E$347,4,FALSE)</f>
        <v>San Bernardo</v>
      </c>
      <c r="J1554" t="s">
        <v>136</v>
      </c>
      <c r="K1554" s="3" t="s">
        <v>0</v>
      </c>
      <c r="L1554" s="12" t="str">
        <f>VLOOKUP(K1554,[2]Hoja4!$A$2:$C$443,2,FALSE)</f>
        <v>Intentional self-harm by hanging, strangulation and suffocation</v>
      </c>
      <c r="M1554" s="12" t="str">
        <f>VLOOKUP(K1554,[2]Hoja4!$A$2:$C$443,3,FALSE)</f>
        <v>Unspecified place</v>
      </c>
      <c r="N1554" s="1">
        <v>10.199999999999999</v>
      </c>
      <c r="O1554" s="1">
        <v>27.2</v>
      </c>
      <c r="P1554" s="1">
        <v>18.7</v>
      </c>
      <c r="Q1554" s="1">
        <v>962.6</v>
      </c>
      <c r="R1554" s="1">
        <v>0</v>
      </c>
      <c r="S1554" s="1">
        <v>58.6</v>
      </c>
      <c r="T1554" s="5">
        <v>0.10290000000000001</v>
      </c>
      <c r="U1554" s="10">
        <v>3.0000000000000001E-3</v>
      </c>
    </row>
    <row r="1555" spans="1:21" customFormat="1">
      <c r="A1555">
        <v>1</v>
      </c>
      <c r="B1555">
        <v>54</v>
      </c>
      <c r="C1555">
        <v>23</v>
      </c>
      <c r="D1555">
        <v>12</v>
      </c>
      <c r="E1555">
        <v>2020</v>
      </c>
      <c r="F1555">
        <v>8110</v>
      </c>
      <c r="G1555" t="str">
        <f>VLOOKUP(F1555,'[1]Sheet 1'!$B$2:$E$347,2,FALSE)</f>
        <v>Biobío</v>
      </c>
      <c r="H1555" t="str">
        <f>VLOOKUP(F1555,'[1]Sheet 1'!$B$2:$E$347,3,FALSE)</f>
        <v>Concepción</v>
      </c>
      <c r="I1555" t="str">
        <f>VLOOKUP(F1555,'[1]Sheet 1'!$B$2:$E$347,4,FALSE)</f>
        <v>Talcahuano</v>
      </c>
      <c r="J1555" t="s">
        <v>136</v>
      </c>
      <c r="K1555" s="3" t="s">
        <v>4</v>
      </c>
      <c r="L1555" s="12" t="str">
        <f>VLOOKUP(K1555,[2]Hoja4!$A$2:$C$443,2,FALSE)</f>
        <v>Intentional self-harm by hanging, strangulation and suffocation</v>
      </c>
      <c r="M1555" s="12" t="str">
        <f>VLOOKUP(K1555,[2]Hoja4!$A$2:$C$443,3,FALSE)</f>
        <v>At home</v>
      </c>
      <c r="N1555" s="1">
        <v>12.5</v>
      </c>
      <c r="O1555" s="1">
        <v>23.9</v>
      </c>
      <c r="P1555" s="1">
        <v>18</v>
      </c>
      <c r="Q1555" s="1">
        <v>1014</v>
      </c>
      <c r="R1555" s="1">
        <v>0</v>
      </c>
      <c r="S1555" s="1">
        <v>68.2</v>
      </c>
      <c r="T1555" s="5">
        <v>0.10290000000000001</v>
      </c>
      <c r="U1555" s="10">
        <v>3.0000000000000001E-3</v>
      </c>
    </row>
    <row r="1556" spans="1:21" customFormat="1">
      <c r="A1556">
        <v>1</v>
      </c>
      <c r="B1556">
        <v>39</v>
      </c>
      <c r="C1556">
        <v>23</v>
      </c>
      <c r="D1556">
        <v>12</v>
      </c>
      <c r="E1556">
        <v>2020</v>
      </c>
      <c r="F1556">
        <v>13122</v>
      </c>
      <c r="G1556" t="str">
        <f>VLOOKUP(F1556,'[1]Sheet 1'!$B$2:$E$347,2,FALSE)</f>
        <v>Metropolitana de Santiago</v>
      </c>
      <c r="H1556" t="str">
        <f>VLOOKUP(F1556,'[1]Sheet 1'!$B$2:$E$347,3,FALSE)</f>
        <v>Santiago</v>
      </c>
      <c r="I1556" t="str">
        <f>VLOOKUP(F1556,'[1]Sheet 1'!$B$2:$E$347,4,FALSE)</f>
        <v>Peñalolén</v>
      </c>
      <c r="J1556" t="s">
        <v>136</v>
      </c>
      <c r="K1556" s="3" t="s">
        <v>0</v>
      </c>
      <c r="L1556" s="12" t="str">
        <f>VLOOKUP(K1556,[2]Hoja4!$A$2:$C$443,2,FALSE)</f>
        <v>Intentional self-harm by hanging, strangulation and suffocation</v>
      </c>
      <c r="M1556" s="12" t="str">
        <f>VLOOKUP(K1556,[2]Hoja4!$A$2:$C$443,3,FALSE)</f>
        <v>Unspecified place</v>
      </c>
      <c r="N1556" s="1">
        <v>13</v>
      </c>
      <c r="O1556" s="1">
        <v>27.9</v>
      </c>
      <c r="P1556" s="1">
        <v>21.2</v>
      </c>
      <c r="Q1556" s="1">
        <v>953.3</v>
      </c>
      <c r="R1556" s="1"/>
      <c r="S1556" s="1">
        <v>47.8</v>
      </c>
      <c r="T1556" s="5">
        <v>0.10290000000000001</v>
      </c>
      <c r="U1556" s="10">
        <v>3.0000000000000001E-3</v>
      </c>
    </row>
    <row r="1557" spans="1:21" customFormat="1">
      <c r="A1557">
        <v>1</v>
      </c>
      <c r="B1557">
        <v>35</v>
      </c>
      <c r="C1557">
        <v>23</v>
      </c>
      <c r="D1557">
        <v>12</v>
      </c>
      <c r="E1557">
        <v>2020</v>
      </c>
      <c r="F1557">
        <v>14101</v>
      </c>
      <c r="G1557" t="str">
        <f>VLOOKUP(F1557,'[1]Sheet 1'!$B$2:$E$347,2,FALSE)</f>
        <v>Los Ríos</v>
      </c>
      <c r="H1557" t="str">
        <f>VLOOKUP(F1557,'[1]Sheet 1'!$B$2:$E$347,3,FALSE)</f>
        <v>Valdivia</v>
      </c>
      <c r="I1557" t="str">
        <f>VLOOKUP(F1557,'[1]Sheet 1'!$B$2:$E$347,4,FALSE)</f>
        <v>Valdivia</v>
      </c>
      <c r="J1557" t="s">
        <v>136</v>
      </c>
      <c r="K1557" s="3" t="s">
        <v>0</v>
      </c>
      <c r="L1557" s="12" t="str">
        <f>VLOOKUP(K1557,[2]Hoja4!$A$2:$C$443,2,FALSE)</f>
        <v>Intentional self-harm by hanging, strangulation and suffocation</v>
      </c>
      <c r="M1557" s="12" t="str">
        <f>VLOOKUP(K1557,[2]Hoja4!$A$2:$C$443,3,FALSE)</f>
        <v>Unspecified place</v>
      </c>
      <c r="N1557" s="1">
        <v>5.8</v>
      </c>
      <c r="O1557" s="1">
        <v>22.7</v>
      </c>
      <c r="P1557" s="1">
        <v>14.7</v>
      </c>
      <c r="Q1557" s="1">
        <v>1015</v>
      </c>
      <c r="R1557" s="1">
        <v>0</v>
      </c>
      <c r="S1557" s="1">
        <v>81.8</v>
      </c>
      <c r="T1557" s="5">
        <v>0.10290000000000001</v>
      </c>
      <c r="U1557" s="10">
        <v>3.0000000000000001E-3</v>
      </c>
    </row>
    <row r="1558" spans="1:21" customFormat="1">
      <c r="A1558">
        <v>1</v>
      </c>
      <c r="B1558">
        <v>37</v>
      </c>
      <c r="C1558">
        <v>23</v>
      </c>
      <c r="D1558">
        <v>12</v>
      </c>
      <c r="E1558">
        <v>2020</v>
      </c>
      <c r="F1558">
        <v>13124</v>
      </c>
      <c r="G1558" t="str">
        <f>VLOOKUP(F1558,'[1]Sheet 1'!$B$2:$E$347,2,FALSE)</f>
        <v>Metropolitana de Santiago</v>
      </c>
      <c r="H1558" t="str">
        <f>VLOOKUP(F1558,'[1]Sheet 1'!$B$2:$E$347,3,FALSE)</f>
        <v>Santiago</v>
      </c>
      <c r="I1558" t="str">
        <f>VLOOKUP(F1558,'[1]Sheet 1'!$B$2:$E$347,4,FALSE)</f>
        <v>Pudahuel</v>
      </c>
      <c r="J1558" t="s">
        <v>136</v>
      </c>
      <c r="K1558" s="3" t="s">
        <v>4</v>
      </c>
      <c r="L1558" s="12" t="str">
        <f>VLOOKUP(K1558,[2]Hoja4!$A$2:$C$443,2,FALSE)</f>
        <v>Intentional self-harm by hanging, strangulation and suffocation</v>
      </c>
      <c r="M1558" s="12" t="str">
        <f>VLOOKUP(K1558,[2]Hoja4!$A$2:$C$443,3,FALSE)</f>
        <v>At home</v>
      </c>
      <c r="N1558" s="1">
        <v>13</v>
      </c>
      <c r="O1558" s="1">
        <v>27.9</v>
      </c>
      <c r="P1558" s="1">
        <v>21.2</v>
      </c>
      <c r="Q1558" s="1">
        <v>953.3</v>
      </c>
      <c r="R1558" s="1"/>
      <c r="S1558" s="1">
        <v>47.8</v>
      </c>
      <c r="T1558" s="5">
        <v>0.10290000000000001</v>
      </c>
      <c r="U1558" s="10">
        <v>3.0000000000000001E-3</v>
      </c>
    </row>
    <row r="1559" spans="1:21" customFormat="1">
      <c r="A1559">
        <v>1</v>
      </c>
      <c r="B1559">
        <v>34</v>
      </c>
      <c r="C1559">
        <v>23</v>
      </c>
      <c r="D1559">
        <v>12</v>
      </c>
      <c r="E1559">
        <v>2020</v>
      </c>
      <c r="F1559">
        <v>13127</v>
      </c>
      <c r="G1559" t="str">
        <f>VLOOKUP(F1559,'[1]Sheet 1'!$B$2:$E$347,2,FALSE)</f>
        <v>Metropolitana de Santiago</v>
      </c>
      <c r="H1559" t="str">
        <f>VLOOKUP(F1559,'[1]Sheet 1'!$B$2:$E$347,3,FALSE)</f>
        <v>Santiago</v>
      </c>
      <c r="I1559" t="str">
        <f>VLOOKUP(F1559,'[1]Sheet 1'!$B$2:$E$347,4,FALSE)</f>
        <v>Recoleta</v>
      </c>
      <c r="J1559" t="s">
        <v>136</v>
      </c>
      <c r="K1559" s="3" t="s">
        <v>0</v>
      </c>
      <c r="L1559" s="12" t="str">
        <f>VLOOKUP(K1559,[2]Hoja4!$A$2:$C$443,2,FALSE)</f>
        <v>Intentional self-harm by hanging, strangulation and suffocation</v>
      </c>
      <c r="M1559" s="12" t="str">
        <f>VLOOKUP(K1559,[2]Hoja4!$A$2:$C$443,3,FALSE)</f>
        <v>Unspecified place</v>
      </c>
      <c r="N1559" s="1">
        <v>13</v>
      </c>
      <c r="O1559" s="1">
        <v>27.9</v>
      </c>
      <c r="P1559" s="1">
        <v>21.2</v>
      </c>
      <c r="Q1559" s="1">
        <v>953.3</v>
      </c>
      <c r="R1559" s="1"/>
      <c r="S1559" s="1">
        <v>47.8</v>
      </c>
      <c r="T1559" s="5">
        <v>0.10290000000000001</v>
      </c>
      <c r="U1559" s="10">
        <v>3.0000000000000001E-3</v>
      </c>
    </row>
    <row r="1560" spans="1:21" customFormat="1">
      <c r="A1560">
        <v>1</v>
      </c>
      <c r="B1560">
        <v>52</v>
      </c>
      <c r="C1560">
        <v>24</v>
      </c>
      <c r="D1560">
        <v>12</v>
      </c>
      <c r="E1560">
        <v>2020</v>
      </c>
      <c r="F1560">
        <v>8203</v>
      </c>
      <c r="G1560" t="str">
        <f>VLOOKUP(F1560,'[1]Sheet 1'!$B$2:$E$347,2,FALSE)</f>
        <v>Biobío</v>
      </c>
      <c r="H1560" t="str">
        <f>VLOOKUP(F1560,'[1]Sheet 1'!$B$2:$E$347,3,FALSE)</f>
        <v>Arauco</v>
      </c>
      <c r="I1560" t="str">
        <f>VLOOKUP(F1560,'[1]Sheet 1'!$B$2:$E$347,4,FALSE)</f>
        <v>Cañete</v>
      </c>
      <c r="J1560" t="s">
        <v>136</v>
      </c>
      <c r="K1560" s="3" t="s">
        <v>0</v>
      </c>
      <c r="L1560" s="12" t="str">
        <f>VLOOKUP(K1560,[2]Hoja4!$A$2:$C$443,2,FALSE)</f>
        <v>Intentional self-harm by hanging, strangulation and suffocation</v>
      </c>
      <c r="M1560" s="12" t="str">
        <f>VLOOKUP(K1560,[2]Hoja4!$A$2:$C$443,3,FALSE)</f>
        <v>Unspecified place</v>
      </c>
      <c r="N1560" s="1">
        <v>10.6</v>
      </c>
      <c r="O1560" s="1">
        <v>23.1</v>
      </c>
      <c r="P1560" s="1">
        <v>16.8</v>
      </c>
      <c r="Q1560" s="1">
        <v>1015.7</v>
      </c>
      <c r="R1560" s="1">
        <v>0</v>
      </c>
      <c r="S1560" s="1">
        <v>67.5</v>
      </c>
      <c r="T1560" s="5">
        <v>0.10290000000000001</v>
      </c>
      <c r="U1560" s="10">
        <v>3.0000000000000001E-3</v>
      </c>
    </row>
    <row r="1561" spans="1:21" customFormat="1">
      <c r="A1561">
        <v>2</v>
      </c>
      <c r="B1561">
        <v>46</v>
      </c>
      <c r="C1561">
        <v>25</v>
      </c>
      <c r="D1561">
        <v>12</v>
      </c>
      <c r="E1561">
        <v>2020</v>
      </c>
      <c r="F1561">
        <v>6101</v>
      </c>
      <c r="G1561" t="str">
        <f>VLOOKUP(F1561,'[1]Sheet 1'!$B$2:$E$347,2,FALSE)</f>
        <v>Libertador General Bernardo O'Higgins</v>
      </c>
      <c r="H1561" t="str">
        <f>VLOOKUP(F1561,'[1]Sheet 1'!$B$2:$E$347,3,FALSE)</f>
        <v>Cachapoal</v>
      </c>
      <c r="I1561" t="str">
        <f>VLOOKUP(F1561,'[1]Sheet 1'!$B$2:$E$347,4,FALSE)</f>
        <v>Rancagua</v>
      </c>
      <c r="J1561" t="s">
        <v>136</v>
      </c>
      <c r="K1561" s="3" t="s">
        <v>0</v>
      </c>
      <c r="L1561" s="12" t="str">
        <f>VLOOKUP(K1561,[2]Hoja4!$A$2:$C$443,2,FALSE)</f>
        <v>Intentional self-harm by hanging, strangulation and suffocation</v>
      </c>
      <c r="M1561" s="12" t="str">
        <f>VLOOKUP(K1561,[2]Hoja4!$A$2:$C$443,3,FALSE)</f>
        <v>Unspecified place</v>
      </c>
      <c r="N1561" s="1">
        <v>13.6</v>
      </c>
      <c r="O1561" s="1">
        <v>33.4</v>
      </c>
      <c r="P1561" s="1">
        <v>24.1</v>
      </c>
      <c r="Q1561" s="1">
        <v>956.1</v>
      </c>
      <c r="R1561" s="1">
        <v>0</v>
      </c>
      <c r="S1561" s="1">
        <v>30.5</v>
      </c>
      <c r="T1561" s="5">
        <v>0.10290000000000001</v>
      </c>
      <c r="U1561" s="10">
        <v>3.0000000000000001E-3</v>
      </c>
    </row>
    <row r="1562" spans="1:21" customFormat="1">
      <c r="A1562">
        <v>1</v>
      </c>
      <c r="B1562">
        <v>61</v>
      </c>
      <c r="C1562">
        <v>25</v>
      </c>
      <c r="D1562">
        <v>12</v>
      </c>
      <c r="E1562">
        <v>2020</v>
      </c>
      <c r="F1562">
        <v>9101</v>
      </c>
      <c r="G1562" t="str">
        <f>VLOOKUP(F1562,'[1]Sheet 1'!$B$2:$E$347,2,FALSE)</f>
        <v>La Araucanía</v>
      </c>
      <c r="H1562" t="str">
        <f>VLOOKUP(F1562,'[1]Sheet 1'!$B$2:$E$347,3,FALSE)</f>
        <v>Cautín</v>
      </c>
      <c r="I1562" t="str">
        <f>VLOOKUP(F1562,'[1]Sheet 1'!$B$2:$E$347,4,FALSE)</f>
        <v>Temuco</v>
      </c>
      <c r="J1562" t="s">
        <v>136</v>
      </c>
      <c r="K1562" s="3" t="s">
        <v>4</v>
      </c>
      <c r="L1562" s="12" t="str">
        <f>VLOOKUP(K1562,[2]Hoja4!$A$2:$C$443,2,FALSE)</f>
        <v>Intentional self-harm by hanging, strangulation and suffocation</v>
      </c>
      <c r="M1562" s="12" t="str">
        <f>VLOOKUP(K1562,[2]Hoja4!$A$2:$C$443,3,FALSE)</f>
        <v>At home</v>
      </c>
      <c r="N1562" s="1">
        <v>7.5</v>
      </c>
      <c r="O1562" s="1" t="s">
        <v>57</v>
      </c>
      <c r="P1562" s="1">
        <v>16.3</v>
      </c>
      <c r="Q1562" s="1">
        <v>1004.6</v>
      </c>
      <c r="R1562" s="1">
        <v>0</v>
      </c>
      <c r="S1562" s="1">
        <v>84.2</v>
      </c>
      <c r="T1562" s="5">
        <v>0.10290000000000001</v>
      </c>
      <c r="U1562" s="10">
        <v>3.0000000000000001E-3</v>
      </c>
    </row>
    <row r="1563" spans="1:21" customFormat="1">
      <c r="A1563">
        <v>1</v>
      </c>
      <c r="B1563">
        <v>33</v>
      </c>
      <c r="C1563">
        <v>25</v>
      </c>
      <c r="D1563">
        <v>12</v>
      </c>
      <c r="E1563">
        <v>2020</v>
      </c>
      <c r="F1563">
        <v>13125</v>
      </c>
      <c r="G1563" t="str">
        <f>VLOOKUP(F1563,'[1]Sheet 1'!$B$2:$E$347,2,FALSE)</f>
        <v>Metropolitana de Santiago</v>
      </c>
      <c r="H1563" t="str">
        <f>VLOOKUP(F1563,'[1]Sheet 1'!$B$2:$E$347,3,FALSE)</f>
        <v>Santiago</v>
      </c>
      <c r="I1563" t="str">
        <f>VLOOKUP(F1563,'[1]Sheet 1'!$B$2:$E$347,4,FALSE)</f>
        <v>Quilicura</v>
      </c>
      <c r="J1563" t="s">
        <v>136</v>
      </c>
      <c r="K1563" s="3" t="s">
        <v>0</v>
      </c>
      <c r="L1563" s="12" t="str">
        <f>VLOOKUP(K1563,[2]Hoja4!$A$2:$C$443,2,FALSE)</f>
        <v>Intentional self-harm by hanging, strangulation and suffocation</v>
      </c>
      <c r="M1563" s="12" t="str">
        <f>VLOOKUP(K1563,[2]Hoja4!$A$2:$C$443,3,FALSE)</f>
        <v>Unspecified place</v>
      </c>
      <c r="N1563" s="1">
        <v>12.8</v>
      </c>
      <c r="O1563" s="1">
        <v>33.5</v>
      </c>
      <c r="P1563" s="1">
        <v>23.4</v>
      </c>
      <c r="Q1563" s="1">
        <v>952.4</v>
      </c>
      <c r="R1563" s="1"/>
      <c r="S1563" s="1">
        <v>35.200000000000003</v>
      </c>
      <c r="T1563" s="5">
        <v>0.10290000000000001</v>
      </c>
      <c r="U1563" s="10">
        <v>3.0000000000000001E-3</v>
      </c>
    </row>
    <row r="1564" spans="1:21" customFormat="1">
      <c r="A1564">
        <v>1</v>
      </c>
      <c r="B1564">
        <v>43</v>
      </c>
      <c r="C1564">
        <v>25</v>
      </c>
      <c r="D1564">
        <v>12</v>
      </c>
      <c r="E1564">
        <v>2020</v>
      </c>
      <c r="F1564">
        <v>7101</v>
      </c>
      <c r="G1564" t="str">
        <f>VLOOKUP(F1564,'[1]Sheet 1'!$B$2:$E$347,2,FALSE)</f>
        <v>Maule</v>
      </c>
      <c r="H1564" t="str">
        <f>VLOOKUP(F1564,'[1]Sheet 1'!$B$2:$E$347,3,FALSE)</f>
        <v>Talca</v>
      </c>
      <c r="I1564" t="str">
        <f>VLOOKUP(F1564,'[1]Sheet 1'!$B$2:$E$347,4,FALSE)</f>
        <v>Talca</v>
      </c>
      <c r="J1564" t="s">
        <v>136</v>
      </c>
      <c r="K1564" s="3" t="s">
        <v>4</v>
      </c>
      <c r="L1564" s="12" t="str">
        <f>VLOOKUP(K1564,[2]Hoja4!$A$2:$C$443,2,FALSE)</f>
        <v>Intentional self-harm by hanging, strangulation and suffocation</v>
      </c>
      <c r="M1564" s="12" t="str">
        <f>VLOOKUP(K1564,[2]Hoja4!$A$2:$C$443,3,FALSE)</f>
        <v>At home</v>
      </c>
      <c r="N1564" s="1">
        <v>15.2</v>
      </c>
      <c r="O1564" s="1">
        <v>33</v>
      </c>
      <c r="P1564" s="1">
        <v>23.5</v>
      </c>
      <c r="Q1564" s="1">
        <v>999.4</v>
      </c>
      <c r="R1564" s="1">
        <v>0</v>
      </c>
      <c r="S1564" s="1">
        <v>50.4</v>
      </c>
      <c r="T1564" s="5">
        <v>0.10290000000000001</v>
      </c>
      <c r="U1564" s="10">
        <v>3.0000000000000001E-3</v>
      </c>
    </row>
    <row r="1565" spans="1:21" customFormat="1">
      <c r="A1565">
        <v>1</v>
      </c>
      <c r="B1565">
        <v>61</v>
      </c>
      <c r="C1565">
        <v>26</v>
      </c>
      <c r="D1565">
        <v>12</v>
      </c>
      <c r="E1565">
        <v>2020</v>
      </c>
      <c r="F1565">
        <v>9101</v>
      </c>
      <c r="G1565" t="str">
        <f>VLOOKUP(F1565,'[1]Sheet 1'!$B$2:$E$347,2,FALSE)</f>
        <v>La Araucanía</v>
      </c>
      <c r="H1565" t="str">
        <f>VLOOKUP(F1565,'[1]Sheet 1'!$B$2:$E$347,3,FALSE)</f>
        <v>Cautín</v>
      </c>
      <c r="I1565" t="str">
        <f>VLOOKUP(F1565,'[1]Sheet 1'!$B$2:$E$347,4,FALSE)</f>
        <v>Temuco</v>
      </c>
      <c r="J1565" t="s">
        <v>136</v>
      </c>
      <c r="K1565" s="3" t="s">
        <v>0</v>
      </c>
      <c r="L1565" s="12" t="str">
        <f>VLOOKUP(K1565,[2]Hoja4!$A$2:$C$443,2,FALSE)</f>
        <v>Intentional self-harm by hanging, strangulation and suffocation</v>
      </c>
      <c r="M1565" s="12" t="str">
        <f>VLOOKUP(K1565,[2]Hoja4!$A$2:$C$443,3,FALSE)</f>
        <v>Unspecified place</v>
      </c>
      <c r="N1565" s="1">
        <v>13.8</v>
      </c>
      <c r="O1565" s="1">
        <v>24.9</v>
      </c>
      <c r="P1565" s="1">
        <v>17.8</v>
      </c>
      <c r="Q1565" s="1">
        <v>1002.8</v>
      </c>
      <c r="R1565" s="1">
        <v>0</v>
      </c>
      <c r="S1565" s="1">
        <v>89</v>
      </c>
      <c r="T1565" s="5">
        <v>0.10290000000000001</v>
      </c>
      <c r="U1565" s="10">
        <v>3.0000000000000001E-3</v>
      </c>
    </row>
    <row r="1566" spans="1:21" customFormat="1">
      <c r="A1566">
        <v>1</v>
      </c>
      <c r="B1566">
        <v>55</v>
      </c>
      <c r="C1566">
        <v>26</v>
      </c>
      <c r="D1566">
        <v>12</v>
      </c>
      <c r="E1566">
        <v>2020</v>
      </c>
      <c r="F1566">
        <v>13126</v>
      </c>
      <c r="G1566" t="str">
        <f>VLOOKUP(F1566,'[1]Sheet 1'!$B$2:$E$347,2,FALSE)</f>
        <v>Metropolitana de Santiago</v>
      </c>
      <c r="H1566" t="str">
        <f>VLOOKUP(F1566,'[1]Sheet 1'!$B$2:$E$347,3,FALSE)</f>
        <v>Santiago</v>
      </c>
      <c r="I1566" t="str">
        <f>VLOOKUP(F1566,'[1]Sheet 1'!$B$2:$E$347,4,FALSE)</f>
        <v>Quinta Normal</v>
      </c>
      <c r="J1566" t="s">
        <v>136</v>
      </c>
      <c r="K1566" s="3" t="s">
        <v>0</v>
      </c>
      <c r="L1566" s="12" t="str">
        <f>VLOOKUP(K1566,[2]Hoja4!$A$2:$C$443,2,FALSE)</f>
        <v>Intentional self-harm by hanging, strangulation and suffocation</v>
      </c>
      <c r="M1566" s="12" t="str">
        <f>VLOOKUP(K1566,[2]Hoja4!$A$2:$C$443,3,FALSE)</f>
        <v>Unspecified place</v>
      </c>
      <c r="N1566" s="1">
        <v>13.3</v>
      </c>
      <c r="O1566" s="1">
        <v>29.4</v>
      </c>
      <c r="P1566" s="1">
        <v>22.5</v>
      </c>
      <c r="Q1566" s="1">
        <v>952.4</v>
      </c>
      <c r="R1566" s="1"/>
      <c r="S1566" s="1">
        <v>46</v>
      </c>
      <c r="T1566" s="5">
        <v>0.10290000000000001</v>
      </c>
      <c r="U1566" s="10">
        <v>3.0000000000000001E-3</v>
      </c>
    </row>
    <row r="1567" spans="1:21" customFormat="1">
      <c r="A1567">
        <v>1</v>
      </c>
      <c r="B1567">
        <v>37</v>
      </c>
      <c r="C1567">
        <v>26</v>
      </c>
      <c r="D1567">
        <v>12</v>
      </c>
      <c r="E1567">
        <v>2020</v>
      </c>
      <c r="F1567">
        <v>9112</v>
      </c>
      <c r="G1567" t="str">
        <f>VLOOKUP(F1567,'[1]Sheet 1'!$B$2:$E$347,2,FALSE)</f>
        <v>La Araucanía</v>
      </c>
      <c r="H1567" t="str">
        <f>VLOOKUP(F1567,'[1]Sheet 1'!$B$2:$E$347,3,FALSE)</f>
        <v>Cautín</v>
      </c>
      <c r="I1567" t="str">
        <f>VLOOKUP(F1567,'[1]Sheet 1'!$B$2:$E$347,4,FALSE)</f>
        <v>Padre Las Casas</v>
      </c>
      <c r="J1567" t="s">
        <v>136</v>
      </c>
      <c r="K1567" s="3" t="s">
        <v>13</v>
      </c>
      <c r="L1567" s="12" t="str">
        <f>VLOOKUP(K1567,[2]Hoja4!$A$2:$C$443,2,FALSE)</f>
        <v>Intentional self-harm by hanging, strangulation and suffocation</v>
      </c>
      <c r="M1567" s="12" t="str">
        <f>VLOOKUP(K1567,[2]Hoja4!$A$2:$C$443,3,FALSE)</f>
        <v>Other specified places</v>
      </c>
      <c r="N1567" s="1">
        <v>13.8</v>
      </c>
      <c r="O1567" s="1">
        <v>24.9</v>
      </c>
      <c r="P1567" s="1">
        <v>17.8</v>
      </c>
      <c r="Q1567" s="1">
        <v>1002.8</v>
      </c>
      <c r="R1567" s="1">
        <v>0</v>
      </c>
      <c r="S1567" s="1">
        <v>89</v>
      </c>
      <c r="T1567" s="5">
        <v>0.10290000000000001</v>
      </c>
      <c r="U1567" s="10">
        <v>3.0000000000000001E-3</v>
      </c>
    </row>
    <row r="1568" spans="1:21" customFormat="1">
      <c r="A1568">
        <v>1</v>
      </c>
      <c r="B1568">
        <v>37</v>
      </c>
      <c r="C1568">
        <v>26</v>
      </c>
      <c r="D1568">
        <v>12</v>
      </c>
      <c r="E1568">
        <v>2020</v>
      </c>
      <c r="F1568">
        <v>1101</v>
      </c>
      <c r="G1568" t="str">
        <f>VLOOKUP(F1568,'[1]Sheet 1'!$B$2:$E$347,2,FALSE)</f>
        <v>Tarapacá</v>
      </c>
      <c r="H1568" t="str">
        <f>VLOOKUP(F1568,'[1]Sheet 1'!$B$2:$E$347,3,FALSE)</f>
        <v>Iquique</v>
      </c>
      <c r="I1568" t="str">
        <f>VLOOKUP(F1568,'[1]Sheet 1'!$B$2:$E$347,4,FALSE)</f>
        <v>Iquique</v>
      </c>
      <c r="J1568" t="s">
        <v>136</v>
      </c>
      <c r="K1568" s="3" t="s">
        <v>0</v>
      </c>
      <c r="L1568" s="12" t="str">
        <f>VLOOKUP(K1568,[2]Hoja4!$A$2:$C$443,2,FALSE)</f>
        <v>Intentional self-harm by hanging, strangulation and suffocation</v>
      </c>
      <c r="M1568" s="12" t="str">
        <f>VLOOKUP(K1568,[2]Hoja4!$A$2:$C$443,3,FALSE)</f>
        <v>Unspecified place</v>
      </c>
      <c r="N1568" s="1">
        <v>16.600000000000001</v>
      </c>
      <c r="O1568" s="1">
        <v>22.9</v>
      </c>
      <c r="P1568" s="1">
        <v>19.8</v>
      </c>
      <c r="Q1568" s="1">
        <v>1010.4</v>
      </c>
      <c r="R1568" s="1">
        <v>0</v>
      </c>
      <c r="S1568" s="1">
        <v>74.8</v>
      </c>
      <c r="T1568" s="5">
        <v>0.10290000000000001</v>
      </c>
      <c r="U1568" s="10">
        <v>3.0000000000000001E-3</v>
      </c>
    </row>
    <row r="1569" spans="1:21" customFormat="1">
      <c r="A1569">
        <v>1</v>
      </c>
      <c r="B1569">
        <v>31</v>
      </c>
      <c r="C1569">
        <v>26</v>
      </c>
      <c r="D1569">
        <v>12</v>
      </c>
      <c r="E1569">
        <v>2020</v>
      </c>
      <c r="F1569">
        <v>8108</v>
      </c>
      <c r="G1569" t="str">
        <f>VLOOKUP(F1569,'[1]Sheet 1'!$B$2:$E$347,2,FALSE)</f>
        <v>Biobío</v>
      </c>
      <c r="H1569" t="str">
        <f>VLOOKUP(F1569,'[1]Sheet 1'!$B$2:$E$347,3,FALSE)</f>
        <v>Concepción</v>
      </c>
      <c r="I1569" t="str">
        <f>VLOOKUP(F1569,'[1]Sheet 1'!$B$2:$E$347,4,FALSE)</f>
        <v>San Pedro de la Paz</v>
      </c>
      <c r="J1569" t="s">
        <v>136</v>
      </c>
      <c r="K1569" s="3" t="s">
        <v>0</v>
      </c>
      <c r="L1569" s="12" t="str">
        <f>VLOOKUP(K1569,[2]Hoja4!$A$2:$C$443,2,FALSE)</f>
        <v>Intentional self-harm by hanging, strangulation and suffocation</v>
      </c>
      <c r="M1569" s="12" t="str">
        <f>VLOOKUP(K1569,[2]Hoja4!$A$2:$C$443,3,FALSE)</f>
        <v>Unspecified place</v>
      </c>
      <c r="N1569" s="1">
        <v>12.5</v>
      </c>
      <c r="O1569" s="1">
        <v>23.9</v>
      </c>
      <c r="P1569" s="1">
        <v>18</v>
      </c>
      <c r="Q1569" s="1">
        <v>1011.7</v>
      </c>
      <c r="R1569" s="1">
        <v>0</v>
      </c>
      <c r="S1569" s="1">
        <v>74.2</v>
      </c>
      <c r="T1569" s="5">
        <v>0.10290000000000001</v>
      </c>
      <c r="U1569" s="10">
        <v>3.0000000000000001E-3</v>
      </c>
    </row>
    <row r="1570" spans="1:21" customFormat="1">
      <c r="A1570">
        <v>1</v>
      </c>
      <c r="B1570">
        <v>20</v>
      </c>
      <c r="C1570">
        <v>26</v>
      </c>
      <c r="D1570">
        <v>12</v>
      </c>
      <c r="E1570">
        <v>2020</v>
      </c>
      <c r="F1570">
        <v>5803</v>
      </c>
      <c r="G1570" t="str">
        <f>VLOOKUP(F1570,'[1]Sheet 1'!$B$2:$E$347,2,FALSE)</f>
        <v>Valparaíso</v>
      </c>
      <c r="H1570" t="str">
        <f>VLOOKUP(F1570,'[1]Sheet 1'!$B$2:$E$347,3,FALSE)</f>
        <v>Marga Marga</v>
      </c>
      <c r="I1570" t="str">
        <f>VLOOKUP(F1570,'[1]Sheet 1'!$B$2:$E$347,4,FALSE)</f>
        <v>Olmué</v>
      </c>
      <c r="J1570" t="s">
        <v>136</v>
      </c>
      <c r="K1570" s="3" t="s">
        <v>0</v>
      </c>
      <c r="L1570" s="12" t="str">
        <f>VLOOKUP(K1570,[2]Hoja4!$A$2:$C$443,2,FALSE)</f>
        <v>Intentional self-harm by hanging, strangulation and suffocation</v>
      </c>
      <c r="M1570" s="12" t="str">
        <f>VLOOKUP(K1570,[2]Hoja4!$A$2:$C$443,3,FALSE)</f>
        <v>Unspecified place</v>
      </c>
      <c r="N1570" s="1">
        <v>11</v>
      </c>
      <c r="O1570" s="1">
        <v>20.8</v>
      </c>
      <c r="P1570" s="1">
        <v>15.4</v>
      </c>
      <c r="Q1570" s="1">
        <v>1012.1</v>
      </c>
      <c r="R1570" s="1">
        <v>0</v>
      </c>
      <c r="S1570" s="1">
        <v>82</v>
      </c>
      <c r="T1570" s="5">
        <v>0.10290000000000001</v>
      </c>
      <c r="U1570" s="10">
        <v>3.0000000000000001E-3</v>
      </c>
    </row>
    <row r="1571" spans="1:21" customFormat="1">
      <c r="A1571">
        <v>1</v>
      </c>
      <c r="B1571">
        <v>22</v>
      </c>
      <c r="C1571">
        <v>26</v>
      </c>
      <c r="D1571">
        <v>12</v>
      </c>
      <c r="E1571">
        <v>2020</v>
      </c>
      <c r="F1571">
        <v>15101</v>
      </c>
      <c r="G1571" t="str">
        <f>VLOOKUP(F1571,'[1]Sheet 1'!$B$2:$E$347,2,FALSE)</f>
        <v>Arica y Parinacota</v>
      </c>
      <c r="H1571" t="str">
        <f>VLOOKUP(F1571,'[1]Sheet 1'!$B$2:$E$347,3,FALSE)</f>
        <v>Arica</v>
      </c>
      <c r="I1571" t="str">
        <f>VLOOKUP(F1571,'[1]Sheet 1'!$B$2:$E$347,4,FALSE)</f>
        <v>Arica</v>
      </c>
      <c r="J1571" t="s">
        <v>136</v>
      </c>
      <c r="K1571" s="3" t="s">
        <v>4</v>
      </c>
      <c r="L1571" s="12" t="str">
        <f>VLOOKUP(K1571,[2]Hoja4!$A$2:$C$443,2,FALSE)</f>
        <v>Intentional self-harm by hanging, strangulation and suffocation</v>
      </c>
      <c r="M1571" s="12" t="str">
        <f>VLOOKUP(K1571,[2]Hoja4!$A$2:$C$443,3,FALSE)</f>
        <v>At home</v>
      </c>
      <c r="N1571" s="1">
        <v>11.2</v>
      </c>
      <c r="O1571" s="1">
        <v>23.6</v>
      </c>
      <c r="P1571" s="1">
        <v>17.100000000000001</v>
      </c>
      <c r="Q1571" s="1">
        <v>1007.7</v>
      </c>
      <c r="R1571" s="1">
        <v>0</v>
      </c>
      <c r="S1571" s="1">
        <v>59.5</v>
      </c>
      <c r="T1571" s="5">
        <v>0.10290000000000001</v>
      </c>
      <c r="U1571" s="10">
        <v>3.0000000000000001E-3</v>
      </c>
    </row>
    <row r="1572" spans="1:21" customFormat="1">
      <c r="A1572">
        <v>1</v>
      </c>
      <c r="B1572">
        <v>25</v>
      </c>
      <c r="C1572">
        <v>26</v>
      </c>
      <c r="D1572">
        <v>12</v>
      </c>
      <c r="E1572">
        <v>2020</v>
      </c>
      <c r="F1572">
        <v>11101</v>
      </c>
      <c r="G1572" t="str">
        <f>VLOOKUP(F1572,'[1]Sheet 1'!$B$2:$E$347,2,FALSE)</f>
        <v>Aysén del General Carlos Ibáñez del Campo</v>
      </c>
      <c r="H1572" t="str">
        <f>VLOOKUP(F1572,'[1]Sheet 1'!$B$2:$E$347,3,FALSE)</f>
        <v>Coihaique</v>
      </c>
      <c r="I1572" t="str">
        <f>VLOOKUP(F1572,'[1]Sheet 1'!$B$2:$E$347,4,FALSE)</f>
        <v>Coihaique</v>
      </c>
      <c r="J1572" t="s">
        <v>136</v>
      </c>
      <c r="K1572" s="3" t="s">
        <v>4</v>
      </c>
      <c r="L1572" s="12" t="str">
        <f>VLOOKUP(K1572,[2]Hoja4!$A$2:$C$443,2,FALSE)</f>
        <v>Intentional self-harm by hanging, strangulation and suffocation</v>
      </c>
      <c r="M1572" s="12" t="str">
        <f>VLOOKUP(K1572,[2]Hoja4!$A$2:$C$443,3,FALSE)</f>
        <v>At home</v>
      </c>
      <c r="N1572" s="1">
        <v>10.6</v>
      </c>
      <c r="O1572" s="1">
        <v>23.9</v>
      </c>
      <c r="P1572" s="1">
        <v>17.100000000000001</v>
      </c>
      <c r="Q1572" s="1">
        <v>975.8</v>
      </c>
      <c r="R1572" s="1">
        <v>0</v>
      </c>
      <c r="S1572" s="1">
        <v>60.2</v>
      </c>
      <c r="T1572" s="5">
        <v>0.10290000000000001</v>
      </c>
      <c r="U1572" s="10">
        <v>3.0000000000000001E-3</v>
      </c>
    </row>
    <row r="1573" spans="1:21" customFormat="1">
      <c r="A1573">
        <v>1</v>
      </c>
      <c r="B1573">
        <v>27</v>
      </c>
      <c r="C1573">
        <v>26</v>
      </c>
      <c r="D1573">
        <v>12</v>
      </c>
      <c r="E1573">
        <v>2020</v>
      </c>
      <c r="F1573">
        <v>6306</v>
      </c>
      <c r="G1573" t="str">
        <f>VLOOKUP(F1573,'[1]Sheet 1'!$B$2:$E$347,2,FALSE)</f>
        <v>Libertador General Bernardo O'Higgins</v>
      </c>
      <c r="H1573" t="str">
        <f>VLOOKUP(F1573,'[1]Sheet 1'!$B$2:$E$347,3,FALSE)</f>
        <v>Colchagua</v>
      </c>
      <c r="I1573" t="str">
        <f>VLOOKUP(F1573,'[1]Sheet 1'!$B$2:$E$347,4,FALSE)</f>
        <v>Palmilla</v>
      </c>
      <c r="J1573" t="s">
        <v>136</v>
      </c>
      <c r="K1573" s="3" t="s">
        <v>0</v>
      </c>
      <c r="L1573" s="12" t="str">
        <f>VLOOKUP(K1573,[2]Hoja4!$A$2:$C$443,2,FALSE)</f>
        <v>Intentional self-harm by hanging, strangulation and suffocation</v>
      </c>
      <c r="M1573" s="12" t="str">
        <f>VLOOKUP(K1573,[2]Hoja4!$A$2:$C$443,3,FALSE)</f>
        <v>Unspecified place</v>
      </c>
      <c r="N1573" s="1">
        <v>14.4</v>
      </c>
      <c r="O1573" s="1">
        <v>30.9</v>
      </c>
      <c r="P1573" s="1">
        <v>22.3</v>
      </c>
      <c r="Q1573" s="1">
        <v>976.7</v>
      </c>
      <c r="R1573" s="1">
        <v>0</v>
      </c>
      <c r="S1573" s="1">
        <v>61.5</v>
      </c>
      <c r="T1573" s="5">
        <v>0.10290000000000001</v>
      </c>
      <c r="U1573" s="10">
        <v>3.0000000000000001E-3</v>
      </c>
    </row>
    <row r="1574" spans="1:21" customFormat="1">
      <c r="A1574">
        <v>1</v>
      </c>
      <c r="B1574">
        <v>75</v>
      </c>
      <c r="C1574">
        <v>27</v>
      </c>
      <c r="D1574">
        <v>12</v>
      </c>
      <c r="E1574">
        <v>2020</v>
      </c>
      <c r="F1574">
        <v>9205</v>
      </c>
      <c r="G1574" t="str">
        <f>VLOOKUP(F1574,'[1]Sheet 1'!$B$2:$E$347,2,FALSE)</f>
        <v>La Araucanía</v>
      </c>
      <c r="H1574" t="str">
        <f>VLOOKUP(F1574,'[1]Sheet 1'!$B$2:$E$347,3,FALSE)</f>
        <v>Malleco</v>
      </c>
      <c r="I1574" t="str">
        <f>VLOOKUP(F1574,'[1]Sheet 1'!$B$2:$E$347,4,FALSE)</f>
        <v>Lonquimay</v>
      </c>
      <c r="J1574" t="s">
        <v>136</v>
      </c>
      <c r="K1574" s="3" t="s">
        <v>4</v>
      </c>
      <c r="L1574" s="12" t="str">
        <f>VLOOKUP(K1574,[2]Hoja4!$A$2:$C$443,2,FALSE)</f>
        <v>Intentional self-harm by hanging, strangulation and suffocation</v>
      </c>
      <c r="M1574" s="12" t="str">
        <f>VLOOKUP(K1574,[2]Hoja4!$A$2:$C$443,3,FALSE)</f>
        <v>At home</v>
      </c>
      <c r="N1574" s="1">
        <v>13.2</v>
      </c>
      <c r="O1574" s="1">
        <v>30.1</v>
      </c>
      <c r="P1574" s="1">
        <v>20.9</v>
      </c>
      <c r="Q1574" s="1">
        <v>502.3</v>
      </c>
      <c r="R1574" s="1">
        <v>0</v>
      </c>
      <c r="S1574" s="1">
        <v>61.6</v>
      </c>
      <c r="T1574" s="5">
        <v>0.10290000000000001</v>
      </c>
      <c r="U1574" s="10">
        <v>3.0000000000000001E-3</v>
      </c>
    </row>
    <row r="1575" spans="1:21" customFormat="1">
      <c r="A1575">
        <v>1</v>
      </c>
      <c r="B1575">
        <v>85</v>
      </c>
      <c r="C1575">
        <v>27</v>
      </c>
      <c r="D1575">
        <v>12</v>
      </c>
      <c r="E1575">
        <v>2020</v>
      </c>
      <c r="F1575">
        <v>16301</v>
      </c>
      <c r="G1575" t="str">
        <f>VLOOKUP(F1575,'[1]Sheet 1'!$B$2:$E$347,2,FALSE)</f>
        <v>Ñuble</v>
      </c>
      <c r="H1575" t="str">
        <f>VLOOKUP(F1575,'[1]Sheet 1'!$B$2:$E$347,3,FALSE)</f>
        <v>Punilla</v>
      </c>
      <c r="I1575" t="str">
        <f>VLOOKUP(F1575,'[1]Sheet 1'!$B$2:$E$347,4,FALSE)</f>
        <v>San Carlos</v>
      </c>
      <c r="J1575" t="s">
        <v>136</v>
      </c>
      <c r="K1575" s="3" t="s">
        <v>0</v>
      </c>
      <c r="L1575" s="12" t="str">
        <f>VLOOKUP(K1575,[2]Hoja4!$A$2:$C$443,2,FALSE)</f>
        <v>Intentional self-harm by hanging, strangulation and suffocation</v>
      </c>
      <c r="M1575" s="12" t="str">
        <f>VLOOKUP(K1575,[2]Hoja4!$A$2:$C$443,3,FALSE)</f>
        <v>Unspecified place</v>
      </c>
      <c r="N1575" s="1">
        <v>9.9</v>
      </c>
      <c r="O1575" s="1">
        <v>31.8</v>
      </c>
      <c r="P1575" s="1">
        <v>20.3</v>
      </c>
      <c r="Q1575" s="1">
        <v>988.6</v>
      </c>
      <c r="R1575" s="1">
        <v>0</v>
      </c>
      <c r="S1575" s="1">
        <v>64.5</v>
      </c>
      <c r="T1575" s="5">
        <v>0.10290000000000001</v>
      </c>
      <c r="U1575" s="10">
        <v>3.0000000000000001E-3</v>
      </c>
    </row>
    <row r="1576" spans="1:21" customFormat="1">
      <c r="A1576">
        <v>1</v>
      </c>
      <c r="B1576">
        <v>40</v>
      </c>
      <c r="C1576">
        <v>27</v>
      </c>
      <c r="D1576">
        <v>12</v>
      </c>
      <c r="E1576">
        <v>2020</v>
      </c>
      <c r="F1576">
        <v>5801</v>
      </c>
      <c r="G1576" t="str">
        <f>VLOOKUP(F1576,'[1]Sheet 1'!$B$2:$E$347,2,FALSE)</f>
        <v>Valparaíso</v>
      </c>
      <c r="H1576" t="str">
        <f>VLOOKUP(F1576,'[1]Sheet 1'!$B$2:$E$347,3,FALSE)</f>
        <v>Marga Marga</v>
      </c>
      <c r="I1576" t="str">
        <f>VLOOKUP(F1576,'[1]Sheet 1'!$B$2:$E$347,4,FALSE)</f>
        <v>Quilpué</v>
      </c>
      <c r="J1576" t="s">
        <v>136</v>
      </c>
      <c r="K1576" s="3" t="s">
        <v>0</v>
      </c>
      <c r="L1576" s="12" t="str">
        <f>VLOOKUP(K1576,[2]Hoja4!$A$2:$C$443,2,FALSE)</f>
        <v>Intentional self-harm by hanging, strangulation and suffocation</v>
      </c>
      <c r="M1576" s="12" t="str">
        <f>VLOOKUP(K1576,[2]Hoja4!$A$2:$C$443,3,FALSE)</f>
        <v>Unspecified place</v>
      </c>
      <c r="N1576" s="1">
        <v>13.1</v>
      </c>
      <c r="O1576" s="1">
        <v>21.8</v>
      </c>
      <c r="P1576" s="1">
        <v>16.5</v>
      </c>
      <c r="Q1576" s="1">
        <v>1013.5</v>
      </c>
      <c r="R1576" s="1">
        <v>0</v>
      </c>
      <c r="S1576" s="1">
        <v>75.900000000000006</v>
      </c>
      <c r="T1576" s="5">
        <v>0.10290000000000001</v>
      </c>
      <c r="U1576" s="10">
        <v>3.0000000000000001E-3</v>
      </c>
    </row>
    <row r="1577" spans="1:21" customFormat="1">
      <c r="A1577">
        <v>1</v>
      </c>
      <c r="B1577">
        <v>53</v>
      </c>
      <c r="C1577">
        <v>27</v>
      </c>
      <c r="D1577">
        <v>12</v>
      </c>
      <c r="E1577">
        <v>2020</v>
      </c>
      <c r="F1577">
        <v>13603</v>
      </c>
      <c r="G1577" t="str">
        <f>VLOOKUP(F1577,'[1]Sheet 1'!$B$2:$E$347,2,FALSE)</f>
        <v>Metropolitana de Santiago</v>
      </c>
      <c r="H1577" t="str">
        <f>VLOOKUP(F1577,'[1]Sheet 1'!$B$2:$E$347,3,FALSE)</f>
        <v>Talagante</v>
      </c>
      <c r="I1577" t="str">
        <f>VLOOKUP(F1577,'[1]Sheet 1'!$B$2:$E$347,4,FALSE)</f>
        <v>Isla de Maipo</v>
      </c>
      <c r="J1577" t="s">
        <v>136</v>
      </c>
      <c r="K1577" s="3" t="s">
        <v>4</v>
      </c>
      <c r="L1577" s="12" t="str">
        <f>VLOOKUP(K1577,[2]Hoja4!$A$2:$C$443,2,FALSE)</f>
        <v>Intentional self-harm by hanging, strangulation and suffocation</v>
      </c>
      <c r="M1577" s="12" t="str">
        <f>VLOOKUP(K1577,[2]Hoja4!$A$2:$C$443,3,FALSE)</f>
        <v>At home</v>
      </c>
      <c r="N1577" s="1">
        <v>13.6</v>
      </c>
      <c r="O1577" s="1">
        <v>27.9</v>
      </c>
      <c r="P1577" s="1">
        <v>18.5</v>
      </c>
      <c r="Q1577" s="1">
        <v>1013</v>
      </c>
      <c r="R1577" s="1">
        <v>0</v>
      </c>
      <c r="S1577" s="1">
        <v>54.5</v>
      </c>
      <c r="T1577" s="5">
        <v>0.10290000000000001</v>
      </c>
      <c r="U1577" s="10">
        <v>3.0000000000000001E-3</v>
      </c>
    </row>
    <row r="1578" spans="1:21" customFormat="1">
      <c r="A1578">
        <v>1</v>
      </c>
      <c r="B1578">
        <v>71</v>
      </c>
      <c r="C1578">
        <v>28</v>
      </c>
      <c r="D1578">
        <v>12</v>
      </c>
      <c r="E1578">
        <v>2020</v>
      </c>
      <c r="F1578">
        <v>8112</v>
      </c>
      <c r="G1578" t="str">
        <f>VLOOKUP(F1578,'[1]Sheet 1'!$B$2:$E$347,2,FALSE)</f>
        <v>Biobío</v>
      </c>
      <c r="H1578" t="str">
        <f>VLOOKUP(F1578,'[1]Sheet 1'!$B$2:$E$347,3,FALSE)</f>
        <v>Concepción</v>
      </c>
      <c r="I1578" t="str">
        <f>VLOOKUP(F1578,'[1]Sheet 1'!$B$2:$E$347,4,FALSE)</f>
        <v>Hualpén</v>
      </c>
      <c r="J1578" t="s">
        <v>136</v>
      </c>
      <c r="K1578" s="3" t="s">
        <v>4</v>
      </c>
      <c r="L1578" s="12" t="str">
        <f>VLOOKUP(K1578,[2]Hoja4!$A$2:$C$443,2,FALSE)</f>
        <v>Intentional self-harm by hanging, strangulation and suffocation</v>
      </c>
      <c r="M1578" s="12" t="str">
        <f>VLOOKUP(K1578,[2]Hoja4!$A$2:$C$443,3,FALSE)</f>
        <v>At home</v>
      </c>
      <c r="N1578" s="1">
        <v>11.2</v>
      </c>
      <c r="O1578" s="1">
        <v>23.6</v>
      </c>
      <c r="P1578" s="1">
        <v>17.100000000000001</v>
      </c>
      <c r="Q1578" s="1">
        <v>1016</v>
      </c>
      <c r="R1578" s="1">
        <v>0</v>
      </c>
      <c r="S1578" s="1">
        <v>77</v>
      </c>
      <c r="T1578" s="5">
        <v>0.10290000000000001</v>
      </c>
      <c r="U1578" s="10">
        <v>3.0000000000000001E-3</v>
      </c>
    </row>
    <row r="1579" spans="1:21" customFormat="1">
      <c r="A1579">
        <v>2</v>
      </c>
      <c r="B1579">
        <v>20</v>
      </c>
      <c r="C1579">
        <v>28</v>
      </c>
      <c r="D1579">
        <v>12</v>
      </c>
      <c r="E1579">
        <v>2020</v>
      </c>
      <c r="F1579">
        <v>6301</v>
      </c>
      <c r="G1579" t="str">
        <f>VLOOKUP(F1579,'[1]Sheet 1'!$B$2:$E$347,2,FALSE)</f>
        <v>Libertador General Bernardo O'Higgins</v>
      </c>
      <c r="H1579" t="str">
        <f>VLOOKUP(F1579,'[1]Sheet 1'!$B$2:$E$347,3,FALSE)</f>
        <v>Colchagua</v>
      </c>
      <c r="I1579" t="str">
        <f>VLOOKUP(F1579,'[1]Sheet 1'!$B$2:$E$347,4,FALSE)</f>
        <v>San Fernando</v>
      </c>
      <c r="J1579" t="s">
        <v>136</v>
      </c>
      <c r="K1579" s="3" t="s">
        <v>0</v>
      </c>
      <c r="L1579" s="12" t="str">
        <f>VLOOKUP(K1579,[2]Hoja4!$A$2:$C$443,2,FALSE)</f>
        <v>Intentional self-harm by hanging, strangulation and suffocation</v>
      </c>
      <c r="M1579" s="12" t="str">
        <f>VLOOKUP(K1579,[2]Hoja4!$A$2:$C$443,3,FALSE)</f>
        <v>Unspecified place</v>
      </c>
      <c r="N1579" s="1">
        <v>11.8</v>
      </c>
      <c r="O1579" s="1">
        <v>31.7</v>
      </c>
      <c r="P1579" s="1">
        <v>21.9</v>
      </c>
      <c r="Q1579" s="1">
        <v>979.4</v>
      </c>
      <c r="R1579" s="1">
        <v>0</v>
      </c>
      <c r="S1579" s="1">
        <v>60.5</v>
      </c>
      <c r="T1579" s="5">
        <v>0.10290000000000001</v>
      </c>
      <c r="U1579" s="10">
        <v>3.0000000000000001E-3</v>
      </c>
    </row>
    <row r="1580" spans="1:21" customFormat="1">
      <c r="A1580">
        <v>1</v>
      </c>
      <c r="B1580">
        <v>52</v>
      </c>
      <c r="C1580">
        <v>28</v>
      </c>
      <c r="D1580">
        <v>12</v>
      </c>
      <c r="E1580">
        <v>2020</v>
      </c>
      <c r="F1580">
        <v>8101</v>
      </c>
      <c r="G1580" t="str">
        <f>VLOOKUP(F1580,'[1]Sheet 1'!$B$2:$E$347,2,FALSE)</f>
        <v>Biobío</v>
      </c>
      <c r="H1580" t="str">
        <f>VLOOKUP(F1580,'[1]Sheet 1'!$B$2:$E$347,3,FALSE)</f>
        <v>Concepción</v>
      </c>
      <c r="I1580" t="str">
        <f>VLOOKUP(F1580,'[1]Sheet 1'!$B$2:$E$347,4,FALSE)</f>
        <v>Concepción</v>
      </c>
      <c r="J1580" t="s">
        <v>136</v>
      </c>
      <c r="K1580" s="3" t="s">
        <v>0</v>
      </c>
      <c r="L1580" s="12" t="str">
        <f>VLOOKUP(K1580,[2]Hoja4!$A$2:$C$443,2,FALSE)</f>
        <v>Intentional self-harm by hanging, strangulation and suffocation</v>
      </c>
      <c r="M1580" s="12" t="str">
        <f>VLOOKUP(K1580,[2]Hoja4!$A$2:$C$443,3,FALSE)</f>
        <v>Unspecified place</v>
      </c>
      <c r="N1580" s="1">
        <v>11.2</v>
      </c>
      <c r="O1580" s="1">
        <v>23.6</v>
      </c>
      <c r="P1580" s="1">
        <v>17.100000000000001</v>
      </c>
      <c r="Q1580" s="1">
        <v>1016</v>
      </c>
      <c r="R1580" s="1">
        <v>0</v>
      </c>
      <c r="S1580" s="1">
        <v>77</v>
      </c>
      <c r="T1580" s="5">
        <v>0.10290000000000001</v>
      </c>
      <c r="U1580" s="10">
        <v>3.0000000000000001E-3</v>
      </c>
    </row>
    <row r="1581" spans="1:21" customFormat="1">
      <c r="A1581">
        <v>1</v>
      </c>
      <c r="B1581">
        <v>94</v>
      </c>
      <c r="C1581">
        <v>28</v>
      </c>
      <c r="D1581">
        <v>12</v>
      </c>
      <c r="E1581">
        <v>2020</v>
      </c>
      <c r="F1581">
        <v>6106</v>
      </c>
      <c r="G1581" t="str">
        <f>VLOOKUP(F1581,'[1]Sheet 1'!$B$2:$E$347,2,FALSE)</f>
        <v>Libertador General Bernardo O'Higgins</v>
      </c>
      <c r="H1581" t="str">
        <f>VLOOKUP(F1581,'[1]Sheet 1'!$B$2:$E$347,3,FALSE)</f>
        <v>Cachapoal</v>
      </c>
      <c r="I1581" t="str">
        <f>VLOOKUP(F1581,'[1]Sheet 1'!$B$2:$E$347,4,FALSE)</f>
        <v>Graneros</v>
      </c>
      <c r="J1581" t="s">
        <v>136</v>
      </c>
      <c r="K1581" s="3" t="s">
        <v>0</v>
      </c>
      <c r="L1581" s="12" t="str">
        <f>VLOOKUP(K1581,[2]Hoja4!$A$2:$C$443,2,FALSE)</f>
        <v>Intentional self-harm by hanging, strangulation and suffocation</v>
      </c>
      <c r="M1581" s="12" t="str">
        <f>VLOOKUP(K1581,[2]Hoja4!$A$2:$C$443,3,FALSE)</f>
        <v>Unspecified place</v>
      </c>
      <c r="N1581" s="1">
        <v>13.6</v>
      </c>
      <c r="O1581" s="1">
        <v>33.4</v>
      </c>
      <c r="P1581" s="1">
        <v>24.1</v>
      </c>
      <c r="Q1581" s="1">
        <v>959.1</v>
      </c>
      <c r="R1581" s="1">
        <v>0</v>
      </c>
      <c r="S1581" s="1">
        <v>53.5</v>
      </c>
      <c r="T1581" s="5">
        <v>0.10290000000000001</v>
      </c>
      <c r="U1581" s="10">
        <v>3.0000000000000001E-3</v>
      </c>
    </row>
    <row r="1582" spans="1:21" customFormat="1">
      <c r="A1582">
        <v>1</v>
      </c>
      <c r="B1582">
        <v>62</v>
      </c>
      <c r="C1582">
        <v>28</v>
      </c>
      <c r="D1582">
        <v>12</v>
      </c>
      <c r="E1582">
        <v>2020</v>
      </c>
      <c r="F1582">
        <v>7101</v>
      </c>
      <c r="G1582" t="str">
        <f>VLOOKUP(F1582,'[1]Sheet 1'!$B$2:$E$347,2,FALSE)</f>
        <v>Maule</v>
      </c>
      <c r="H1582" t="str">
        <f>VLOOKUP(F1582,'[1]Sheet 1'!$B$2:$E$347,3,FALSE)</f>
        <v>Talca</v>
      </c>
      <c r="I1582" t="str">
        <f>VLOOKUP(F1582,'[1]Sheet 1'!$B$2:$E$347,4,FALSE)</f>
        <v>Talca</v>
      </c>
      <c r="J1582" t="s">
        <v>136</v>
      </c>
      <c r="K1582" s="3" t="s">
        <v>0</v>
      </c>
      <c r="L1582" s="12" t="str">
        <f>VLOOKUP(K1582,[2]Hoja4!$A$2:$C$443,2,FALSE)</f>
        <v>Intentional self-harm by hanging, strangulation and suffocation</v>
      </c>
      <c r="M1582" s="12" t="str">
        <f>VLOOKUP(K1582,[2]Hoja4!$A$2:$C$443,3,FALSE)</f>
        <v>Unspecified place</v>
      </c>
      <c r="N1582" s="1">
        <v>12.7</v>
      </c>
      <c r="O1582" s="1">
        <v>33.5</v>
      </c>
      <c r="P1582" s="1">
        <v>22.8</v>
      </c>
      <c r="Q1582" s="1">
        <v>1001.9</v>
      </c>
      <c r="R1582" s="1">
        <v>0</v>
      </c>
      <c r="S1582" s="1">
        <v>51.3</v>
      </c>
      <c r="T1582" s="5">
        <v>0.10290000000000001</v>
      </c>
      <c r="U1582" s="10">
        <v>3.0000000000000001E-3</v>
      </c>
    </row>
    <row r="1583" spans="1:21" customFormat="1">
      <c r="A1583">
        <v>1</v>
      </c>
      <c r="B1583">
        <v>70</v>
      </c>
      <c r="C1583">
        <v>28</v>
      </c>
      <c r="D1583">
        <v>12</v>
      </c>
      <c r="E1583">
        <v>2020</v>
      </c>
      <c r="F1583">
        <v>13124</v>
      </c>
      <c r="G1583" t="str">
        <f>VLOOKUP(F1583,'[1]Sheet 1'!$B$2:$E$347,2,FALSE)</f>
        <v>Metropolitana de Santiago</v>
      </c>
      <c r="H1583" t="str">
        <f>VLOOKUP(F1583,'[1]Sheet 1'!$B$2:$E$347,3,FALSE)</f>
        <v>Santiago</v>
      </c>
      <c r="I1583" t="str">
        <f>VLOOKUP(F1583,'[1]Sheet 1'!$B$2:$E$347,4,FALSE)</f>
        <v>Pudahuel</v>
      </c>
      <c r="J1583" t="s">
        <v>136</v>
      </c>
      <c r="K1583" s="3" t="s">
        <v>0</v>
      </c>
      <c r="L1583" s="12" t="str">
        <f>VLOOKUP(K1583,[2]Hoja4!$A$2:$C$443,2,FALSE)</f>
        <v>Intentional self-harm by hanging, strangulation and suffocation</v>
      </c>
      <c r="M1583" s="12" t="str">
        <f>VLOOKUP(K1583,[2]Hoja4!$A$2:$C$443,3,FALSE)</f>
        <v>Unspecified place</v>
      </c>
      <c r="N1583" s="1">
        <v>13.3</v>
      </c>
      <c r="O1583" s="1">
        <v>31.4</v>
      </c>
      <c r="P1583" s="1">
        <v>21.9</v>
      </c>
      <c r="Q1583" s="1">
        <v>955.7</v>
      </c>
      <c r="R1583" s="1"/>
      <c r="S1583" s="1">
        <v>52</v>
      </c>
      <c r="T1583" s="5">
        <v>0.10290000000000001</v>
      </c>
      <c r="U1583" s="10">
        <v>3.0000000000000001E-3</v>
      </c>
    </row>
    <row r="1584" spans="1:21" customFormat="1">
      <c r="A1584">
        <v>2</v>
      </c>
      <c r="B1584">
        <v>64</v>
      </c>
      <c r="C1584">
        <v>28</v>
      </c>
      <c r="D1584">
        <v>12</v>
      </c>
      <c r="E1584">
        <v>2020</v>
      </c>
      <c r="F1584">
        <v>6101</v>
      </c>
      <c r="G1584" t="str">
        <f>VLOOKUP(F1584,'[1]Sheet 1'!$B$2:$E$347,2,FALSE)</f>
        <v>Libertador General Bernardo O'Higgins</v>
      </c>
      <c r="H1584" t="str">
        <f>VLOOKUP(F1584,'[1]Sheet 1'!$B$2:$E$347,3,FALSE)</f>
        <v>Cachapoal</v>
      </c>
      <c r="I1584" t="str">
        <f>VLOOKUP(F1584,'[1]Sheet 1'!$B$2:$E$347,4,FALSE)</f>
        <v>Rancagua</v>
      </c>
      <c r="J1584" t="s">
        <v>136</v>
      </c>
      <c r="K1584" s="3" t="s">
        <v>0</v>
      </c>
      <c r="L1584" s="12" t="str">
        <f>VLOOKUP(K1584,[2]Hoja4!$A$2:$C$443,2,FALSE)</f>
        <v>Intentional self-harm by hanging, strangulation and suffocation</v>
      </c>
      <c r="M1584" s="12" t="str">
        <f>VLOOKUP(K1584,[2]Hoja4!$A$2:$C$443,3,FALSE)</f>
        <v>Unspecified place</v>
      </c>
      <c r="N1584" s="1">
        <v>13.6</v>
      </c>
      <c r="O1584" s="1">
        <v>33.4</v>
      </c>
      <c r="P1584" s="1">
        <v>24.1</v>
      </c>
      <c r="Q1584" s="1">
        <v>959.1</v>
      </c>
      <c r="R1584" s="1">
        <v>0</v>
      </c>
      <c r="S1584" s="1">
        <v>53.5</v>
      </c>
      <c r="T1584" s="5">
        <v>0.10290000000000001</v>
      </c>
      <c r="U1584" s="10">
        <v>3.0000000000000001E-3</v>
      </c>
    </row>
    <row r="1585" spans="1:21" customFormat="1">
      <c r="A1585">
        <v>1</v>
      </c>
      <c r="B1585">
        <v>32</v>
      </c>
      <c r="C1585">
        <v>28</v>
      </c>
      <c r="D1585">
        <v>12</v>
      </c>
      <c r="E1585">
        <v>2020</v>
      </c>
      <c r="F1585">
        <v>10101</v>
      </c>
      <c r="G1585" t="str">
        <f>VLOOKUP(F1585,'[1]Sheet 1'!$B$2:$E$347,2,FALSE)</f>
        <v>Los Lagos</v>
      </c>
      <c r="H1585" t="str">
        <f>VLOOKUP(F1585,'[1]Sheet 1'!$B$2:$E$347,3,FALSE)</f>
        <v>Llanquihue</v>
      </c>
      <c r="I1585" t="str">
        <f>VLOOKUP(F1585,'[1]Sheet 1'!$B$2:$E$347,4,FALSE)</f>
        <v>Puerto Montt</v>
      </c>
      <c r="J1585" t="s">
        <v>136</v>
      </c>
      <c r="K1585" s="3" t="s">
        <v>4</v>
      </c>
      <c r="L1585" s="12" t="str">
        <f>VLOOKUP(K1585,[2]Hoja4!$A$2:$C$443,2,FALSE)</f>
        <v>Intentional self-harm by hanging, strangulation and suffocation</v>
      </c>
      <c r="M1585" s="12" t="str">
        <f>VLOOKUP(K1585,[2]Hoja4!$A$2:$C$443,3,FALSE)</f>
        <v>At home</v>
      </c>
      <c r="N1585" s="1">
        <v>13</v>
      </c>
      <c r="O1585" s="1">
        <v>22.8</v>
      </c>
      <c r="P1585" s="1">
        <v>17.399999999999999</v>
      </c>
      <c r="Q1585" s="1">
        <v>1005.7</v>
      </c>
      <c r="R1585" s="1">
        <v>4.8</v>
      </c>
      <c r="S1585" s="1">
        <v>82.5</v>
      </c>
      <c r="T1585" s="5">
        <v>0.10290000000000001</v>
      </c>
      <c r="U1585" s="10">
        <v>3.0000000000000001E-3</v>
      </c>
    </row>
    <row r="1586" spans="1:21" customFormat="1">
      <c r="A1586">
        <v>2</v>
      </c>
      <c r="B1586">
        <v>28</v>
      </c>
      <c r="C1586">
        <v>28</v>
      </c>
      <c r="D1586">
        <v>12</v>
      </c>
      <c r="E1586">
        <v>2020</v>
      </c>
      <c r="F1586">
        <v>10101</v>
      </c>
      <c r="G1586" t="str">
        <f>VLOOKUP(F1586,'[1]Sheet 1'!$B$2:$E$347,2,FALSE)</f>
        <v>Los Lagos</v>
      </c>
      <c r="H1586" t="str">
        <f>VLOOKUP(F1586,'[1]Sheet 1'!$B$2:$E$347,3,FALSE)</f>
        <v>Llanquihue</v>
      </c>
      <c r="I1586" t="str">
        <f>VLOOKUP(F1586,'[1]Sheet 1'!$B$2:$E$347,4,FALSE)</f>
        <v>Puerto Montt</v>
      </c>
      <c r="J1586" t="s">
        <v>136</v>
      </c>
      <c r="K1586" s="3" t="s">
        <v>4</v>
      </c>
      <c r="L1586" s="12" t="str">
        <f>VLOOKUP(K1586,[2]Hoja4!$A$2:$C$443,2,FALSE)</f>
        <v>Intentional self-harm by hanging, strangulation and suffocation</v>
      </c>
      <c r="M1586" s="12" t="str">
        <f>VLOOKUP(K1586,[2]Hoja4!$A$2:$C$443,3,FALSE)</f>
        <v>At home</v>
      </c>
      <c r="N1586" s="1">
        <v>13</v>
      </c>
      <c r="O1586" s="1">
        <v>22.8</v>
      </c>
      <c r="P1586" s="1">
        <v>17.399999999999999</v>
      </c>
      <c r="Q1586" s="1">
        <v>1005.7</v>
      </c>
      <c r="R1586" s="1">
        <v>4.8</v>
      </c>
      <c r="S1586" s="1">
        <v>82.5</v>
      </c>
      <c r="T1586" s="5">
        <v>0.10290000000000001</v>
      </c>
      <c r="U1586" s="10">
        <v>3.0000000000000001E-3</v>
      </c>
    </row>
    <row r="1587" spans="1:21" customFormat="1">
      <c r="A1587">
        <v>1</v>
      </c>
      <c r="B1587">
        <v>24</v>
      </c>
      <c r="C1587">
        <v>28</v>
      </c>
      <c r="D1587">
        <v>12</v>
      </c>
      <c r="E1587">
        <v>2020</v>
      </c>
      <c r="F1587">
        <v>13127</v>
      </c>
      <c r="G1587" t="str">
        <f>VLOOKUP(F1587,'[1]Sheet 1'!$B$2:$E$347,2,FALSE)</f>
        <v>Metropolitana de Santiago</v>
      </c>
      <c r="H1587" t="str">
        <f>VLOOKUP(F1587,'[1]Sheet 1'!$B$2:$E$347,3,FALSE)</f>
        <v>Santiago</v>
      </c>
      <c r="I1587" t="str">
        <f>VLOOKUP(F1587,'[1]Sheet 1'!$B$2:$E$347,4,FALSE)</f>
        <v>Recoleta</v>
      </c>
      <c r="J1587" t="s">
        <v>136</v>
      </c>
      <c r="K1587" s="3" t="s">
        <v>0</v>
      </c>
      <c r="L1587" s="12" t="str">
        <f>VLOOKUP(K1587,[2]Hoja4!$A$2:$C$443,2,FALSE)</f>
        <v>Intentional self-harm by hanging, strangulation and suffocation</v>
      </c>
      <c r="M1587" s="12" t="str">
        <f>VLOOKUP(K1587,[2]Hoja4!$A$2:$C$443,3,FALSE)</f>
        <v>Unspecified place</v>
      </c>
      <c r="N1587" s="1">
        <v>13.3</v>
      </c>
      <c r="O1587" s="1">
        <v>31.4</v>
      </c>
      <c r="P1587" s="1">
        <v>21.9</v>
      </c>
      <c r="Q1587" s="1">
        <v>955.7</v>
      </c>
      <c r="R1587" s="1"/>
      <c r="S1587" s="1">
        <v>52</v>
      </c>
      <c r="T1587" s="5">
        <v>0.10290000000000001</v>
      </c>
      <c r="U1587" s="10">
        <v>3.0000000000000001E-3</v>
      </c>
    </row>
    <row r="1588" spans="1:21" customFormat="1">
      <c r="A1588">
        <v>1</v>
      </c>
      <c r="B1588">
        <v>53</v>
      </c>
      <c r="C1588">
        <v>28</v>
      </c>
      <c r="D1588">
        <v>12</v>
      </c>
      <c r="E1588">
        <v>2020</v>
      </c>
      <c r="F1588">
        <v>7107</v>
      </c>
      <c r="G1588" t="str">
        <f>VLOOKUP(F1588,'[1]Sheet 1'!$B$2:$E$347,2,FALSE)</f>
        <v>Maule</v>
      </c>
      <c r="H1588" t="str">
        <f>VLOOKUP(F1588,'[1]Sheet 1'!$B$2:$E$347,3,FALSE)</f>
        <v>Talca</v>
      </c>
      <c r="I1588" t="str">
        <f>VLOOKUP(F1588,'[1]Sheet 1'!$B$2:$E$347,4,FALSE)</f>
        <v>Pencahue</v>
      </c>
      <c r="J1588" t="s">
        <v>136</v>
      </c>
      <c r="K1588" s="3" t="s">
        <v>4</v>
      </c>
      <c r="L1588" s="12" t="str">
        <f>VLOOKUP(K1588,[2]Hoja4!$A$2:$C$443,2,FALSE)</f>
        <v>Intentional self-harm by hanging, strangulation and suffocation</v>
      </c>
      <c r="M1588" s="12" t="str">
        <f>VLOOKUP(K1588,[2]Hoja4!$A$2:$C$443,3,FALSE)</f>
        <v>At home</v>
      </c>
      <c r="N1588" s="1">
        <v>12.7</v>
      </c>
      <c r="O1588" s="1">
        <v>33.5</v>
      </c>
      <c r="P1588" s="1">
        <v>22.8</v>
      </c>
      <c r="Q1588" s="1">
        <v>1001.9</v>
      </c>
      <c r="R1588" s="1">
        <v>0</v>
      </c>
      <c r="S1588" s="1">
        <v>51.3</v>
      </c>
      <c r="T1588" s="5">
        <v>0.10290000000000001</v>
      </c>
      <c r="U1588" s="10">
        <v>3.0000000000000001E-3</v>
      </c>
    </row>
    <row r="1589" spans="1:21" customFormat="1">
      <c r="A1589">
        <v>2</v>
      </c>
      <c r="B1589">
        <v>73</v>
      </c>
      <c r="C1589">
        <v>29</v>
      </c>
      <c r="D1589">
        <v>12</v>
      </c>
      <c r="E1589">
        <v>2020</v>
      </c>
      <c r="F1589">
        <v>13602</v>
      </c>
      <c r="G1589" t="str">
        <f>VLOOKUP(F1589,'[1]Sheet 1'!$B$2:$E$347,2,FALSE)</f>
        <v>Metropolitana de Santiago</v>
      </c>
      <c r="H1589" t="str">
        <f>VLOOKUP(F1589,'[1]Sheet 1'!$B$2:$E$347,3,FALSE)</f>
        <v>Talagante</v>
      </c>
      <c r="I1589" t="str">
        <f>VLOOKUP(F1589,'[1]Sheet 1'!$B$2:$E$347,4,FALSE)</f>
        <v>El Monte</v>
      </c>
      <c r="J1589" t="s">
        <v>180</v>
      </c>
      <c r="K1589" s="3" t="s">
        <v>3</v>
      </c>
      <c r="L1589" s="12" t="str">
        <f>VLOOKUP(K1589,[2]Hoja4!$A$2:$C$443,2,FALSE)</f>
        <v>Intentional self-poisoning by and exposure to pesticides</v>
      </c>
      <c r="M1589" s="12" t="str">
        <f>VLOOKUP(K1589,[2]Hoja4!$A$2:$C$443,3,FALSE)</f>
        <v>Unspecified place</v>
      </c>
      <c r="N1589" s="1">
        <v>13.4</v>
      </c>
      <c r="O1589" s="1">
        <v>26.8</v>
      </c>
      <c r="P1589" s="1">
        <v>18.5</v>
      </c>
      <c r="Q1589" s="1">
        <v>1015.5</v>
      </c>
      <c r="R1589" s="1">
        <v>0</v>
      </c>
      <c r="S1589" s="1">
        <v>55.2</v>
      </c>
      <c r="T1589" s="5">
        <v>0.10290000000000001</v>
      </c>
      <c r="U1589" s="10">
        <v>3.0000000000000001E-3</v>
      </c>
    </row>
    <row r="1590" spans="1:21" customFormat="1">
      <c r="A1590">
        <v>1</v>
      </c>
      <c r="B1590">
        <v>59</v>
      </c>
      <c r="C1590">
        <v>29</v>
      </c>
      <c r="D1590">
        <v>12</v>
      </c>
      <c r="E1590">
        <v>2020</v>
      </c>
      <c r="F1590">
        <v>13501</v>
      </c>
      <c r="G1590" t="str">
        <f>VLOOKUP(F1590,'[1]Sheet 1'!$B$2:$E$347,2,FALSE)</f>
        <v>Metropolitana de Santiago</v>
      </c>
      <c r="H1590" t="str">
        <f>VLOOKUP(F1590,'[1]Sheet 1'!$B$2:$E$347,3,FALSE)</f>
        <v>Melipilla</v>
      </c>
      <c r="I1590" t="str">
        <f>VLOOKUP(F1590,'[1]Sheet 1'!$B$2:$E$347,4,FALSE)</f>
        <v>Melipilla</v>
      </c>
      <c r="J1590" t="s">
        <v>136</v>
      </c>
      <c r="K1590" s="3" t="s">
        <v>2</v>
      </c>
      <c r="L1590" s="12" t="str">
        <f>VLOOKUP(K1590,[2]Hoja4!$A$2:$C$443,2,FALSE)</f>
        <v>Intentional self-harm by hanging, strangulation and suffocation</v>
      </c>
      <c r="M1590" s="12" t="str">
        <f>VLOOKUP(K1590,[2]Hoja4!$A$2:$C$443,3,FALSE)</f>
        <v>Street and highway</v>
      </c>
      <c r="N1590" s="1">
        <v>15</v>
      </c>
      <c r="O1590" s="1">
        <v>26.4</v>
      </c>
      <c r="P1590" s="1">
        <v>20.7</v>
      </c>
      <c r="Q1590" s="1">
        <v>1016.7</v>
      </c>
      <c r="R1590" s="1">
        <v>0</v>
      </c>
      <c r="S1590" s="1">
        <v>59.3</v>
      </c>
      <c r="T1590" s="5">
        <v>0.10290000000000001</v>
      </c>
      <c r="U1590" s="10">
        <v>3.0000000000000001E-3</v>
      </c>
    </row>
    <row r="1591" spans="1:21" customFormat="1">
      <c r="A1591">
        <v>1</v>
      </c>
      <c r="B1591">
        <v>46</v>
      </c>
      <c r="C1591">
        <v>29</v>
      </c>
      <c r="D1591">
        <v>12</v>
      </c>
      <c r="E1591">
        <v>2020</v>
      </c>
      <c r="F1591">
        <v>13122</v>
      </c>
      <c r="G1591" t="str">
        <f>VLOOKUP(F1591,'[1]Sheet 1'!$B$2:$E$347,2,FALSE)</f>
        <v>Metropolitana de Santiago</v>
      </c>
      <c r="H1591" t="str">
        <f>VLOOKUP(F1591,'[1]Sheet 1'!$B$2:$E$347,3,FALSE)</f>
        <v>Santiago</v>
      </c>
      <c r="I1591" t="str">
        <f>VLOOKUP(F1591,'[1]Sheet 1'!$B$2:$E$347,4,FALSE)</f>
        <v>Peñalolén</v>
      </c>
      <c r="J1591" t="s">
        <v>136</v>
      </c>
      <c r="K1591" s="3" t="s">
        <v>0</v>
      </c>
      <c r="L1591" s="12" t="str">
        <f>VLOOKUP(K1591,[2]Hoja4!$A$2:$C$443,2,FALSE)</f>
        <v>Intentional self-harm by hanging, strangulation and suffocation</v>
      </c>
      <c r="M1591" s="12" t="str">
        <f>VLOOKUP(K1591,[2]Hoja4!$A$2:$C$443,3,FALSE)</f>
        <v>Unspecified place</v>
      </c>
      <c r="N1591" s="1">
        <v>13.5</v>
      </c>
      <c r="O1591" s="1">
        <v>28.2</v>
      </c>
      <c r="P1591" s="1">
        <v>20.7</v>
      </c>
      <c r="Q1591" s="1">
        <v>957.4</v>
      </c>
      <c r="R1591" s="1"/>
      <c r="S1591" s="1">
        <v>56.5</v>
      </c>
      <c r="T1591" s="5">
        <v>0.10290000000000001</v>
      </c>
      <c r="U1591" s="10">
        <v>3.0000000000000001E-3</v>
      </c>
    </row>
    <row r="1592" spans="1:21" customFormat="1">
      <c r="A1592">
        <v>1</v>
      </c>
      <c r="B1592">
        <v>40</v>
      </c>
      <c r="C1592">
        <v>29</v>
      </c>
      <c r="D1592">
        <v>12</v>
      </c>
      <c r="E1592">
        <v>2020</v>
      </c>
      <c r="F1592">
        <v>13116</v>
      </c>
      <c r="G1592" t="str">
        <f>VLOOKUP(F1592,'[1]Sheet 1'!$B$2:$E$347,2,FALSE)</f>
        <v>Metropolitana de Santiago</v>
      </c>
      <c r="H1592" t="str">
        <f>VLOOKUP(F1592,'[1]Sheet 1'!$B$2:$E$347,3,FALSE)</f>
        <v>Santiago</v>
      </c>
      <c r="I1592" t="str">
        <f>VLOOKUP(F1592,'[1]Sheet 1'!$B$2:$E$347,4,FALSE)</f>
        <v>Lo Espejo</v>
      </c>
      <c r="J1592" t="s">
        <v>136</v>
      </c>
      <c r="K1592" s="3" t="s">
        <v>0</v>
      </c>
      <c r="L1592" s="12" t="str">
        <f>VLOOKUP(K1592,[2]Hoja4!$A$2:$C$443,2,FALSE)</f>
        <v>Intentional self-harm by hanging, strangulation and suffocation</v>
      </c>
      <c r="M1592" s="12" t="str">
        <f>VLOOKUP(K1592,[2]Hoja4!$A$2:$C$443,3,FALSE)</f>
        <v>Unspecified place</v>
      </c>
      <c r="N1592" s="1">
        <v>13.5</v>
      </c>
      <c r="O1592" s="1">
        <v>28.2</v>
      </c>
      <c r="P1592" s="1">
        <v>20.7</v>
      </c>
      <c r="Q1592" s="1">
        <v>957.4</v>
      </c>
      <c r="R1592" s="1"/>
      <c r="S1592" s="1">
        <v>56.5</v>
      </c>
      <c r="T1592" s="5">
        <v>0.10290000000000001</v>
      </c>
      <c r="U1592" s="10">
        <v>3.0000000000000001E-3</v>
      </c>
    </row>
    <row r="1593" spans="1:21" customFormat="1">
      <c r="A1593">
        <v>2</v>
      </c>
      <c r="B1593">
        <v>37</v>
      </c>
      <c r="C1593">
        <v>29</v>
      </c>
      <c r="D1593">
        <v>12</v>
      </c>
      <c r="E1593">
        <v>2020</v>
      </c>
      <c r="F1593">
        <v>9201</v>
      </c>
      <c r="G1593" t="str">
        <f>VLOOKUP(F1593,'[1]Sheet 1'!$B$2:$E$347,2,FALSE)</f>
        <v>La Araucanía</v>
      </c>
      <c r="H1593" t="str">
        <f>VLOOKUP(F1593,'[1]Sheet 1'!$B$2:$E$347,3,FALSE)</f>
        <v>Malleco</v>
      </c>
      <c r="I1593" t="str">
        <f>VLOOKUP(F1593,'[1]Sheet 1'!$B$2:$E$347,4,FALSE)</f>
        <v>Angol</v>
      </c>
      <c r="J1593" t="s">
        <v>136</v>
      </c>
      <c r="K1593" s="3" t="s">
        <v>0</v>
      </c>
      <c r="L1593" s="12" t="str">
        <f>VLOOKUP(K1593,[2]Hoja4!$A$2:$C$443,2,FALSE)</f>
        <v>Intentional self-harm by hanging, strangulation and suffocation</v>
      </c>
      <c r="M1593" s="12" t="str">
        <f>VLOOKUP(K1593,[2]Hoja4!$A$2:$C$443,3,FALSE)</f>
        <v>Unspecified place</v>
      </c>
      <c r="N1593" s="1">
        <v>9.5</v>
      </c>
      <c r="O1593" s="1">
        <v>25.3</v>
      </c>
      <c r="P1593" s="1">
        <v>17.399999999999999</v>
      </c>
      <c r="Q1593" s="1">
        <v>502.2</v>
      </c>
      <c r="R1593" s="1">
        <v>0</v>
      </c>
      <c r="S1593" s="1">
        <v>60.4</v>
      </c>
      <c r="T1593" s="5">
        <v>0.10290000000000001</v>
      </c>
      <c r="U1593" s="10">
        <v>3.0000000000000001E-3</v>
      </c>
    </row>
    <row r="1594" spans="1:21" customFormat="1">
      <c r="A1594">
        <v>1</v>
      </c>
      <c r="B1594">
        <v>42</v>
      </c>
      <c r="C1594">
        <v>29</v>
      </c>
      <c r="D1594">
        <v>12</v>
      </c>
      <c r="E1594">
        <v>2020</v>
      </c>
      <c r="F1594">
        <v>1101</v>
      </c>
      <c r="G1594" t="str">
        <f>VLOOKUP(F1594,'[1]Sheet 1'!$B$2:$E$347,2,FALSE)</f>
        <v>Tarapacá</v>
      </c>
      <c r="H1594" t="str">
        <f>VLOOKUP(F1594,'[1]Sheet 1'!$B$2:$E$347,3,FALSE)</f>
        <v>Iquique</v>
      </c>
      <c r="I1594" t="str">
        <f>VLOOKUP(F1594,'[1]Sheet 1'!$B$2:$E$347,4,FALSE)</f>
        <v>Iquique</v>
      </c>
      <c r="J1594" t="s">
        <v>136</v>
      </c>
      <c r="K1594" s="3" t="s">
        <v>0</v>
      </c>
      <c r="L1594" s="12" t="str">
        <f>VLOOKUP(K1594,[2]Hoja4!$A$2:$C$443,2,FALSE)</f>
        <v>Intentional self-harm by hanging, strangulation and suffocation</v>
      </c>
      <c r="M1594" s="12" t="str">
        <f>VLOOKUP(K1594,[2]Hoja4!$A$2:$C$443,3,FALSE)</f>
        <v>Unspecified place</v>
      </c>
      <c r="N1594" s="1">
        <v>18.100000000000001</v>
      </c>
      <c r="O1594" s="1">
        <v>25</v>
      </c>
      <c r="P1594" s="1">
        <v>20.9</v>
      </c>
      <c r="Q1594" s="1">
        <v>1011.9</v>
      </c>
      <c r="R1594" s="1">
        <v>0</v>
      </c>
      <c r="S1594" s="1">
        <v>66.900000000000006</v>
      </c>
      <c r="T1594" s="5">
        <v>0.10290000000000001</v>
      </c>
      <c r="U1594" s="10">
        <v>3.0000000000000001E-3</v>
      </c>
    </row>
    <row r="1595" spans="1:21" customFormat="1">
      <c r="A1595">
        <v>1</v>
      </c>
      <c r="B1595">
        <v>53</v>
      </c>
      <c r="C1595">
        <v>29</v>
      </c>
      <c r="D1595">
        <v>12</v>
      </c>
      <c r="E1595">
        <v>2020</v>
      </c>
      <c r="F1595">
        <v>10107</v>
      </c>
      <c r="G1595" t="str">
        <f>VLOOKUP(F1595,'[1]Sheet 1'!$B$2:$E$347,2,FALSE)</f>
        <v>Los Lagos</v>
      </c>
      <c r="H1595" t="str">
        <f>VLOOKUP(F1595,'[1]Sheet 1'!$B$2:$E$347,3,FALSE)</f>
        <v>Llanquihue</v>
      </c>
      <c r="I1595" t="str">
        <f>VLOOKUP(F1595,'[1]Sheet 1'!$B$2:$E$347,4,FALSE)</f>
        <v>Llanquihue</v>
      </c>
      <c r="J1595" t="s">
        <v>136</v>
      </c>
      <c r="K1595" s="3" t="s">
        <v>4</v>
      </c>
      <c r="L1595" s="12" t="str">
        <f>VLOOKUP(K1595,[2]Hoja4!$A$2:$C$443,2,FALSE)</f>
        <v>Intentional self-harm by hanging, strangulation and suffocation</v>
      </c>
      <c r="M1595" s="12" t="str">
        <f>VLOOKUP(K1595,[2]Hoja4!$A$2:$C$443,3,FALSE)</f>
        <v>At home</v>
      </c>
      <c r="N1595" s="1">
        <v>12.8</v>
      </c>
      <c r="O1595" s="1">
        <v>16.899999999999999</v>
      </c>
      <c r="P1595" s="1">
        <v>14.6</v>
      </c>
      <c r="Q1595" s="1">
        <v>1004.1</v>
      </c>
      <c r="R1595" s="1">
        <v>6.6</v>
      </c>
      <c r="S1595" s="1">
        <v>82.2</v>
      </c>
      <c r="T1595" s="5">
        <v>0.10290000000000001</v>
      </c>
      <c r="U1595" s="10">
        <v>3.0000000000000001E-3</v>
      </c>
    </row>
    <row r="1596" spans="1:21" customFormat="1">
      <c r="A1596">
        <v>1</v>
      </c>
      <c r="B1596">
        <v>30</v>
      </c>
      <c r="C1596">
        <v>30</v>
      </c>
      <c r="D1596">
        <v>12</v>
      </c>
      <c r="E1596">
        <v>2020</v>
      </c>
      <c r="F1596">
        <v>16201</v>
      </c>
      <c r="G1596" t="str">
        <f>VLOOKUP(F1596,'[1]Sheet 1'!$B$2:$E$347,2,FALSE)</f>
        <v>Ñuble</v>
      </c>
      <c r="H1596" t="str">
        <f>VLOOKUP(F1596,'[1]Sheet 1'!$B$2:$E$347,3,FALSE)</f>
        <v>Itata</v>
      </c>
      <c r="I1596" t="str">
        <f>VLOOKUP(F1596,'[1]Sheet 1'!$B$2:$E$347,4,FALSE)</f>
        <v>Quirihue</v>
      </c>
      <c r="J1596" t="s">
        <v>136</v>
      </c>
      <c r="K1596" s="3" t="s">
        <v>4</v>
      </c>
      <c r="L1596" s="12" t="str">
        <f>VLOOKUP(K1596,[2]Hoja4!$A$2:$C$443,2,FALSE)</f>
        <v>Intentional self-harm by hanging, strangulation and suffocation</v>
      </c>
      <c r="M1596" s="12" t="str">
        <f>VLOOKUP(K1596,[2]Hoja4!$A$2:$C$443,3,FALSE)</f>
        <v>At home</v>
      </c>
      <c r="N1596" s="1">
        <v>10.7</v>
      </c>
      <c r="O1596" s="1">
        <v>25.1</v>
      </c>
      <c r="P1596" s="1">
        <v>16.899999999999999</v>
      </c>
      <c r="Q1596" s="1">
        <v>1006.3</v>
      </c>
      <c r="R1596" s="1">
        <v>0</v>
      </c>
      <c r="S1596" s="1">
        <v>43.4</v>
      </c>
      <c r="T1596" s="5">
        <v>0.10290000000000001</v>
      </c>
      <c r="U1596" s="10">
        <v>3.0000000000000001E-3</v>
      </c>
    </row>
    <row r="1597" spans="1:21" customFormat="1">
      <c r="A1597">
        <v>1</v>
      </c>
      <c r="B1597">
        <v>21</v>
      </c>
      <c r="C1597">
        <v>30</v>
      </c>
      <c r="D1597">
        <v>12</v>
      </c>
      <c r="E1597">
        <v>2020</v>
      </c>
      <c r="F1597">
        <v>5401</v>
      </c>
      <c r="G1597" t="str">
        <f>VLOOKUP(F1597,'[1]Sheet 1'!$B$2:$E$347,2,FALSE)</f>
        <v>Valparaíso</v>
      </c>
      <c r="H1597" t="str">
        <f>VLOOKUP(F1597,'[1]Sheet 1'!$B$2:$E$347,3,FALSE)</f>
        <v>Petorca</v>
      </c>
      <c r="I1597" t="str">
        <f>VLOOKUP(F1597,'[1]Sheet 1'!$B$2:$E$347,4,FALSE)</f>
        <v>La Ligua</v>
      </c>
      <c r="J1597" t="s">
        <v>136</v>
      </c>
      <c r="K1597" s="3" t="s">
        <v>0</v>
      </c>
      <c r="L1597" s="12" t="str">
        <f>VLOOKUP(K1597,[2]Hoja4!$A$2:$C$443,2,FALSE)</f>
        <v>Intentional self-harm by hanging, strangulation and suffocation</v>
      </c>
      <c r="M1597" s="12" t="str">
        <f>VLOOKUP(K1597,[2]Hoja4!$A$2:$C$443,3,FALSE)</f>
        <v>Unspecified place</v>
      </c>
      <c r="N1597" s="1">
        <v>12.1</v>
      </c>
      <c r="O1597" s="1">
        <v>30.1</v>
      </c>
      <c r="P1597" s="1">
        <v>20.100000000000001</v>
      </c>
      <c r="Q1597" s="1">
        <v>1016.7</v>
      </c>
      <c r="R1597" s="1">
        <v>0</v>
      </c>
      <c r="S1597" s="1">
        <v>65</v>
      </c>
      <c r="T1597" s="5">
        <v>0.10290000000000001</v>
      </c>
      <c r="U1597" s="10">
        <v>3.0000000000000001E-3</v>
      </c>
    </row>
    <row r="1598" spans="1:21" customFormat="1">
      <c r="A1598">
        <v>1</v>
      </c>
      <c r="B1598">
        <v>57</v>
      </c>
      <c r="C1598">
        <v>30</v>
      </c>
      <c r="D1598">
        <v>12</v>
      </c>
      <c r="E1598">
        <v>2020</v>
      </c>
      <c r="F1598">
        <v>5502</v>
      </c>
      <c r="G1598" t="str">
        <f>VLOOKUP(F1598,'[1]Sheet 1'!$B$2:$E$347,2,FALSE)</f>
        <v>Valparaíso</v>
      </c>
      <c r="H1598" t="str">
        <f>VLOOKUP(F1598,'[1]Sheet 1'!$B$2:$E$347,3,FALSE)</f>
        <v>Quillota</v>
      </c>
      <c r="I1598" t="str">
        <f>VLOOKUP(F1598,'[1]Sheet 1'!$B$2:$E$347,4,FALSE)</f>
        <v>Calera</v>
      </c>
      <c r="J1598" t="s">
        <v>136</v>
      </c>
      <c r="K1598" s="3" t="s">
        <v>4</v>
      </c>
      <c r="L1598" s="12" t="str">
        <f>VLOOKUP(K1598,[2]Hoja4!$A$2:$C$443,2,FALSE)</f>
        <v>Intentional self-harm by hanging, strangulation and suffocation</v>
      </c>
      <c r="M1598" s="12" t="str">
        <f>VLOOKUP(K1598,[2]Hoja4!$A$2:$C$443,3,FALSE)</f>
        <v>At home</v>
      </c>
      <c r="N1598" s="1">
        <v>11</v>
      </c>
      <c r="O1598" s="1">
        <v>34.200000000000003</v>
      </c>
      <c r="P1598" s="1">
        <v>21.7</v>
      </c>
      <c r="Q1598" s="1">
        <v>993.7</v>
      </c>
      <c r="R1598" s="1">
        <v>0</v>
      </c>
      <c r="S1598" s="1">
        <v>39.299999999999997</v>
      </c>
      <c r="T1598" s="5">
        <v>0.10290000000000001</v>
      </c>
      <c r="U1598" s="10">
        <v>3.0000000000000001E-3</v>
      </c>
    </row>
    <row r="1599" spans="1:21" customFormat="1">
      <c r="A1599">
        <v>1</v>
      </c>
      <c r="B1599">
        <v>71</v>
      </c>
      <c r="C1599">
        <v>30</v>
      </c>
      <c r="D1599">
        <v>12</v>
      </c>
      <c r="E1599">
        <v>2020</v>
      </c>
      <c r="F1599">
        <v>8312</v>
      </c>
      <c r="G1599" t="str">
        <f>VLOOKUP(F1599,'[1]Sheet 1'!$B$2:$E$347,2,FALSE)</f>
        <v>Biobío</v>
      </c>
      <c r="H1599" t="str">
        <f>VLOOKUP(F1599,'[1]Sheet 1'!$B$2:$E$347,3,FALSE)</f>
        <v>Biobío</v>
      </c>
      <c r="I1599" t="str">
        <f>VLOOKUP(F1599,'[1]Sheet 1'!$B$2:$E$347,4,FALSE)</f>
        <v>Tucapel</v>
      </c>
      <c r="J1599" t="s">
        <v>136</v>
      </c>
      <c r="K1599" s="3" t="s">
        <v>4</v>
      </c>
      <c r="L1599" s="12" t="str">
        <f>VLOOKUP(K1599,[2]Hoja4!$A$2:$C$443,2,FALSE)</f>
        <v>Intentional self-harm by hanging, strangulation and suffocation</v>
      </c>
      <c r="M1599" s="12" t="str">
        <f>VLOOKUP(K1599,[2]Hoja4!$A$2:$C$443,3,FALSE)</f>
        <v>At home</v>
      </c>
      <c r="N1599" s="1">
        <v>5.7</v>
      </c>
      <c r="O1599" s="1">
        <v>24</v>
      </c>
      <c r="P1599" s="1">
        <v>14.8</v>
      </c>
      <c r="Q1599" s="1">
        <v>1007.1</v>
      </c>
      <c r="R1599" s="1">
        <v>0</v>
      </c>
      <c r="S1599" s="1">
        <v>41.5</v>
      </c>
      <c r="T1599" s="5">
        <v>0.10290000000000001</v>
      </c>
      <c r="U1599" s="10">
        <v>3.0000000000000001E-3</v>
      </c>
    </row>
    <row r="1600" spans="1:21" customFormat="1">
      <c r="A1600">
        <v>1</v>
      </c>
      <c r="B1600">
        <v>34</v>
      </c>
      <c r="C1600">
        <v>31</v>
      </c>
      <c r="D1600">
        <v>12</v>
      </c>
      <c r="E1600">
        <v>2020</v>
      </c>
      <c r="F1600">
        <v>14108</v>
      </c>
      <c r="G1600" t="str">
        <f>VLOOKUP(F1600,'[1]Sheet 1'!$B$2:$E$347,2,FALSE)</f>
        <v>Los Ríos</v>
      </c>
      <c r="H1600" t="str">
        <f>VLOOKUP(F1600,'[1]Sheet 1'!$B$2:$E$347,3,FALSE)</f>
        <v>Valdivia</v>
      </c>
      <c r="I1600" t="str">
        <f>VLOOKUP(F1600,'[1]Sheet 1'!$B$2:$E$347,4,FALSE)</f>
        <v>Panguipulli</v>
      </c>
      <c r="J1600" t="s">
        <v>136</v>
      </c>
      <c r="K1600" s="3" t="s">
        <v>4</v>
      </c>
      <c r="L1600" s="12" t="str">
        <f>VLOOKUP(K1600,[2]Hoja4!$A$2:$C$443,2,FALSE)</f>
        <v>Intentional self-harm by hanging, strangulation and suffocation</v>
      </c>
      <c r="M1600" s="12" t="str">
        <f>VLOOKUP(K1600,[2]Hoja4!$A$2:$C$443,3,FALSE)</f>
        <v>At home</v>
      </c>
      <c r="N1600" s="1">
        <v>4.3</v>
      </c>
      <c r="O1600" s="1">
        <v>25.3</v>
      </c>
      <c r="P1600" s="1">
        <v>15.1</v>
      </c>
      <c r="Q1600" s="1">
        <v>1015.1</v>
      </c>
      <c r="R1600" s="1">
        <v>0</v>
      </c>
      <c r="S1600" s="1">
        <v>62.2</v>
      </c>
      <c r="T1600" s="5">
        <v>0.10290000000000001</v>
      </c>
      <c r="U1600" s="10">
        <v>3.0000000000000001E-3</v>
      </c>
    </row>
    <row r="1601" spans="1:21" customFormat="1">
      <c r="A1601">
        <v>1</v>
      </c>
      <c r="B1601">
        <v>40</v>
      </c>
      <c r="C1601">
        <v>31</v>
      </c>
      <c r="D1601">
        <v>12</v>
      </c>
      <c r="E1601">
        <v>2020</v>
      </c>
      <c r="F1601">
        <v>13104</v>
      </c>
      <c r="G1601" t="str">
        <f>VLOOKUP(F1601,'[1]Sheet 1'!$B$2:$E$347,2,FALSE)</f>
        <v>Metropolitana de Santiago</v>
      </c>
      <c r="H1601" t="str">
        <f>VLOOKUP(F1601,'[1]Sheet 1'!$B$2:$E$347,3,FALSE)</f>
        <v>Santiago</v>
      </c>
      <c r="I1601" t="str">
        <f>VLOOKUP(F1601,'[1]Sheet 1'!$B$2:$E$347,4,FALSE)</f>
        <v>Conchalí</v>
      </c>
      <c r="J1601" t="s">
        <v>136</v>
      </c>
      <c r="K1601" s="3" t="s">
        <v>0</v>
      </c>
      <c r="L1601" s="12" t="str">
        <f>VLOOKUP(K1601,[2]Hoja4!$A$2:$C$443,2,FALSE)</f>
        <v>Intentional self-harm by hanging, strangulation and suffocation</v>
      </c>
      <c r="M1601" s="12" t="str">
        <f>VLOOKUP(K1601,[2]Hoja4!$A$2:$C$443,3,FALSE)</f>
        <v>Unspecified place</v>
      </c>
      <c r="N1601" s="1">
        <v>12.3</v>
      </c>
      <c r="O1601" s="1">
        <v>32.9</v>
      </c>
      <c r="P1601" s="1">
        <v>23.5</v>
      </c>
      <c r="Q1601" s="1">
        <v>951.8</v>
      </c>
      <c r="R1601" s="1">
        <v>0</v>
      </c>
      <c r="S1601" s="1">
        <v>29.8</v>
      </c>
      <c r="T1601" s="5">
        <v>0.10290000000000001</v>
      </c>
      <c r="U1601" s="10">
        <v>3.0000000000000001E-3</v>
      </c>
    </row>
    <row r="1602" spans="1:21" customFormat="1">
      <c r="A1602">
        <v>1</v>
      </c>
      <c r="B1602">
        <v>37</v>
      </c>
      <c r="C1602">
        <v>31</v>
      </c>
      <c r="D1602">
        <v>12</v>
      </c>
      <c r="E1602">
        <v>2020</v>
      </c>
      <c r="F1602">
        <v>3101</v>
      </c>
      <c r="G1602" t="str">
        <f>VLOOKUP(F1602,'[1]Sheet 1'!$B$2:$E$347,2,FALSE)</f>
        <v>Atacama</v>
      </c>
      <c r="H1602" t="str">
        <f>VLOOKUP(F1602,'[1]Sheet 1'!$B$2:$E$347,3,FALSE)</f>
        <v>Copiapó</v>
      </c>
      <c r="I1602" t="str">
        <f>VLOOKUP(F1602,'[1]Sheet 1'!$B$2:$E$347,4,FALSE)</f>
        <v>Copiapó</v>
      </c>
      <c r="J1602" t="s">
        <v>136</v>
      </c>
      <c r="K1602" s="3" t="s">
        <v>4</v>
      </c>
      <c r="L1602" s="12" t="str">
        <f>VLOOKUP(K1602,[2]Hoja4!$A$2:$C$443,2,FALSE)</f>
        <v>Intentional self-harm by hanging, strangulation and suffocation</v>
      </c>
      <c r="M1602" s="12" t="str">
        <f>VLOOKUP(K1602,[2]Hoja4!$A$2:$C$443,3,FALSE)</f>
        <v>At home</v>
      </c>
      <c r="N1602" s="1">
        <v>16.8</v>
      </c>
      <c r="O1602" s="1">
        <v>23.8</v>
      </c>
      <c r="P1602" s="1">
        <v>18.899999999999999</v>
      </c>
      <c r="Q1602" s="1">
        <v>988.7</v>
      </c>
      <c r="R1602" s="1">
        <v>0</v>
      </c>
      <c r="S1602" s="1">
        <v>71.2</v>
      </c>
      <c r="T1602" s="5">
        <v>0.10290000000000001</v>
      </c>
      <c r="U1602" s="10">
        <v>3.0000000000000001E-3</v>
      </c>
    </row>
    <row r="1603" spans="1:21" customFormat="1">
      <c r="A1603">
        <v>1</v>
      </c>
      <c r="B1603">
        <v>24</v>
      </c>
      <c r="C1603">
        <v>31</v>
      </c>
      <c r="D1603">
        <v>12</v>
      </c>
      <c r="E1603">
        <v>2020</v>
      </c>
      <c r="F1603">
        <v>6116</v>
      </c>
      <c r="G1603" t="str">
        <f>VLOOKUP(F1603,'[1]Sheet 1'!$B$2:$E$347,2,FALSE)</f>
        <v>Libertador General Bernardo O'Higgins</v>
      </c>
      <c r="H1603" t="str">
        <f>VLOOKUP(F1603,'[1]Sheet 1'!$B$2:$E$347,3,FALSE)</f>
        <v>Cachapoal</v>
      </c>
      <c r="I1603" t="str">
        <f>VLOOKUP(F1603,'[1]Sheet 1'!$B$2:$E$347,4,FALSE)</f>
        <v>Requínoa</v>
      </c>
      <c r="J1603" t="s">
        <v>136</v>
      </c>
      <c r="K1603" s="3" t="s">
        <v>0</v>
      </c>
      <c r="L1603" s="12" t="str">
        <f>VLOOKUP(K1603,[2]Hoja4!$A$2:$C$443,2,FALSE)</f>
        <v>Intentional self-harm by hanging, strangulation and suffocation</v>
      </c>
      <c r="M1603" s="12" t="str">
        <f>VLOOKUP(K1603,[2]Hoja4!$A$2:$C$443,3,FALSE)</f>
        <v>Unspecified place</v>
      </c>
      <c r="N1603" s="1">
        <v>11.2</v>
      </c>
      <c r="O1603" s="1">
        <v>32.9</v>
      </c>
      <c r="P1603" s="1">
        <v>22.2</v>
      </c>
      <c r="Q1603" s="1">
        <v>955.4</v>
      </c>
      <c r="R1603" s="1">
        <v>0</v>
      </c>
      <c r="S1603" s="1">
        <v>37.799999999999997</v>
      </c>
      <c r="T1603" s="5">
        <v>0.10290000000000001</v>
      </c>
      <c r="U1603" s="10">
        <v>3.0000000000000001E-3</v>
      </c>
    </row>
  </sheetData>
  <autoFilter ref="A1:U1603" xr:uid="{00000000-0009-0000-0000-000000000000}">
    <sortState xmlns:xlrd2="http://schemas.microsoft.com/office/spreadsheetml/2017/richdata2" ref="A2:U1603">
      <sortCondition ref="D1:D1603"/>
    </sortState>
  </autoFilter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41157736CCBA41AA74A5D64050843F" ma:contentTypeVersion="14" ma:contentTypeDescription="Crear nuevo documento." ma:contentTypeScope="" ma:versionID="18306990e04a30864fbf8c8dd06af602">
  <xsd:schema xmlns:xsd="http://www.w3.org/2001/XMLSchema" xmlns:xs="http://www.w3.org/2001/XMLSchema" xmlns:p="http://schemas.microsoft.com/office/2006/metadata/properties" xmlns:ns2="4be90a09-714d-4e98-8c2b-656413eec050" xmlns:ns3="c43cfd48-bedb-4b64-b77b-4390bb283ddd" targetNamespace="http://schemas.microsoft.com/office/2006/metadata/properties" ma:root="true" ma:fieldsID="f71577d61872d3e9cd625291578c8615" ns2:_="" ns3:_="">
    <xsd:import namespace="4be90a09-714d-4e98-8c2b-656413eec050"/>
    <xsd:import namespace="c43cfd48-bedb-4b64-b77b-4390bb283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90a09-714d-4e98-8c2b-656413eec0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cfd48-bedb-4b64-b77b-4390bb283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eab5a4f-85b2-487e-82d8-fcba96c72870}" ma:internalName="TaxCatchAll" ma:showField="CatchAllData" ma:web="c43cfd48-bedb-4b64-b77b-4390bb283d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e90a09-714d-4e98-8c2b-656413eec050">
      <Terms xmlns="http://schemas.microsoft.com/office/infopath/2007/PartnerControls"/>
    </lcf76f155ced4ddcb4097134ff3c332f>
    <TaxCatchAll xmlns="c43cfd48-bedb-4b64-b77b-4390bb283ddd" xsi:nil="true"/>
  </documentManagement>
</p:properties>
</file>

<file path=customXml/itemProps1.xml><?xml version="1.0" encoding="utf-8"?>
<ds:datastoreItem xmlns:ds="http://schemas.openxmlformats.org/officeDocument/2006/customXml" ds:itemID="{11EBD6FA-6218-43A1-B3F5-B815AA0B18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BC8565-F12D-4419-B504-962520BC4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e90a09-714d-4e98-8c2b-656413eec050"/>
    <ds:schemaRef ds:uri="c43cfd48-bedb-4b64-b77b-4390bb283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7E5CA-7229-4919-B873-E0125AFE6552}">
  <ds:schemaRefs>
    <ds:schemaRef ds:uri="http://schemas.microsoft.com/office/2006/metadata/properties"/>
    <ds:schemaRef ds:uri="http://schemas.microsoft.com/office/infopath/2007/PartnerControls"/>
    <ds:schemaRef ds:uri="4be90a09-714d-4e98-8c2b-656413eec050"/>
    <ds:schemaRef ds:uri="c43cfd48-bedb-4b64-b77b-4390bb283d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2023-10-29T17:33:58Z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0x0101002441157736CCBA41AA74A5D64050843F</vt:lpwstr>
  </property>
  <property fmtid="{D5CDD505-2E9C-101B-9397-08002B2CF9AE}" pid="3" name="MediaServiceImageTags">
    <vt:lpwstr/>
  </property>
</Properties>
</file>